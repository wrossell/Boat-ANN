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45" windowWidth="21075" windowHeight="12090" activeTab="3"/>
  </bookViews>
  <sheets>
    <sheet name="Links" sheetId="5" r:id="rId1"/>
    <sheet name="CALCULATION EXAMPLE" sheetId="1" r:id="rId2"/>
    <sheet name="CALCULATION" sheetId="4" r:id="rId3"/>
    <sheet name="GUI" sheetId="2" r:id="rId4"/>
  </sheets>
  <calcPr calcId="145621"/>
</workbook>
</file>

<file path=xl/calcChain.xml><?xml version="1.0" encoding="utf-8"?>
<calcChain xmlns="http://schemas.openxmlformats.org/spreadsheetml/2006/main">
  <c r="D15" i="2" l="1"/>
  <c r="F15" i="2" s="1"/>
  <c r="W35" i="4" l="1"/>
  <c r="AC12" i="4"/>
  <c r="AC17" i="4" s="1"/>
  <c r="AD12" i="4"/>
  <c r="AD17" i="4" s="1"/>
  <c r="AE12" i="4"/>
  <c r="AE17" i="4" s="1"/>
  <c r="AB12" i="4"/>
  <c r="AB17" i="4" s="1"/>
  <c r="AJ17" i="4"/>
  <c r="AI17" i="4"/>
  <c r="AH17" i="4"/>
  <c r="AG17" i="4"/>
  <c r="AF17" i="4"/>
  <c r="AA17" i="4"/>
  <c r="Z17" i="4"/>
  <c r="Y17" i="4"/>
  <c r="X17" i="4"/>
  <c r="W17" i="4"/>
  <c r="V17" i="4"/>
  <c r="U17" i="4"/>
  <c r="T17" i="4"/>
  <c r="S17" i="4"/>
  <c r="R17" i="4"/>
  <c r="Q17" i="4"/>
  <c r="P17" i="4"/>
  <c r="O17" i="4"/>
  <c r="N17" i="4"/>
  <c r="M17" i="4"/>
  <c r="L17" i="4"/>
  <c r="L35" i="1"/>
  <c r="L33" i="1"/>
  <c r="L31" i="1"/>
  <c r="L28" i="1"/>
  <c r="M28" i="1"/>
  <c r="N28" i="1"/>
  <c r="O28" i="1"/>
  <c r="P28" i="1"/>
  <c r="L29" i="1"/>
  <c r="M29" i="1"/>
  <c r="N29" i="1"/>
  <c r="O29" i="1"/>
  <c r="P29" i="1"/>
  <c r="M27" i="1"/>
  <c r="N27" i="1"/>
  <c r="O27" i="1"/>
  <c r="P27" i="1"/>
  <c r="L27" i="1"/>
  <c r="L24" i="1"/>
  <c r="M24" i="1"/>
  <c r="N24" i="1"/>
  <c r="O24" i="1"/>
  <c r="P24" i="1"/>
  <c r="L25" i="1"/>
  <c r="M25" i="1"/>
  <c r="N25" i="1"/>
  <c r="O25" i="1"/>
  <c r="P25" i="1"/>
  <c r="M23" i="1"/>
  <c r="N23" i="1"/>
  <c r="O23" i="1"/>
  <c r="P23" i="1"/>
  <c r="L23" i="1"/>
  <c r="L20" i="1"/>
  <c r="M20" i="1"/>
  <c r="N20" i="1"/>
  <c r="O20" i="1"/>
  <c r="P20" i="1"/>
  <c r="L21" i="1"/>
  <c r="M21" i="1"/>
  <c r="N21" i="1"/>
  <c r="O21" i="1"/>
  <c r="P21" i="1"/>
  <c r="M19" i="1"/>
  <c r="N19" i="1"/>
  <c r="O19" i="1"/>
  <c r="P19" i="1"/>
  <c r="L19" i="1"/>
  <c r="N20" i="4" l="1"/>
  <c r="N24" i="4" s="1"/>
  <c r="N28" i="4" s="1"/>
  <c r="P19" i="4"/>
  <c r="P23" i="4" s="1"/>
  <c r="P27" i="4" s="1"/>
  <c r="L19" i="4"/>
  <c r="L23" i="4" s="1"/>
  <c r="L27" i="4" s="1"/>
  <c r="M19" i="4"/>
  <c r="M23" i="4" s="1"/>
  <c r="M27" i="4" s="1"/>
  <c r="L21" i="4"/>
  <c r="L25" i="4" s="1"/>
  <c r="L29" i="4" s="1"/>
  <c r="O19" i="4"/>
  <c r="O23" i="4" s="1"/>
  <c r="O27" i="4" s="1"/>
  <c r="M21" i="4"/>
  <c r="M25" i="4" s="1"/>
  <c r="M29" i="4" s="1"/>
  <c r="P20" i="4"/>
  <c r="P24" i="4" s="1"/>
  <c r="P28" i="4" s="1"/>
  <c r="N19" i="4"/>
  <c r="N23" i="4" s="1"/>
  <c r="N27" i="4" s="1"/>
  <c r="N21" i="4"/>
  <c r="N25" i="4" s="1"/>
  <c r="N29" i="4" s="1"/>
  <c r="L20" i="4"/>
  <c r="L24" i="4" s="1"/>
  <c r="L28" i="4" s="1"/>
  <c r="O21" i="4"/>
  <c r="O25" i="4" s="1"/>
  <c r="O29" i="4" s="1"/>
  <c r="M20" i="4"/>
  <c r="M24" i="4" s="1"/>
  <c r="M28" i="4" s="1"/>
  <c r="P21" i="4"/>
  <c r="P25" i="4" s="1"/>
  <c r="P29" i="4" s="1"/>
  <c r="O20" i="4"/>
  <c r="O24" i="4" s="1"/>
  <c r="O28" i="4" s="1"/>
  <c r="L31" i="4" l="1"/>
  <c r="L33" i="4" s="1"/>
  <c r="L35" i="4" s="1"/>
  <c r="J2" i="2" s="1"/>
  <c r="M17" i="1"/>
  <c r="N17" i="1"/>
  <c r="O17" i="1"/>
  <c r="P17" i="1"/>
  <c r="Q17" i="1"/>
  <c r="R17" i="1"/>
  <c r="S17" i="1"/>
  <c r="T17" i="1"/>
  <c r="U17" i="1"/>
  <c r="V17" i="1"/>
  <c r="W17" i="1"/>
  <c r="X17" i="1"/>
  <c r="Y17" i="1"/>
  <c r="Z17" i="1"/>
  <c r="AA17" i="1"/>
  <c r="AB17" i="1"/>
  <c r="AC17" i="1"/>
  <c r="AD17" i="1"/>
  <c r="AE17" i="1"/>
  <c r="AF17" i="1"/>
  <c r="AG17" i="1"/>
  <c r="AH17" i="1"/>
  <c r="AI17" i="1"/>
  <c r="AJ17" i="1"/>
  <c r="L17" i="1"/>
</calcChain>
</file>

<file path=xl/sharedStrings.xml><?xml version="1.0" encoding="utf-8"?>
<sst xmlns="http://schemas.openxmlformats.org/spreadsheetml/2006/main" count="192" uniqueCount="106">
  <si>
    <t>HN to OUTPUT CW</t>
  </si>
  <si>
    <t>OUTPUT RANGE</t>
  </si>
  <si>
    <t>INPUT RANGE</t>
  </si>
  <si>
    <t>INPUT TO HN Bias</t>
  </si>
  <si>
    <t>HN TO OUTPUT Bias</t>
  </si>
  <si>
    <t>INPUT1 to HN</t>
  </si>
  <si>
    <t>INPUT2 to HN</t>
  </si>
  <si>
    <t>INPUT3 to HN</t>
  </si>
  <si>
    <t>INPUT4 to HN</t>
  </si>
  <si>
    <t>INPUT5 to HN</t>
  </si>
  <si>
    <t>INPUT6 to HN</t>
  </si>
  <si>
    <t>INPUT7 to HN</t>
  </si>
  <si>
    <t>INPUT8 to HN</t>
  </si>
  <si>
    <t>INPUT9 to HN</t>
  </si>
  <si>
    <t>INPUT10 to HN</t>
  </si>
  <si>
    <t>INPUT11 to HN</t>
  </si>
  <si>
    <t>INPUT12 to HN</t>
  </si>
  <si>
    <t>INPUT13 to HN</t>
  </si>
  <si>
    <t>INPUT14 to HN</t>
  </si>
  <si>
    <t>INPUT15 to HN</t>
  </si>
  <si>
    <t>INPUT16 to HN</t>
  </si>
  <si>
    <t>INPUT17 to HN</t>
  </si>
  <si>
    <t>INPUT18 to HN</t>
  </si>
  <si>
    <t>INPUT19 to HN</t>
  </si>
  <si>
    <t>INPUT20 to HN</t>
  </si>
  <si>
    <t>INPUT21 to HN</t>
  </si>
  <si>
    <t>INPUT22 to HN</t>
  </si>
  <si>
    <t>INPUT23 to HN</t>
  </si>
  <si>
    <t>INPUT24 to HN</t>
  </si>
  <si>
    <t>May</t>
  </si>
  <si>
    <t>June</t>
  </si>
  <si>
    <t>July</t>
  </si>
  <si>
    <t>August</t>
  </si>
  <si>
    <t>September</t>
  </si>
  <si>
    <t>Sunday</t>
  </si>
  <si>
    <t>Monday</t>
  </si>
  <si>
    <t>Tuesday</t>
  </si>
  <si>
    <t>Wednesday</t>
  </si>
  <si>
    <t>Thursday</t>
  </si>
  <si>
    <t>Friday</t>
  </si>
  <si>
    <t>Saturday</t>
  </si>
  <si>
    <t>Holiday</t>
  </si>
  <si>
    <t>CLEAR</t>
  </si>
  <si>
    <t>RAIN</t>
  </si>
  <si>
    <t>CLOUD</t>
  </si>
  <si>
    <t>Prec. (in)</t>
  </si>
  <si>
    <t>Temp ('C)</t>
  </si>
  <si>
    <t xml:space="preserve">Water Depth </t>
  </si>
  <si>
    <t>Stage</t>
  </si>
  <si>
    <t>LOGGER 1</t>
  </si>
  <si>
    <t>LOGGER 2</t>
  </si>
  <si>
    <t>LOGGER 3</t>
  </si>
  <si>
    <t>LOGGER 4</t>
  </si>
  <si>
    <t>BOATS</t>
  </si>
  <si>
    <t>ANN MAX</t>
  </si>
  <si>
    <t>ANN MIN</t>
  </si>
  <si>
    <t>NORMALIZED</t>
  </si>
  <si>
    <t>SUM _NET_HN</t>
  </si>
  <si>
    <t>SIG HN</t>
  </si>
  <si>
    <t>SUM_NET_OUT</t>
  </si>
  <si>
    <t>TRANSPOSED</t>
  </si>
  <si>
    <t>NET_OUT</t>
  </si>
  <si>
    <t>SIG OUT</t>
  </si>
  <si>
    <t>PREDICTION</t>
  </si>
  <si>
    <t>MONTH</t>
  </si>
  <si>
    <t>WEEKDAY</t>
  </si>
  <si>
    <t>HOLIDAY</t>
  </si>
  <si>
    <t>WEATHER</t>
  </si>
  <si>
    <t>Stage (ft)</t>
  </si>
  <si>
    <t>LOGGER REFERENCE</t>
  </si>
  <si>
    <t>ESTIMATED BOATS</t>
  </si>
  <si>
    <t>Yes</t>
  </si>
  <si>
    <t>No</t>
  </si>
  <si>
    <t>Logger 1</t>
  </si>
  <si>
    <t>Logger 2</t>
  </si>
  <si>
    <t>Logger 3</t>
  </si>
  <si>
    <t>Logger 4</t>
  </si>
  <si>
    <t>Clear</t>
  </si>
  <si>
    <t>Overcast</t>
  </si>
  <si>
    <t>Rain</t>
  </si>
  <si>
    <t>Maximum Range</t>
  </si>
  <si>
    <t>Minimum Range</t>
  </si>
  <si>
    <t>Real</t>
  </si>
  <si>
    <t>Predicted</t>
  </si>
  <si>
    <t>DataLabel</t>
  </si>
  <si>
    <t>GUI RESULT</t>
  </si>
  <si>
    <t>MARE</t>
  </si>
  <si>
    <r>
      <t>R</t>
    </r>
    <r>
      <rPr>
        <vertAlign val="superscript"/>
        <sz val="11"/>
        <color theme="1"/>
        <rFont val="Calibri"/>
        <family val="2"/>
        <scheme val="minor"/>
      </rPr>
      <t>2</t>
    </r>
  </si>
  <si>
    <t>ASE</t>
  </si>
  <si>
    <t>RMS</t>
  </si>
  <si>
    <t>W/ OUTLIERS</t>
  </si>
  <si>
    <t>W/O OUTLIERS</t>
  </si>
  <si>
    <t>MAE</t>
  </si>
  <si>
    <t>STATS OF MODEL</t>
  </si>
  <si>
    <t>PRECIPITATION (in.)</t>
  </si>
  <si>
    <t>NOTES FOR USE:</t>
  </si>
  <si>
    <t>For example:</t>
  </si>
  <si>
    <t>If the "MONTH" is August, the "HOLIDAY" is No as there is no federal holiday in August.</t>
  </si>
  <si>
    <t>1. When considering categorical inputs, use common sense!</t>
  </si>
  <si>
    <t>If the "WEATHER" is Clear, there will not be 1.5 inches of precipitation.</t>
  </si>
  <si>
    <t>Input (°C):</t>
  </si>
  <si>
    <t>TEMP(°C)</t>
  </si>
  <si>
    <t>Input Conversion (°F):</t>
  </si>
  <si>
    <t>Water Depth (m)</t>
  </si>
  <si>
    <t>2. If the user is unfamiliar with the Celsius temperature scale, there is a converter below. Please check to assure that the input being used is REASONABLE.</t>
  </si>
  <si>
    <t>3. If the inputs used are outside of the above mentioned acceptable limits, then the prediction is not being made within the parameters of the model's training. The accuracy of the prediction is therefore unknown.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</si>
</sst>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
  </numFmts>
  <fonts count="6" x14ac:knownFonts="1">
    <font>
      <sz val="11"/>
      <color theme="1"/>
      <name val="Calibri"/>
      <family val="2"/>
      <scheme val="minor"/>
    </font>
    <font>
      <sz val="11"/>
      <color rgb="FFFF0000"/>
      <name val="Calibri"/>
      <family val="2"/>
      <scheme val="minor"/>
    </font>
    <font>
      <sz val="16"/>
      <color theme="1"/>
      <name val="Times New Roman"/>
      <family val="1"/>
    </font>
    <font>
      <vertAlign val="superscript"/>
      <sz val="11"/>
      <color theme="1"/>
      <name val="Calibri"/>
      <family val="2"/>
      <scheme val="minor"/>
    </font>
    <font>
      <sz val="14"/>
      <color theme="1"/>
      <name val="Times New Roman"/>
      <family val="1"/>
    </font>
    <font>
      <b/>
      <sz val="11"/>
      <color theme="1"/>
      <name val="Times New Roman"/>
      <family val="1"/>
    </font>
  </fonts>
  <fills count="9">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rgb="FFFF0000"/>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4" tint="0.59999389629810485"/>
        <bgColor indexed="64"/>
      </patternFill>
    </fill>
  </fills>
  <borders count="2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s>
  <cellStyleXfs count="1">
    <xf numFmtId="0" fontId="0" fillId="0" borderId="0"/>
  </cellStyleXfs>
  <cellXfs count="67">
    <xf numFmtId="0" fontId="0" fillId="0" borderId="0" xfId="0"/>
    <xf numFmtId="11" fontId="0" fillId="0" borderId="0" xfId="0" applyNumberFormat="1"/>
    <xf numFmtId="11" fontId="0" fillId="0" borderId="1" xfId="0" applyNumberFormat="1" applyBorder="1"/>
    <xf numFmtId="11" fontId="0" fillId="0" borderId="2" xfId="0" applyNumberFormat="1" applyBorder="1"/>
    <xf numFmtId="11" fontId="0" fillId="0" borderId="3" xfId="0" applyNumberFormat="1" applyBorder="1"/>
    <xf numFmtId="11" fontId="0" fillId="0" borderId="4" xfId="0" applyNumberFormat="1" applyBorder="1"/>
    <xf numFmtId="11" fontId="0" fillId="0" borderId="5" xfId="0" applyNumberFormat="1" applyBorder="1"/>
    <xf numFmtId="11" fontId="0" fillId="0" borderId="6" xfId="0" applyNumberFormat="1" applyBorder="1"/>
    <xf numFmtId="0" fontId="0" fillId="0" borderId="7" xfId="0" applyBorder="1"/>
    <xf numFmtId="0" fontId="0" fillId="0" borderId="8" xfId="0" applyBorder="1"/>
    <xf numFmtId="0" fontId="0" fillId="0" borderId="9" xfId="0" applyBorder="1"/>
    <xf numFmtId="11" fontId="0" fillId="0" borderId="10" xfId="0" applyNumberFormat="1" applyBorder="1"/>
    <xf numFmtId="11" fontId="0" fillId="0" borderId="0" xfId="0" applyNumberFormat="1" applyBorder="1"/>
    <xf numFmtId="0" fontId="0" fillId="0" borderId="0" xfId="0" applyBorder="1"/>
    <xf numFmtId="0" fontId="0" fillId="0" borderId="4" xfId="0" applyBorder="1"/>
    <xf numFmtId="11" fontId="0" fillId="0" borderId="11" xfId="0" applyNumberFormat="1" applyBorder="1"/>
    <xf numFmtId="11" fontId="0" fillId="0" borderId="12" xfId="0" applyNumberFormat="1" applyBorder="1"/>
    <xf numFmtId="11" fontId="0" fillId="0" borderId="13" xfId="0" applyNumberFormat="1" applyBorder="1"/>
    <xf numFmtId="0" fontId="0" fillId="0" borderId="2" xfId="0" applyBorder="1"/>
    <xf numFmtId="0" fontId="0" fillId="0" borderId="3" xfId="0" applyBorder="1"/>
    <xf numFmtId="0" fontId="0" fillId="0" borderId="6" xfId="0" applyBorder="1"/>
    <xf numFmtId="11" fontId="0" fillId="0" borderId="7" xfId="0" applyNumberFormat="1" applyBorder="1"/>
    <xf numFmtId="11" fontId="0" fillId="0" borderId="9" xfId="0" applyNumberFormat="1" applyBorder="1"/>
    <xf numFmtId="0" fontId="1" fillId="0" borderId="0" xfId="0" applyFont="1"/>
    <xf numFmtId="0" fontId="1" fillId="0" borderId="0" xfId="0" applyNumberFormat="1" applyFont="1" applyBorder="1"/>
    <xf numFmtId="0" fontId="0" fillId="0" borderId="0" xfId="0" applyNumberFormat="1"/>
    <xf numFmtId="11" fontId="0" fillId="2" borderId="0" xfId="0" applyNumberFormat="1" applyFill="1" applyBorder="1"/>
    <xf numFmtId="0" fontId="2" fillId="0" borderId="0" xfId="0" applyFont="1" applyAlignment="1">
      <alignment horizontal="center" vertical="center"/>
    </xf>
    <xf numFmtId="0" fontId="0" fillId="0" borderId="14" xfId="0" applyBorder="1"/>
    <xf numFmtId="0" fontId="0" fillId="3" borderId="14" xfId="0" applyFill="1" applyBorder="1"/>
    <xf numFmtId="0" fontId="0" fillId="0" borderId="0" xfId="0" applyFill="1" applyBorder="1"/>
    <xf numFmtId="0" fontId="0" fillId="0" borderId="14" xfId="0" applyFill="1" applyBorder="1"/>
    <xf numFmtId="0" fontId="0" fillId="0" borderId="10" xfId="0" applyBorder="1"/>
    <xf numFmtId="0" fontId="0" fillId="0" borderId="17" xfId="0" applyBorder="1"/>
    <xf numFmtId="0" fontId="0" fillId="3" borderId="17" xfId="0" applyFill="1" applyBorder="1"/>
    <xf numFmtId="0" fontId="0" fillId="0" borderId="4" xfId="0" applyFill="1" applyBorder="1"/>
    <xf numFmtId="0" fontId="0" fillId="0" borderId="17" xfId="0" applyFill="1" applyBorder="1"/>
    <xf numFmtId="0" fontId="0" fillId="4" borderId="18" xfId="0" applyFill="1" applyBorder="1"/>
    <xf numFmtId="0" fontId="0" fillId="4" borderId="19" xfId="0" applyFill="1" applyBorder="1"/>
    <xf numFmtId="0" fontId="0" fillId="0" borderId="11" xfId="0" applyFill="1" applyBorder="1"/>
    <xf numFmtId="0" fontId="0" fillId="0" borderId="11" xfId="0" applyBorder="1"/>
    <xf numFmtId="0" fontId="0" fillId="0" borderId="20" xfId="0" applyBorder="1"/>
    <xf numFmtId="0" fontId="0" fillId="0" borderId="18" xfId="0" applyBorder="1"/>
    <xf numFmtId="0" fontId="0" fillId="0" borderId="21" xfId="0" applyFill="1" applyBorder="1"/>
    <xf numFmtId="0" fontId="0" fillId="0" borderId="0" xfId="0" applyFill="1"/>
    <xf numFmtId="0" fontId="4" fillId="3" borderId="14" xfId="0" applyFont="1" applyFill="1" applyBorder="1"/>
    <xf numFmtId="0" fontId="0" fillId="0" borderId="24" xfId="0" applyBorder="1" applyAlignment="1">
      <alignment horizontal="center"/>
    </xf>
    <xf numFmtId="0" fontId="2" fillId="0" borderId="24" xfId="0" applyFont="1" applyBorder="1" applyAlignment="1">
      <alignment horizontal="center" vertical="center"/>
    </xf>
    <xf numFmtId="0" fontId="0" fillId="0" borderId="24" xfId="0" quotePrefix="1" applyBorder="1" applyAlignment="1">
      <alignment horizontal="center"/>
    </xf>
    <xf numFmtId="0" fontId="0" fillId="0" borderId="24" xfId="0" applyFill="1" applyBorder="1" applyAlignment="1">
      <alignment horizontal="center"/>
    </xf>
    <xf numFmtId="0" fontId="2" fillId="0" borderId="24" xfId="0" applyFont="1" applyFill="1" applyBorder="1" applyAlignment="1">
      <alignment horizontal="center" vertical="center"/>
    </xf>
    <xf numFmtId="164" fontId="4" fillId="3" borderId="14" xfId="0" applyNumberFormat="1" applyFont="1" applyFill="1" applyBorder="1" applyAlignment="1">
      <alignment horizontal="center"/>
    </xf>
    <xf numFmtId="164" fontId="4" fillId="3" borderId="25" xfId="0" applyNumberFormat="1" applyFont="1" applyFill="1" applyBorder="1" applyAlignment="1">
      <alignment horizontal="center"/>
    </xf>
    <xf numFmtId="0" fontId="0" fillId="0" borderId="0" xfId="0" applyAlignment="1">
      <alignment vertical="center"/>
    </xf>
    <xf numFmtId="0" fontId="0" fillId="8" borderId="0" xfId="0" applyFill="1"/>
    <xf numFmtId="0" fontId="0" fillId="6" borderId="0" xfId="0" applyFill="1"/>
    <xf numFmtId="0" fontId="0" fillId="6" borderId="0" xfId="0" applyFill="1" applyAlignment="1">
      <alignment horizontal="right"/>
    </xf>
    <xf numFmtId="0" fontId="0" fillId="6" borderId="0" xfId="0" applyFill="1" applyAlignment="1">
      <alignment horizontal="left"/>
    </xf>
    <xf numFmtId="0" fontId="0" fillId="2" borderId="15" xfId="0" applyFill="1" applyBorder="1" applyAlignment="1">
      <alignment horizontal="center"/>
    </xf>
    <xf numFmtId="0" fontId="0" fillId="2" borderId="16" xfId="0" applyFill="1" applyBorder="1" applyAlignment="1">
      <alignment horizontal="center"/>
    </xf>
    <xf numFmtId="0" fontId="0" fillId="5" borderId="22" xfId="0" applyFill="1" applyBorder="1" applyAlignment="1">
      <alignment horizontal="center"/>
    </xf>
    <xf numFmtId="0" fontId="0" fillId="5" borderId="23" xfId="0" applyFill="1" applyBorder="1" applyAlignment="1">
      <alignment horizontal="center"/>
    </xf>
    <xf numFmtId="0" fontId="0" fillId="8" borderId="0" xfId="0" applyFill="1" applyAlignment="1">
      <alignment horizontal="left" vertical="center" wrapText="1"/>
    </xf>
    <xf numFmtId="0" fontId="0" fillId="8" borderId="0" xfId="0" applyFill="1" applyAlignment="1">
      <alignment horizontal="left" vertical="top" wrapText="1"/>
    </xf>
    <xf numFmtId="0" fontId="0" fillId="6" borderId="0" xfId="0" applyFill="1" applyAlignment="1">
      <alignment horizontal="left" vertical="center" wrapText="1"/>
    </xf>
    <xf numFmtId="0" fontId="0" fillId="8" borderId="0" xfId="0" applyFill="1" applyAlignment="1">
      <alignment horizontal="left" vertical="center"/>
    </xf>
    <xf numFmtId="0" fontId="5" fillId="7" borderId="0" xfId="0" applyFont="1" applyFill="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19050</xdr:rowOff>
        </xdr:to>
        <xdr:sp macro="" textlink="">
          <xdr:nvSpPr>
            <xdr:cNvPr id="2050" name="ComboBox1"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0</xdr:rowOff>
        </xdr:from>
        <xdr:to>
          <xdr:col>2</xdr:col>
          <xdr:colOff>9525</xdr:colOff>
          <xdr:row>2</xdr:row>
          <xdr:rowOff>19050</xdr:rowOff>
        </xdr:to>
        <xdr:sp macro="" textlink="">
          <xdr:nvSpPr>
            <xdr:cNvPr id="2059" name="ComboBox2" hidden="1">
              <a:extLst>
                <a:ext uri="{63B3BB69-23CF-44E3-9099-C40C66FF867C}">
                  <a14:compatExt spid="_x0000_s2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xdr:row>
          <xdr:rowOff>0</xdr:rowOff>
        </xdr:from>
        <xdr:to>
          <xdr:col>2</xdr:col>
          <xdr:colOff>828675</xdr:colOff>
          <xdr:row>2</xdr:row>
          <xdr:rowOff>19050</xdr:rowOff>
        </xdr:to>
        <xdr:sp macro="" textlink="">
          <xdr:nvSpPr>
            <xdr:cNvPr id="2060" name="ComboBox3" hidden="1">
              <a:extLst>
                <a:ext uri="{63B3BB69-23CF-44E3-9099-C40C66FF867C}">
                  <a14:compatExt spid="_x0000_s20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0</xdr:colOff>
          <xdr:row>2</xdr:row>
          <xdr:rowOff>19050</xdr:rowOff>
        </xdr:to>
        <xdr:sp macro="" textlink="">
          <xdr:nvSpPr>
            <xdr:cNvPr id="2061" name="ComboBox4" hidden="1">
              <a:extLst>
                <a:ext uri="{63B3BB69-23CF-44E3-9099-C40C66FF867C}">
                  <a14:compatExt spid="_x0000_s20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xdr:row>
          <xdr:rowOff>0</xdr:rowOff>
        </xdr:from>
        <xdr:to>
          <xdr:col>9</xdr:col>
          <xdr:colOff>9525</xdr:colOff>
          <xdr:row>2</xdr:row>
          <xdr:rowOff>19050</xdr:rowOff>
        </xdr:to>
        <xdr:sp macro="" textlink="">
          <xdr:nvSpPr>
            <xdr:cNvPr id="2062" name="ComboBox5" hidden="1">
              <a:extLst>
                <a:ext uri="{63B3BB69-23CF-44E3-9099-C40C66FF867C}">
                  <a14:compatExt spid="_x0000_s2062"/>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7"/>
  <sheetViews>
    <sheetView workbookViewId="0">
      <selection activeCell="G3" sqref="G3"/>
    </sheetView>
  </sheetViews>
  <sheetFormatPr defaultRowHeight="15" x14ac:dyDescent="0.25"/>
  <cols>
    <col min="1" max="1" width="10.85546875" bestFit="1" customWidth="1"/>
  </cols>
  <sheetData>
    <row r="1" spans="1:9" x14ac:dyDescent="0.25">
      <c r="A1" t="s">
        <v>29</v>
      </c>
      <c r="C1" t="s">
        <v>34</v>
      </c>
      <c r="E1" t="s">
        <v>71</v>
      </c>
      <c r="G1" t="s">
        <v>77</v>
      </c>
      <c r="I1" t="s">
        <v>73</v>
      </c>
    </row>
    <row r="2" spans="1:9" x14ac:dyDescent="0.25">
      <c r="A2" t="s">
        <v>30</v>
      </c>
      <c r="C2" t="s">
        <v>35</v>
      </c>
      <c r="E2" t="s">
        <v>72</v>
      </c>
      <c r="G2" t="s">
        <v>78</v>
      </c>
      <c r="I2" t="s">
        <v>74</v>
      </c>
    </row>
    <row r="3" spans="1:9" x14ac:dyDescent="0.25">
      <c r="A3" t="s">
        <v>31</v>
      </c>
      <c r="C3" t="s">
        <v>36</v>
      </c>
      <c r="G3" t="s">
        <v>79</v>
      </c>
      <c r="I3" t="s">
        <v>75</v>
      </c>
    </row>
    <row r="4" spans="1:9" x14ac:dyDescent="0.25">
      <c r="A4" t="s">
        <v>32</v>
      </c>
      <c r="C4" t="s">
        <v>37</v>
      </c>
      <c r="I4" t="s">
        <v>76</v>
      </c>
    </row>
    <row r="5" spans="1:9" x14ac:dyDescent="0.25">
      <c r="A5" t="s">
        <v>33</v>
      </c>
      <c r="C5" t="s">
        <v>38</v>
      </c>
    </row>
    <row r="6" spans="1:9" x14ac:dyDescent="0.25">
      <c r="C6" t="s">
        <v>39</v>
      </c>
    </row>
    <row r="7" spans="1:9" x14ac:dyDescent="0.25">
      <c r="C7" t="s">
        <v>40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J120"/>
  <sheetViews>
    <sheetView topLeftCell="E7" workbookViewId="0">
      <selection activeCell="L35" sqref="L35"/>
    </sheetView>
  </sheetViews>
  <sheetFormatPr defaultRowHeight="15" x14ac:dyDescent="0.25"/>
  <cols>
    <col min="11" max="11" width="14.28515625" bestFit="1" customWidth="1"/>
    <col min="12" max="12" width="12" bestFit="1" customWidth="1"/>
  </cols>
  <sheetData>
    <row r="1" spans="1:36" ht="15.75" thickBot="1" x14ac:dyDescent="0.3">
      <c r="A1" s="8">
        <v>24</v>
      </c>
      <c r="B1" s="9">
        <v>15</v>
      </c>
      <c r="C1" s="10">
        <v>1</v>
      </c>
    </row>
    <row r="2" spans="1:36" x14ac:dyDescent="0.25">
      <c r="A2" s="4">
        <v>1</v>
      </c>
      <c r="B2" s="5">
        <v>0</v>
      </c>
    </row>
    <row r="3" spans="1:36" x14ac:dyDescent="0.25">
      <c r="A3" s="4">
        <v>1</v>
      </c>
      <c r="B3" s="5">
        <v>0</v>
      </c>
    </row>
    <row r="4" spans="1:36" x14ac:dyDescent="0.25">
      <c r="A4" s="4">
        <v>1</v>
      </c>
      <c r="B4" s="5">
        <v>0</v>
      </c>
    </row>
    <row r="5" spans="1:36" x14ac:dyDescent="0.25">
      <c r="A5" s="4">
        <v>1</v>
      </c>
      <c r="B5" s="5">
        <v>0</v>
      </c>
    </row>
    <row r="6" spans="1:36" x14ac:dyDescent="0.25">
      <c r="A6" s="4">
        <v>1</v>
      </c>
      <c r="B6" s="5">
        <v>0</v>
      </c>
    </row>
    <row r="7" spans="1:36" x14ac:dyDescent="0.25">
      <c r="A7" s="4">
        <v>1</v>
      </c>
      <c r="B7" s="5">
        <v>0</v>
      </c>
    </row>
    <row r="8" spans="1:36" x14ac:dyDescent="0.25">
      <c r="A8" s="4">
        <v>1</v>
      </c>
      <c r="B8" s="5">
        <v>0</v>
      </c>
    </row>
    <row r="9" spans="1:36" x14ac:dyDescent="0.25">
      <c r="A9" s="4">
        <v>1</v>
      </c>
      <c r="B9" s="5">
        <v>0</v>
      </c>
    </row>
    <row r="10" spans="1:36" x14ac:dyDescent="0.25">
      <c r="A10" s="4">
        <v>1</v>
      </c>
      <c r="B10" s="5">
        <v>0</v>
      </c>
      <c r="D10" t="s">
        <v>2</v>
      </c>
    </row>
    <row r="11" spans="1:36" x14ac:dyDescent="0.25">
      <c r="A11" s="4">
        <v>1</v>
      </c>
      <c r="B11" s="5">
        <v>0</v>
      </c>
      <c r="L11" t="s">
        <v>29</v>
      </c>
      <c r="M11" t="s">
        <v>30</v>
      </c>
      <c r="N11" t="s">
        <v>31</v>
      </c>
      <c r="O11" t="s">
        <v>32</v>
      </c>
      <c r="P11" t="s">
        <v>33</v>
      </c>
      <c r="Q11" t="s">
        <v>34</v>
      </c>
      <c r="R11" t="s">
        <v>35</v>
      </c>
      <c r="S11" t="s">
        <v>36</v>
      </c>
      <c r="T11" t="s">
        <v>37</v>
      </c>
      <c r="U11" t="s">
        <v>38</v>
      </c>
      <c r="V11" t="s">
        <v>39</v>
      </c>
      <c r="W11" t="s">
        <v>40</v>
      </c>
      <c r="X11" t="s">
        <v>41</v>
      </c>
      <c r="Y11" t="s">
        <v>42</v>
      </c>
      <c r="Z11" t="s">
        <v>43</v>
      </c>
      <c r="AA11" t="s">
        <v>44</v>
      </c>
      <c r="AB11" t="s">
        <v>45</v>
      </c>
      <c r="AC11" t="s">
        <v>46</v>
      </c>
      <c r="AD11" t="s">
        <v>47</v>
      </c>
      <c r="AE11" t="s">
        <v>48</v>
      </c>
      <c r="AF11" t="s">
        <v>49</v>
      </c>
      <c r="AG11" t="s">
        <v>50</v>
      </c>
      <c r="AH11" t="s">
        <v>51</v>
      </c>
      <c r="AI11" t="s">
        <v>52</v>
      </c>
      <c r="AJ11" t="s">
        <v>53</v>
      </c>
    </row>
    <row r="12" spans="1:36" x14ac:dyDescent="0.25">
      <c r="A12" s="4">
        <v>1</v>
      </c>
      <c r="B12" s="5">
        <v>0</v>
      </c>
      <c r="L12">
        <v>0</v>
      </c>
      <c r="M12">
        <v>1</v>
      </c>
      <c r="N12">
        <v>0</v>
      </c>
      <c r="O12">
        <v>0</v>
      </c>
      <c r="P12">
        <v>0</v>
      </c>
      <c r="Q12">
        <v>0</v>
      </c>
      <c r="R12">
        <v>0</v>
      </c>
      <c r="S12">
        <v>0</v>
      </c>
      <c r="T12">
        <v>1</v>
      </c>
      <c r="U12">
        <v>0</v>
      </c>
      <c r="V12">
        <v>0</v>
      </c>
      <c r="W12">
        <v>0</v>
      </c>
      <c r="X12">
        <v>0</v>
      </c>
      <c r="Y12">
        <v>1</v>
      </c>
      <c r="Z12">
        <v>0</v>
      </c>
      <c r="AA12">
        <v>0</v>
      </c>
      <c r="AB12">
        <v>1.7500000000000002E-2</v>
      </c>
      <c r="AC12">
        <v>32</v>
      </c>
      <c r="AD12">
        <v>1.78705683578839</v>
      </c>
      <c r="AE12">
        <v>184.97304736151</v>
      </c>
      <c r="AF12">
        <v>1</v>
      </c>
      <c r="AG12">
        <v>0</v>
      </c>
      <c r="AH12">
        <v>0</v>
      </c>
      <c r="AI12">
        <v>0</v>
      </c>
      <c r="AJ12">
        <v>1</v>
      </c>
    </row>
    <row r="13" spans="1:36" x14ac:dyDescent="0.25">
      <c r="A13" s="4">
        <v>1</v>
      </c>
      <c r="B13" s="5">
        <v>0</v>
      </c>
    </row>
    <row r="14" spans="1:36" x14ac:dyDescent="0.25">
      <c r="A14" s="4">
        <v>1</v>
      </c>
      <c r="B14" s="5">
        <v>0</v>
      </c>
      <c r="K14" s="23" t="s">
        <v>54</v>
      </c>
      <c r="L14" s="24">
        <v>1</v>
      </c>
      <c r="M14" s="24">
        <v>1</v>
      </c>
      <c r="N14" s="24">
        <v>1</v>
      </c>
      <c r="O14" s="24">
        <v>1</v>
      </c>
      <c r="P14" s="24">
        <v>1</v>
      </c>
      <c r="Q14" s="24">
        <v>1</v>
      </c>
      <c r="R14" s="24">
        <v>1</v>
      </c>
      <c r="S14" s="24">
        <v>1</v>
      </c>
      <c r="T14" s="24">
        <v>1</v>
      </c>
      <c r="U14" s="24">
        <v>1</v>
      </c>
      <c r="V14" s="24">
        <v>1</v>
      </c>
      <c r="W14" s="24">
        <v>1</v>
      </c>
      <c r="X14" s="24">
        <v>1</v>
      </c>
      <c r="Y14" s="24">
        <v>1</v>
      </c>
      <c r="Z14" s="24">
        <v>1</v>
      </c>
      <c r="AA14" s="24">
        <v>1</v>
      </c>
      <c r="AB14" s="24">
        <v>1.98</v>
      </c>
      <c r="AC14" s="24">
        <v>57</v>
      </c>
      <c r="AD14" s="24">
        <v>4.4800000000000004</v>
      </c>
      <c r="AE14" s="24">
        <v>188.24</v>
      </c>
      <c r="AF14" s="24">
        <v>1</v>
      </c>
      <c r="AG14" s="24">
        <v>1</v>
      </c>
      <c r="AH14" s="24">
        <v>1</v>
      </c>
      <c r="AI14" s="24">
        <v>1</v>
      </c>
      <c r="AJ14" s="24">
        <v>265.55</v>
      </c>
    </row>
    <row r="15" spans="1:36" x14ac:dyDescent="0.25">
      <c r="A15" s="4">
        <v>1</v>
      </c>
      <c r="B15" s="5">
        <v>0</v>
      </c>
      <c r="K15" s="23" t="s">
        <v>55</v>
      </c>
      <c r="L15" s="24">
        <v>0</v>
      </c>
      <c r="M15" s="24">
        <v>0</v>
      </c>
      <c r="N15" s="24">
        <v>0</v>
      </c>
      <c r="O15" s="24">
        <v>0</v>
      </c>
      <c r="P15" s="24">
        <v>0</v>
      </c>
      <c r="Q15" s="24">
        <v>0</v>
      </c>
      <c r="R15" s="24">
        <v>0</v>
      </c>
      <c r="S15" s="24">
        <v>0</v>
      </c>
      <c r="T15" s="24">
        <v>0</v>
      </c>
      <c r="U15" s="24">
        <v>0</v>
      </c>
      <c r="V15" s="24">
        <v>0</v>
      </c>
      <c r="W15" s="24">
        <v>0</v>
      </c>
      <c r="X15" s="24">
        <v>0</v>
      </c>
      <c r="Y15" s="24">
        <v>0</v>
      </c>
      <c r="Z15" s="24">
        <v>0</v>
      </c>
      <c r="AA15" s="24">
        <v>0</v>
      </c>
      <c r="AB15" s="24">
        <v>0</v>
      </c>
      <c r="AC15" s="24">
        <v>-8</v>
      </c>
      <c r="AD15" s="24">
        <v>0</v>
      </c>
      <c r="AE15" s="24">
        <v>175.38</v>
      </c>
      <c r="AF15" s="24">
        <v>0</v>
      </c>
      <c r="AG15" s="24">
        <v>0</v>
      </c>
      <c r="AH15" s="24">
        <v>0</v>
      </c>
      <c r="AI15" s="24">
        <v>0</v>
      </c>
      <c r="AJ15" s="24">
        <v>0</v>
      </c>
    </row>
    <row r="16" spans="1:36" x14ac:dyDescent="0.25">
      <c r="A16" s="4">
        <v>1</v>
      </c>
      <c r="B16" s="5">
        <v>0</v>
      </c>
    </row>
    <row r="17" spans="1:36" x14ac:dyDescent="0.25">
      <c r="A17" s="4">
        <v>1</v>
      </c>
      <c r="B17" s="5">
        <v>0</v>
      </c>
      <c r="K17" t="s">
        <v>56</v>
      </c>
      <c r="L17">
        <f>(L12-L15)/(L14-L15)</f>
        <v>0</v>
      </c>
      <c r="M17">
        <f t="shared" ref="M17:AJ17" si="0">(M12-M15)/(M14-M15)</f>
        <v>1</v>
      </c>
      <c r="N17">
        <f t="shared" si="0"/>
        <v>0</v>
      </c>
      <c r="O17">
        <f t="shared" si="0"/>
        <v>0</v>
      </c>
      <c r="P17">
        <f t="shared" si="0"/>
        <v>0</v>
      </c>
      <c r="Q17">
        <f t="shared" si="0"/>
        <v>0</v>
      </c>
      <c r="R17">
        <f t="shared" si="0"/>
        <v>0</v>
      </c>
      <c r="S17">
        <f t="shared" si="0"/>
        <v>0</v>
      </c>
      <c r="T17">
        <f t="shared" si="0"/>
        <v>1</v>
      </c>
      <c r="U17">
        <f t="shared" si="0"/>
        <v>0</v>
      </c>
      <c r="V17">
        <f t="shared" si="0"/>
        <v>0</v>
      </c>
      <c r="W17">
        <f t="shared" si="0"/>
        <v>0</v>
      </c>
      <c r="X17">
        <f t="shared" si="0"/>
        <v>0</v>
      </c>
      <c r="Y17">
        <f t="shared" si="0"/>
        <v>1</v>
      </c>
      <c r="Z17">
        <f t="shared" si="0"/>
        <v>0</v>
      </c>
      <c r="AA17">
        <f t="shared" si="0"/>
        <v>0</v>
      </c>
      <c r="AB17">
        <f t="shared" si="0"/>
        <v>8.8383838383838398E-3</v>
      </c>
      <c r="AC17">
        <f t="shared" si="0"/>
        <v>0.61538461538461542</v>
      </c>
      <c r="AD17">
        <f t="shared" si="0"/>
        <v>0.39889661513133701</v>
      </c>
      <c r="AE17">
        <f t="shared" si="0"/>
        <v>0.7459601369758937</v>
      </c>
      <c r="AF17">
        <f t="shared" si="0"/>
        <v>1</v>
      </c>
      <c r="AG17">
        <f t="shared" si="0"/>
        <v>0</v>
      </c>
      <c r="AH17">
        <f t="shared" si="0"/>
        <v>0</v>
      </c>
      <c r="AI17">
        <f t="shared" si="0"/>
        <v>0</v>
      </c>
      <c r="AJ17">
        <f t="shared" si="0"/>
        <v>3.765769158350593E-3</v>
      </c>
    </row>
    <row r="18" spans="1:36" x14ac:dyDescent="0.25">
      <c r="A18" s="4">
        <v>1.98</v>
      </c>
      <c r="B18" s="5">
        <v>0</v>
      </c>
    </row>
    <row r="19" spans="1:36" x14ac:dyDescent="0.25">
      <c r="A19" s="4">
        <v>57</v>
      </c>
      <c r="B19" s="5">
        <v>-8</v>
      </c>
      <c r="K19" t="s">
        <v>57</v>
      </c>
      <c r="L19" s="25">
        <f>A27+$L$17*A31+$M$17*A34+$N$17*A37+$O$17*A40+$P$17*A43+$Q$17*A46+$R$17*A49+$S$17*A52+$T$17*A55+$U$17*A58+$V$17*A61+$W$17*A64+$X$17*A67+$Y$17*A70+$Z$17*A73+$AA$17*A76+$AB$17*A79+$AC$17*A82+$AD$17*A85+$AE$17*A88+$AF$17*A91+$AG$17*A94+$AH$17*A97+$AI$17*A100</f>
        <v>-9.3450322316484282</v>
      </c>
      <c r="M19" s="25">
        <f t="shared" ref="M19:P19" si="1">B27+$L$17*B31+$M$17*B34+$N$17*B37+$O$17*B40+$P$17*B43+$Q$17*B46+$R$17*B49+$S$17*B52+$T$17*B55+$U$17*B58+$V$17*B61+$W$17*B64+$X$17*B67+$Y$17*B70+$Z$17*B73+$AA$17*B76+$AB$17*B79+$AC$17*B82+$AD$17*B85+$AE$17*B88+$AF$17*B91+$AG$17*B94+$AH$17*B97+$AI$17*B100</f>
        <v>-21.242833043280932</v>
      </c>
      <c r="N19" s="25">
        <f t="shared" si="1"/>
        <v>-13.416116228284736</v>
      </c>
      <c r="O19" s="25">
        <f t="shared" si="1"/>
        <v>-47.227413452147921</v>
      </c>
      <c r="P19" s="25">
        <f t="shared" si="1"/>
        <v>4.468304280153319</v>
      </c>
    </row>
    <row r="20" spans="1:36" x14ac:dyDescent="0.25">
      <c r="A20" s="4">
        <v>4.4800000000000004</v>
      </c>
      <c r="B20" s="5">
        <v>0</v>
      </c>
      <c r="L20" s="25">
        <f t="shared" ref="L20:L21" si="2">A28+$L$17*A32+$M$17*A35+$N$17*A38+$O$17*A41+$P$17*A44+$Q$17*A47+$R$17*A50+$S$17*A53+$T$17*A56+$U$17*A59+$V$17*A62+$W$17*A65+$X$17*A68+$Y$17*A71+$Z$17*A74+$AA$17*A77+$AB$17*A80+$AC$17*A83+$AD$17*A86+$AE$17*A89+$AF$17*A92+$AG$17*A95+$AH$17*A98+$AI$17*A101</f>
        <v>-19.693335558071865</v>
      </c>
      <c r="M20" s="25">
        <f t="shared" ref="M20:M21" si="3">B28+$L$17*B32+$M$17*B35+$N$17*B38+$O$17*B41+$P$17*B44+$Q$17*B47+$R$17*B50+$S$17*B53+$T$17*B56+$U$17*B59+$V$17*B62+$W$17*B65+$X$17*B68+$Y$17*B71+$Z$17*B74+$AA$17*B77+$AB$17*B80+$AC$17*B83+$AD$17*B86+$AE$17*B89+$AF$17*B92+$AG$17*B95+$AH$17*B98+$AI$17*B101</f>
        <v>35.067082751850464</v>
      </c>
      <c r="N20" s="25">
        <f t="shared" ref="N20:N21" si="4">C28+$L$17*C32+$M$17*C35+$N$17*C38+$O$17*C41+$P$17*C44+$Q$17*C47+$R$17*C50+$S$17*C53+$T$17*C56+$U$17*C59+$V$17*C62+$W$17*C65+$X$17*C68+$Y$17*C71+$Z$17*C74+$AA$17*C77+$AB$17*C80+$AC$17*C83+$AD$17*C86+$AE$17*C89+$AF$17*C92+$AG$17*C95+$AH$17*C98+$AI$17*C101</f>
        <v>-27.442124914310277</v>
      </c>
      <c r="O20" s="25">
        <f t="shared" ref="O20:O21" si="5">D28+$L$17*D32+$M$17*D35+$N$17*D38+$O$17*D41+$P$17*D44+$Q$17*D47+$R$17*D50+$S$17*D53+$T$17*D56+$U$17*D59+$V$17*D62+$W$17*D65+$X$17*D68+$Y$17*D71+$Z$17*D74+$AA$17*D77+$AB$17*D80+$AC$17*D83+$AD$17*D86+$AE$17*D89+$AF$17*D92+$AG$17*D95+$AH$17*D98+$AI$17*D101</f>
        <v>-3.5446893869457812</v>
      </c>
      <c r="P20" s="25">
        <f t="shared" ref="P20:P21" si="6">E28+$L$17*E32+$M$17*E35+$N$17*E38+$O$17*E41+$P$17*E44+$Q$17*E47+$R$17*E50+$S$17*E53+$T$17*E56+$U$17*E59+$V$17*E62+$W$17*E65+$X$17*E68+$Y$17*E71+$Z$17*E74+$AA$17*E77+$AB$17*E80+$AC$17*E83+$AD$17*E86+$AE$17*E89+$AF$17*E92+$AG$17*E95+$AH$17*E98+$AI$17*E101</f>
        <v>-36.242383197262534</v>
      </c>
    </row>
    <row r="21" spans="1:36" x14ac:dyDescent="0.25">
      <c r="A21" s="4">
        <v>188.24</v>
      </c>
      <c r="B21" s="5">
        <v>175.38</v>
      </c>
      <c r="L21" s="25">
        <f t="shared" si="2"/>
        <v>-34.86809784380948</v>
      </c>
      <c r="M21" s="25">
        <f t="shared" si="3"/>
        <v>35.14328335785207</v>
      </c>
      <c r="N21" s="25">
        <f t="shared" si="4"/>
        <v>4.4880464059822796</v>
      </c>
      <c r="O21" s="25">
        <f t="shared" si="5"/>
        <v>-0.92711808230706394</v>
      </c>
      <c r="P21" s="25">
        <f t="shared" si="6"/>
        <v>-8.7959153163714703</v>
      </c>
    </row>
    <row r="22" spans="1:36" x14ac:dyDescent="0.25">
      <c r="A22" s="4">
        <v>1</v>
      </c>
      <c r="B22" s="5">
        <v>0</v>
      </c>
    </row>
    <row r="23" spans="1:36" x14ac:dyDescent="0.25">
      <c r="A23" s="4">
        <v>1</v>
      </c>
      <c r="B23" s="5">
        <v>0</v>
      </c>
      <c r="K23" t="s">
        <v>58</v>
      </c>
      <c r="L23">
        <f>1/(1+EXP(-L19))</f>
        <v>8.7390880194537023E-5</v>
      </c>
      <c r="M23">
        <f t="shared" ref="M23:P23" si="7">1/(1+EXP(-M19))</f>
        <v>5.9477790803155394E-10</v>
      </c>
      <c r="N23">
        <f t="shared" si="7"/>
        <v>1.4909191944278875E-6</v>
      </c>
      <c r="O23">
        <f t="shared" si="7"/>
        <v>3.0859930465896432E-21</v>
      </c>
      <c r="P23">
        <f t="shared" si="7"/>
        <v>0.98866325182767467</v>
      </c>
    </row>
    <row r="24" spans="1:36" x14ac:dyDescent="0.25">
      <c r="A24" s="4">
        <v>1</v>
      </c>
      <c r="B24" s="5">
        <v>0</v>
      </c>
      <c r="L24">
        <f t="shared" ref="L24:P24" si="8">1/(1+EXP(-L20))</f>
        <v>2.8008705401996185E-9</v>
      </c>
      <c r="M24">
        <f t="shared" si="8"/>
        <v>0.99999999999999933</v>
      </c>
      <c r="N24">
        <f t="shared" si="8"/>
        <v>1.2079155662930672E-12</v>
      </c>
      <c r="O24">
        <f t="shared" si="8"/>
        <v>2.8067081185966503E-2</v>
      </c>
      <c r="P24">
        <f t="shared" si="8"/>
        <v>1.8202580752831149E-16</v>
      </c>
    </row>
    <row r="25" spans="1:36" ht="15.75" thickBot="1" x14ac:dyDescent="0.3">
      <c r="A25" s="4">
        <v>1</v>
      </c>
      <c r="B25" s="5">
        <v>0</v>
      </c>
      <c r="L25">
        <f t="shared" ref="L25:P25" si="9">1/(1+EXP(-L21))</f>
        <v>7.1941172546797149E-16</v>
      </c>
      <c r="M25">
        <f t="shared" si="9"/>
        <v>0.99999999999999956</v>
      </c>
      <c r="N25">
        <f t="shared" si="9"/>
        <v>0.98888240470111854</v>
      </c>
      <c r="O25">
        <f t="shared" si="9"/>
        <v>0.28350975872288942</v>
      </c>
      <c r="P25">
        <f t="shared" si="9"/>
        <v>1.5132712783151524E-4</v>
      </c>
    </row>
    <row r="26" spans="1:36" ht="15.75" thickBot="1" x14ac:dyDescent="0.3">
      <c r="A26" s="21">
        <v>265.55</v>
      </c>
      <c r="B26" s="22">
        <v>0</v>
      </c>
      <c r="D26" t="s">
        <v>1</v>
      </c>
    </row>
    <row r="27" spans="1:36" x14ac:dyDescent="0.25">
      <c r="A27" s="2">
        <v>5.4440999999999997</v>
      </c>
      <c r="B27" s="11">
        <v>-4.7488000000000001</v>
      </c>
      <c r="C27" s="11">
        <v>1.3038000000000001</v>
      </c>
      <c r="D27" s="11">
        <v>-4.2457000000000003</v>
      </c>
      <c r="E27" s="3">
        <v>2.2803</v>
      </c>
      <c r="K27" t="s">
        <v>61</v>
      </c>
      <c r="L27" s="1">
        <f>L23*C111</f>
        <v>-1.1131850319180126E-4</v>
      </c>
      <c r="M27" s="1">
        <f t="shared" ref="M27:P27" si="10">M23*D111</f>
        <v>-1.536311336445504E-9</v>
      </c>
      <c r="N27" s="1">
        <f t="shared" si="10"/>
        <v>-3.9197756540703598E-6</v>
      </c>
      <c r="O27" s="1">
        <f t="shared" si="10"/>
        <v>-3.3236145111770458E-21</v>
      </c>
      <c r="P27" s="1">
        <f t="shared" si="10"/>
        <v>-1.7682242258937961</v>
      </c>
    </row>
    <row r="28" spans="1:36" x14ac:dyDescent="0.25">
      <c r="A28" s="4">
        <v>-2.2585999999999999</v>
      </c>
      <c r="B28" s="12">
        <v>-3.6225000000000001</v>
      </c>
      <c r="C28" s="12">
        <v>-3.9173</v>
      </c>
      <c r="D28" s="12">
        <v>-1.4175E-2</v>
      </c>
      <c r="E28" s="5">
        <v>-6.9713000000000003</v>
      </c>
      <c r="G28" t="s">
        <v>3</v>
      </c>
      <c r="L28" s="1">
        <f t="shared" ref="L28:L29" si="11">L24*C112</f>
        <v>4.9740659923405027E-9</v>
      </c>
      <c r="M28" s="1">
        <f t="shared" ref="M28:M29" si="12">M24*D112</f>
        <v>-1.3159999999999992</v>
      </c>
      <c r="N28" s="1">
        <f t="shared" ref="N28:N29" si="13">N24*E112</f>
        <v>3.2372137176654204E-12</v>
      </c>
      <c r="O28" s="1">
        <f t="shared" ref="O28:O29" si="14">O24*F112</f>
        <v>-4.9805035564497557E-2</v>
      </c>
      <c r="P28" s="1">
        <f t="shared" ref="P28:P29" si="15">P24*G112</f>
        <v>-2.2565739359284774E-16</v>
      </c>
    </row>
    <row r="29" spans="1:36" ht="15.75" thickBot="1" x14ac:dyDescent="0.3">
      <c r="A29" s="6">
        <v>9.1292000000000009</v>
      </c>
      <c r="B29" s="15">
        <v>-0.39407999999999999</v>
      </c>
      <c r="C29" s="15">
        <v>-0.15922</v>
      </c>
      <c r="D29" s="15">
        <v>-2.3395999999999999</v>
      </c>
      <c r="E29" s="7">
        <v>-0.51509000000000005</v>
      </c>
      <c r="L29" s="1">
        <f t="shared" si="11"/>
        <v>-1.045521060622603E-15</v>
      </c>
      <c r="M29" s="1">
        <f t="shared" si="12"/>
        <v>-0.94077999999999951</v>
      </c>
      <c r="N29" s="1">
        <f t="shared" si="13"/>
        <v>-0.67755255722906538</v>
      </c>
      <c r="O29" s="1">
        <f t="shared" si="14"/>
        <v>0.76442736244452669</v>
      </c>
      <c r="P29" s="1">
        <f t="shared" si="15"/>
        <v>1.355739738242545E-4</v>
      </c>
    </row>
    <row r="30" spans="1:36" ht="15.75" thickBot="1" x14ac:dyDescent="0.3">
      <c r="A30" s="17">
        <v>2.0266000000000002</v>
      </c>
      <c r="B30" s="13"/>
      <c r="C30" s="13"/>
      <c r="D30" s="13"/>
      <c r="E30" s="13"/>
      <c r="G30" t="s">
        <v>4</v>
      </c>
    </row>
    <row r="31" spans="1:36" x14ac:dyDescent="0.25">
      <c r="A31" s="2">
        <v>22.817</v>
      </c>
      <c r="B31" s="11">
        <v>-5.7530000000000001</v>
      </c>
      <c r="C31" s="11">
        <v>8.4944000000000006</v>
      </c>
      <c r="D31" s="11">
        <v>32.179000000000002</v>
      </c>
      <c r="E31" s="3">
        <v>2.3426999999999998</v>
      </c>
      <c r="K31" t="s">
        <v>59</v>
      </c>
      <c r="L31" s="1">
        <f>SUM(L27:P29)+A30</f>
        <v>-1.9613141171068613</v>
      </c>
    </row>
    <row r="32" spans="1:36" x14ac:dyDescent="0.25">
      <c r="A32" s="4">
        <v>1.4756</v>
      </c>
      <c r="B32" s="12">
        <v>-16.861999999999998</v>
      </c>
      <c r="C32" s="12">
        <v>0.30284</v>
      </c>
      <c r="D32" s="12">
        <v>14.555</v>
      </c>
      <c r="E32" s="5">
        <v>-4.0713999999999997</v>
      </c>
      <c r="G32" t="s">
        <v>5</v>
      </c>
    </row>
    <row r="33" spans="1:12" ht="15.75" thickBot="1" x14ac:dyDescent="0.3">
      <c r="A33" s="6">
        <v>-8.9873999999999992</v>
      </c>
      <c r="B33" s="15">
        <v>-6.5960000000000001</v>
      </c>
      <c r="C33" s="15">
        <v>-6.2427000000000001</v>
      </c>
      <c r="D33" s="15">
        <v>-1.4490000000000001</v>
      </c>
      <c r="E33" s="7">
        <v>-0.16924</v>
      </c>
      <c r="K33" t="s">
        <v>62</v>
      </c>
      <c r="L33" s="1">
        <f>1/(1+EXP(-L31))</f>
        <v>0.1233249003101367</v>
      </c>
    </row>
    <row r="34" spans="1:12" x14ac:dyDescent="0.25">
      <c r="A34" s="2">
        <v>-3.5293000000000001</v>
      </c>
      <c r="B34" s="11">
        <v>-23.905000000000001</v>
      </c>
      <c r="C34" s="11">
        <v>-2.6555</v>
      </c>
      <c r="D34" s="11">
        <v>-15.256</v>
      </c>
      <c r="E34" s="3">
        <v>4.8936000000000002</v>
      </c>
    </row>
    <row r="35" spans="1:12" x14ac:dyDescent="0.25">
      <c r="A35" s="4">
        <v>-22.603000000000002</v>
      </c>
      <c r="B35" s="12">
        <v>2.7303000000000002</v>
      </c>
      <c r="C35" s="12">
        <v>-10.670999999999999</v>
      </c>
      <c r="D35" s="12">
        <v>3.4594</v>
      </c>
      <c r="E35" s="5">
        <v>-16.323</v>
      </c>
      <c r="G35" t="s">
        <v>6</v>
      </c>
      <c r="K35" t="s">
        <v>63</v>
      </c>
      <c r="L35" s="25">
        <f>L33*(A26-B26)+B26</f>
        <v>32.748927277356799</v>
      </c>
    </row>
    <row r="36" spans="1:12" ht="15.75" thickBot="1" x14ac:dyDescent="0.3">
      <c r="A36" s="6">
        <v>-12.544</v>
      </c>
      <c r="B36" s="15">
        <v>18.844999999999999</v>
      </c>
      <c r="C36" s="15">
        <v>-2.8113000000000001</v>
      </c>
      <c r="D36" s="15">
        <v>-0.82691000000000003</v>
      </c>
      <c r="E36" s="7">
        <v>-4.1135000000000002</v>
      </c>
    </row>
    <row r="37" spans="1:12" x14ac:dyDescent="0.25">
      <c r="A37" s="2">
        <v>-16.186</v>
      </c>
      <c r="B37" s="11">
        <v>7.4657999999999998</v>
      </c>
      <c r="C37" s="11">
        <v>-0.49668000000000001</v>
      </c>
      <c r="D37" s="11">
        <v>5.2912000000000001E-2</v>
      </c>
      <c r="E37" s="3">
        <v>-2.8990999999999998</v>
      </c>
    </row>
    <row r="38" spans="1:12" x14ac:dyDescent="0.25">
      <c r="A38" s="4">
        <v>15.458</v>
      </c>
      <c r="B38" s="12">
        <v>-1.5945</v>
      </c>
      <c r="C38" s="12">
        <v>-5.2824999999999998</v>
      </c>
      <c r="D38" s="12">
        <v>-9.9563000000000006</v>
      </c>
      <c r="E38" s="5">
        <v>-8.6847999999999992</v>
      </c>
      <c r="G38" t="s">
        <v>7</v>
      </c>
    </row>
    <row r="39" spans="1:12" ht="15.75" thickBot="1" x14ac:dyDescent="0.3">
      <c r="A39" s="6">
        <v>37.76</v>
      </c>
      <c r="B39" s="15">
        <v>3.4756</v>
      </c>
      <c r="C39" s="15">
        <v>-0.68139000000000005</v>
      </c>
      <c r="D39" s="15">
        <v>0.47650999999999999</v>
      </c>
      <c r="E39" s="7">
        <v>1.8128</v>
      </c>
    </row>
    <row r="40" spans="1:12" x14ac:dyDescent="0.25">
      <c r="A40" s="2">
        <v>-10.928000000000001</v>
      </c>
      <c r="B40" s="11">
        <v>6.8337000000000003</v>
      </c>
      <c r="C40" s="11">
        <v>-5.0327000000000002</v>
      </c>
      <c r="D40" s="11">
        <v>-22.53</v>
      </c>
      <c r="E40" s="3">
        <v>-0.76432999999999995</v>
      </c>
    </row>
    <row r="41" spans="1:12" x14ac:dyDescent="0.25">
      <c r="A41" s="4">
        <v>-15.115</v>
      </c>
      <c r="B41" s="12">
        <v>13.07</v>
      </c>
      <c r="C41" s="12">
        <v>10.875999999999999</v>
      </c>
      <c r="D41" s="12">
        <v>-2.0933000000000002</v>
      </c>
      <c r="E41" s="5">
        <v>10.234</v>
      </c>
      <c r="G41" t="s">
        <v>8</v>
      </c>
    </row>
    <row r="42" spans="1:12" ht="15.75" thickBot="1" x14ac:dyDescent="0.3">
      <c r="A42" s="6">
        <v>9.3779000000000003</v>
      </c>
      <c r="B42" s="15">
        <v>-10.047000000000001</v>
      </c>
      <c r="C42" s="15">
        <v>2.6562000000000001</v>
      </c>
      <c r="D42" s="15">
        <v>-0.12569</v>
      </c>
      <c r="E42" s="7">
        <v>-0.56354000000000004</v>
      </c>
    </row>
    <row r="43" spans="1:12" x14ac:dyDescent="0.25">
      <c r="A43" s="2">
        <v>15.035</v>
      </c>
      <c r="B43" s="11">
        <v>9.0892999999999997</v>
      </c>
      <c r="C43" s="11">
        <v>-2.0535000000000001</v>
      </c>
      <c r="D43" s="11">
        <v>-0.94477</v>
      </c>
      <c r="E43" s="3">
        <v>-1.1217999999999999</v>
      </c>
    </row>
    <row r="44" spans="1:12" x14ac:dyDescent="0.25">
      <c r="A44" s="4">
        <v>18.632000000000001</v>
      </c>
      <c r="B44" s="12">
        <v>-3.1764999999999999</v>
      </c>
      <c r="C44" s="12">
        <v>-2.2759999999999998</v>
      </c>
      <c r="D44" s="12">
        <v>-12.865</v>
      </c>
      <c r="E44" s="5">
        <v>10.85</v>
      </c>
      <c r="G44" t="s">
        <v>9</v>
      </c>
    </row>
    <row r="45" spans="1:12" ht="15.75" thickBot="1" x14ac:dyDescent="0.3">
      <c r="A45" s="6">
        <v>-15.817</v>
      </c>
      <c r="B45" s="15">
        <v>-7.2637</v>
      </c>
      <c r="C45" s="15">
        <v>8.6236999999999995</v>
      </c>
      <c r="D45" s="15">
        <v>-1.5507</v>
      </c>
      <c r="E45" s="7">
        <v>2.1547000000000001</v>
      </c>
    </row>
    <row r="46" spans="1:12" x14ac:dyDescent="0.25">
      <c r="A46" s="2">
        <v>-14.055999999999999</v>
      </c>
      <c r="B46" s="11">
        <v>4.0317999999999996</v>
      </c>
      <c r="C46" s="11">
        <v>-17.95</v>
      </c>
      <c r="D46" s="11">
        <v>19.38</v>
      </c>
      <c r="E46" s="3">
        <v>11.927</v>
      </c>
    </row>
    <row r="47" spans="1:12" x14ac:dyDescent="0.25">
      <c r="A47" s="4">
        <v>14.337999999999999</v>
      </c>
      <c r="B47" s="12">
        <v>-10.1</v>
      </c>
      <c r="C47" s="12">
        <v>28.062000000000001</v>
      </c>
      <c r="D47" s="12">
        <v>1.1258999999999999</v>
      </c>
      <c r="E47" s="5">
        <v>-24.721</v>
      </c>
      <c r="G47" t="s">
        <v>10</v>
      </c>
    </row>
    <row r="48" spans="1:12" ht="15.75" thickBot="1" x14ac:dyDescent="0.3">
      <c r="A48" s="6">
        <v>14.555999999999999</v>
      </c>
      <c r="B48" s="15">
        <v>-10.651</v>
      </c>
      <c r="C48" s="15">
        <v>-7.9532999999999996</v>
      </c>
      <c r="D48" s="15">
        <v>-3.2204000000000002</v>
      </c>
      <c r="E48" s="7">
        <v>-2.1002999999999998</v>
      </c>
    </row>
    <row r="49" spans="1:7" x14ac:dyDescent="0.25">
      <c r="A49" s="2">
        <v>-16.433</v>
      </c>
      <c r="B49" s="11">
        <v>-12.356999999999999</v>
      </c>
      <c r="C49" s="11">
        <v>11.965</v>
      </c>
      <c r="D49" s="11">
        <v>13.026999999999999</v>
      </c>
      <c r="E49" s="3">
        <v>2.5438999999999998</v>
      </c>
    </row>
    <row r="50" spans="1:7" x14ac:dyDescent="0.25">
      <c r="A50" s="4">
        <v>-0.57201999999999997</v>
      </c>
      <c r="B50" s="12">
        <v>4.0183</v>
      </c>
      <c r="C50" s="12">
        <v>-9.8924000000000003</v>
      </c>
      <c r="D50" s="12">
        <v>-1.1741999999999999</v>
      </c>
      <c r="E50" s="5">
        <v>-1.6194999999999999</v>
      </c>
      <c r="G50" t="s">
        <v>11</v>
      </c>
    </row>
    <row r="51" spans="1:7" ht="15.75" thickBot="1" x14ac:dyDescent="0.3">
      <c r="A51" s="6">
        <v>20.035</v>
      </c>
      <c r="B51" s="15">
        <v>5.0613999999999999</v>
      </c>
      <c r="C51" s="15">
        <v>2.1526000000000001</v>
      </c>
      <c r="D51" s="15">
        <v>0.71545999999999998</v>
      </c>
      <c r="E51" s="7">
        <v>-0.40917999999999999</v>
      </c>
    </row>
    <row r="52" spans="1:7" x14ac:dyDescent="0.25">
      <c r="A52" s="2">
        <v>-3.5371999999999999</v>
      </c>
      <c r="B52" s="11">
        <v>9.6964000000000006</v>
      </c>
      <c r="C52" s="11">
        <v>-4.4665999999999997</v>
      </c>
      <c r="D52" s="11">
        <v>-5.5620000000000003</v>
      </c>
      <c r="E52" s="3">
        <v>3.6213000000000002</v>
      </c>
    </row>
    <row r="53" spans="1:7" x14ac:dyDescent="0.25">
      <c r="A53" s="4">
        <v>2.4630000000000001</v>
      </c>
      <c r="B53" s="12">
        <v>-26.771999999999998</v>
      </c>
      <c r="C53" s="12">
        <v>-1.1431</v>
      </c>
      <c r="D53" s="12">
        <v>11.647</v>
      </c>
      <c r="E53" s="5">
        <v>12.212</v>
      </c>
      <c r="G53" t="s">
        <v>12</v>
      </c>
    </row>
    <row r="54" spans="1:7" ht="15.75" thickBot="1" x14ac:dyDescent="0.3">
      <c r="A54" s="6">
        <v>12.112</v>
      </c>
      <c r="B54" s="15">
        <v>5.0514000000000001</v>
      </c>
      <c r="C54" s="15">
        <v>8.9639000000000006</v>
      </c>
      <c r="D54" s="15">
        <v>-0.96750000000000003</v>
      </c>
      <c r="E54" s="7">
        <v>0.59472000000000003</v>
      </c>
    </row>
    <row r="55" spans="1:7" x14ac:dyDescent="0.25">
      <c r="A55" s="2">
        <v>-4.2008000000000001</v>
      </c>
      <c r="B55" s="11">
        <v>10.273</v>
      </c>
      <c r="C55" s="11">
        <v>0.14141000000000001</v>
      </c>
      <c r="D55" s="11">
        <v>-7.2413999999999996</v>
      </c>
      <c r="E55" s="3">
        <v>-4.6467999999999998</v>
      </c>
    </row>
    <row r="56" spans="1:7" x14ac:dyDescent="0.25">
      <c r="A56" s="4">
        <v>-4.1250999999999998</v>
      </c>
      <c r="B56" s="12">
        <v>21.091000000000001</v>
      </c>
      <c r="C56" s="12">
        <v>3.1871999999999998</v>
      </c>
      <c r="D56" s="12">
        <v>7.6622000000000003</v>
      </c>
      <c r="E56" s="5">
        <v>2.3231999999999999</v>
      </c>
      <c r="G56" t="s">
        <v>13</v>
      </c>
    </row>
    <row r="57" spans="1:7" ht="15.75" thickBot="1" x14ac:dyDescent="0.3">
      <c r="A57" s="6">
        <v>-9.4271999999999991</v>
      </c>
      <c r="B57" s="15">
        <v>12.57</v>
      </c>
      <c r="C57" s="15">
        <v>-1.7699</v>
      </c>
      <c r="D57" s="15">
        <v>0.26333000000000001</v>
      </c>
      <c r="E57" s="7">
        <v>1.9604999999999999</v>
      </c>
    </row>
    <row r="58" spans="1:7" x14ac:dyDescent="0.25">
      <c r="A58" s="2">
        <v>11.962</v>
      </c>
      <c r="B58" s="11">
        <v>-20.402999999999999</v>
      </c>
      <c r="C58" s="11">
        <v>3.5897999999999999</v>
      </c>
      <c r="D58" s="11">
        <v>-8.5550999999999995</v>
      </c>
      <c r="E58" s="3">
        <v>-2.7654000000000001</v>
      </c>
    </row>
    <row r="59" spans="1:7" x14ac:dyDescent="0.25">
      <c r="A59" s="4">
        <v>-34.115000000000002</v>
      </c>
      <c r="B59" s="12">
        <v>8.7246000000000006</v>
      </c>
      <c r="C59" s="12">
        <v>-14.073</v>
      </c>
      <c r="D59" s="12">
        <v>-9.5484000000000009</v>
      </c>
      <c r="E59" s="5">
        <v>19.225999999999999</v>
      </c>
      <c r="G59" t="s">
        <v>14</v>
      </c>
    </row>
    <row r="60" spans="1:7" ht="15.75" thickBot="1" x14ac:dyDescent="0.3">
      <c r="A60" s="6">
        <v>-8.9048999999999996</v>
      </c>
      <c r="B60" s="15">
        <v>-3.1621999999999999</v>
      </c>
      <c r="C60" s="15">
        <v>-0.18787000000000001</v>
      </c>
      <c r="D60" s="15">
        <v>-0.46870000000000001</v>
      </c>
      <c r="E60" s="7">
        <v>-3.2098</v>
      </c>
    </row>
    <row r="61" spans="1:7" x14ac:dyDescent="0.25">
      <c r="A61" s="2">
        <v>9.4749999999999996</v>
      </c>
      <c r="B61" s="11">
        <v>2.4401999999999999</v>
      </c>
      <c r="C61" s="11">
        <v>5.5072000000000001</v>
      </c>
      <c r="D61" s="11">
        <v>-13.234999999999999</v>
      </c>
      <c r="E61" s="3">
        <v>-1.8419000000000001</v>
      </c>
    </row>
    <row r="62" spans="1:7" x14ac:dyDescent="0.25">
      <c r="A62" s="4">
        <v>9.2093000000000007</v>
      </c>
      <c r="B62" s="12">
        <v>4.7538999999999998</v>
      </c>
      <c r="C62" s="12">
        <v>-17.059000000000001</v>
      </c>
      <c r="D62" s="12">
        <v>-16.003</v>
      </c>
      <c r="E62" s="5">
        <v>-17.768999999999998</v>
      </c>
      <c r="G62" t="s">
        <v>15</v>
      </c>
    </row>
    <row r="63" spans="1:7" ht="15.75" thickBot="1" x14ac:dyDescent="0.3">
      <c r="A63" s="6">
        <v>-19.68</v>
      </c>
      <c r="B63" s="15">
        <v>9.9166000000000007</v>
      </c>
      <c r="C63" s="15">
        <v>-1.8485</v>
      </c>
      <c r="D63" s="15">
        <v>0.95960000000000001</v>
      </c>
      <c r="E63" s="7">
        <v>0.73145000000000004</v>
      </c>
    </row>
    <row r="64" spans="1:7" x14ac:dyDescent="0.25">
      <c r="A64" s="2">
        <v>24.309000000000001</v>
      </c>
      <c r="B64" s="11">
        <v>0.43007000000000001</v>
      </c>
      <c r="C64" s="11">
        <v>-7.9891000000000004E-2</v>
      </c>
      <c r="D64" s="11">
        <v>-3.7890000000000001</v>
      </c>
      <c r="E64" s="3">
        <v>-5.7958999999999996</v>
      </c>
    </row>
    <row r="65" spans="1:7" x14ac:dyDescent="0.25">
      <c r="A65" s="4">
        <v>11.311</v>
      </c>
      <c r="B65" s="12">
        <v>-6.8170000000000002</v>
      </c>
      <c r="C65" s="12">
        <v>4.6692</v>
      </c>
      <c r="D65" s="12">
        <v>0.26362999999999998</v>
      </c>
      <c r="E65" s="5">
        <v>2.3536999999999999</v>
      </c>
      <c r="G65" t="s">
        <v>16</v>
      </c>
    </row>
    <row r="66" spans="1:7" ht="15.75" thickBot="1" x14ac:dyDescent="0.3">
      <c r="A66" s="6">
        <v>1.0998000000000001</v>
      </c>
      <c r="B66" s="15">
        <v>-20.373000000000001</v>
      </c>
      <c r="C66" s="15">
        <v>2.1876000000000002</v>
      </c>
      <c r="D66" s="15">
        <v>-0.75749999999999995</v>
      </c>
      <c r="E66" s="7">
        <v>1.5539000000000001</v>
      </c>
    </row>
    <row r="67" spans="1:7" x14ac:dyDescent="0.25">
      <c r="A67" s="2">
        <v>-17.878</v>
      </c>
      <c r="B67" s="11">
        <v>-1.7687999999999999</v>
      </c>
      <c r="C67" s="11">
        <v>-14.336</v>
      </c>
      <c r="D67" s="11">
        <v>-9.3491</v>
      </c>
      <c r="E67" s="3">
        <v>-5.2706999999999997</v>
      </c>
    </row>
    <row r="68" spans="1:7" x14ac:dyDescent="0.25">
      <c r="A68" s="4">
        <v>-23.013000000000002</v>
      </c>
      <c r="B68" s="12">
        <v>-22.367999999999999</v>
      </c>
      <c r="C68" s="12">
        <v>9.1940000000000008</v>
      </c>
      <c r="D68" s="12">
        <v>-16.099</v>
      </c>
      <c r="E68" s="5">
        <v>11.984</v>
      </c>
      <c r="G68" t="s">
        <v>17</v>
      </c>
    </row>
    <row r="69" spans="1:7" ht="15.75" thickBot="1" x14ac:dyDescent="0.3">
      <c r="A69" s="6">
        <v>-4.9819000000000004</v>
      </c>
      <c r="B69" s="15">
        <v>-12.391999999999999</v>
      </c>
      <c r="C69" s="15">
        <v>-16.619</v>
      </c>
      <c r="D69" s="15">
        <v>0.66083999999999998</v>
      </c>
      <c r="E69" s="7">
        <v>0.16088</v>
      </c>
    </row>
    <row r="70" spans="1:7" x14ac:dyDescent="0.25">
      <c r="A70" s="2">
        <v>-16.123999999999999</v>
      </c>
      <c r="B70" s="11">
        <v>-2.8307000000000002</v>
      </c>
      <c r="C70" s="11">
        <v>-8.1363000000000003</v>
      </c>
      <c r="D70" s="11">
        <v>-20.303999999999998</v>
      </c>
      <c r="E70" s="3">
        <v>-5.0926</v>
      </c>
    </row>
    <row r="71" spans="1:7" x14ac:dyDescent="0.25">
      <c r="A71" s="4">
        <v>-0.76627999999999996</v>
      </c>
      <c r="B71" s="12">
        <v>18.218</v>
      </c>
      <c r="C71" s="12">
        <v>-1.7039</v>
      </c>
      <c r="D71" s="12">
        <v>3.8008000000000002</v>
      </c>
      <c r="E71" s="5">
        <v>-5.9165999999999999</v>
      </c>
      <c r="G71" t="s">
        <v>18</v>
      </c>
    </row>
    <row r="72" spans="1:7" ht="15.75" thickBot="1" x14ac:dyDescent="0.3">
      <c r="A72" s="6">
        <v>-9.7920999999999996</v>
      </c>
      <c r="B72" s="15">
        <v>8.0058000000000007</v>
      </c>
      <c r="C72" s="15">
        <v>-9.4190000000000005</v>
      </c>
      <c r="D72" s="15">
        <v>-1.7585</v>
      </c>
      <c r="E72" s="7">
        <v>-1.1625000000000001</v>
      </c>
    </row>
    <row r="73" spans="1:7" x14ac:dyDescent="0.25">
      <c r="A73" s="2">
        <v>2.4929000000000001</v>
      </c>
      <c r="B73" s="11">
        <v>0.41920000000000002</v>
      </c>
      <c r="C73" s="11">
        <v>-4.7744</v>
      </c>
      <c r="D73" s="11">
        <v>5.9457000000000004</v>
      </c>
      <c r="E73" s="3">
        <v>0.16195999999999999</v>
      </c>
    </row>
    <row r="74" spans="1:7" x14ac:dyDescent="0.25">
      <c r="A74" s="4">
        <v>-22.962</v>
      </c>
      <c r="B74" s="12">
        <v>-20.366</v>
      </c>
      <c r="C74" s="12">
        <v>-28.271000000000001</v>
      </c>
      <c r="D74" s="12">
        <v>-5.1843000000000004</v>
      </c>
      <c r="E74" s="5">
        <v>-19.794</v>
      </c>
      <c r="G74" t="s">
        <v>19</v>
      </c>
    </row>
    <row r="75" spans="1:7" ht="15.75" thickBot="1" x14ac:dyDescent="0.3">
      <c r="A75" s="6">
        <v>8.1516999999999999</v>
      </c>
      <c r="B75" s="15">
        <v>-11.236000000000001</v>
      </c>
      <c r="C75" s="15">
        <v>10.863</v>
      </c>
      <c r="D75" s="15">
        <v>-3.5577000000000001</v>
      </c>
      <c r="E75" s="7">
        <v>-1.8366</v>
      </c>
    </row>
    <row r="76" spans="1:7" x14ac:dyDescent="0.25">
      <c r="A76" s="2">
        <v>21.277000000000001</v>
      </c>
      <c r="B76" s="11">
        <v>-3.3561999999999999</v>
      </c>
      <c r="C76" s="11">
        <v>11.733000000000001</v>
      </c>
      <c r="D76" s="11">
        <v>8.4925999999999995</v>
      </c>
      <c r="E76" s="3">
        <v>8.0785</v>
      </c>
    </row>
    <row r="77" spans="1:7" x14ac:dyDescent="0.25">
      <c r="A77" s="4">
        <v>22.337</v>
      </c>
      <c r="B77" s="12">
        <v>-2.8578999999999999</v>
      </c>
      <c r="C77" s="12">
        <v>23.815999999999999</v>
      </c>
      <c r="D77" s="12">
        <v>-4.5591999999999997</v>
      </c>
      <c r="E77" s="5">
        <v>17.716000000000001</v>
      </c>
      <c r="G77" t="s">
        <v>20</v>
      </c>
    </row>
    <row r="78" spans="1:7" ht="15.75" thickBot="1" x14ac:dyDescent="0.3">
      <c r="A78" s="6">
        <v>11.43</v>
      </c>
      <c r="B78" s="15">
        <v>1.6438999999999999</v>
      </c>
      <c r="C78" s="15">
        <v>0.10074</v>
      </c>
      <c r="D78" s="15">
        <v>1.8405</v>
      </c>
      <c r="E78" s="7">
        <v>2.1204000000000001</v>
      </c>
    </row>
    <row r="79" spans="1:7" x14ac:dyDescent="0.25">
      <c r="A79" s="2">
        <v>-20.433</v>
      </c>
      <c r="B79" s="11">
        <v>107.33</v>
      </c>
      <c r="C79" s="11">
        <v>-15.58</v>
      </c>
      <c r="D79" s="11">
        <v>-13.661</v>
      </c>
      <c r="E79" s="3">
        <v>-0.46412999999999999</v>
      </c>
    </row>
    <row r="80" spans="1:7" x14ac:dyDescent="0.25">
      <c r="A80" s="4">
        <v>55.329000000000001</v>
      </c>
      <c r="B80" s="12">
        <v>-56.616999999999997</v>
      </c>
      <c r="C80" s="12">
        <v>-28.745000000000001</v>
      </c>
      <c r="D80" s="12">
        <v>-19.773</v>
      </c>
      <c r="E80" s="5">
        <v>45.319000000000003</v>
      </c>
      <c r="G80" t="s">
        <v>21</v>
      </c>
    </row>
    <row r="81" spans="1:7" ht="15.75" thickBot="1" x14ac:dyDescent="0.3">
      <c r="A81" s="6">
        <v>14.131</v>
      </c>
      <c r="B81" s="15">
        <v>32.822000000000003</v>
      </c>
      <c r="C81" s="15">
        <v>-14.247</v>
      </c>
      <c r="D81" s="15">
        <v>-7.3282999999999996</v>
      </c>
      <c r="E81" s="7">
        <v>-0.64932000000000001</v>
      </c>
    </row>
    <row r="82" spans="1:7" x14ac:dyDescent="0.25">
      <c r="A82" s="2">
        <v>-5.4592999999999998</v>
      </c>
      <c r="B82" s="11">
        <v>0.90598000000000001</v>
      </c>
      <c r="C82" s="11">
        <v>0.22925000000000001</v>
      </c>
      <c r="D82" s="11">
        <v>-34.831000000000003</v>
      </c>
      <c r="E82" s="3">
        <v>0.46245000000000003</v>
      </c>
    </row>
    <row r="83" spans="1:7" x14ac:dyDescent="0.25">
      <c r="A83" s="4">
        <v>-0.50546000000000002</v>
      </c>
      <c r="B83" s="12">
        <v>0.26589000000000002</v>
      </c>
      <c r="C83" s="12">
        <v>0.4425</v>
      </c>
      <c r="D83" s="12">
        <v>-7.5846</v>
      </c>
      <c r="E83" s="5">
        <v>-33.064</v>
      </c>
      <c r="G83" t="s">
        <v>22</v>
      </c>
    </row>
    <row r="84" spans="1:7" ht="15.75" thickBot="1" x14ac:dyDescent="0.3">
      <c r="A84" s="6">
        <v>7.6725000000000003</v>
      </c>
      <c r="B84" s="15">
        <v>10.893000000000001</v>
      </c>
      <c r="C84" s="15">
        <v>-0.60702</v>
      </c>
      <c r="D84" s="15">
        <v>0.29923</v>
      </c>
      <c r="E84" s="7">
        <v>1.5484</v>
      </c>
    </row>
    <row r="85" spans="1:7" x14ac:dyDescent="0.25">
      <c r="A85" s="2">
        <v>14.448</v>
      </c>
      <c r="B85" s="11">
        <v>-1.6061000000000001</v>
      </c>
      <c r="C85" s="11">
        <v>-0.36235000000000001</v>
      </c>
      <c r="D85" s="11">
        <v>16.562999999999999</v>
      </c>
      <c r="E85" s="3">
        <v>-4.9234999999999998</v>
      </c>
    </row>
    <row r="86" spans="1:7" x14ac:dyDescent="0.25">
      <c r="A86" s="4">
        <v>-4.1993</v>
      </c>
      <c r="B86" s="12">
        <v>-0.13899</v>
      </c>
      <c r="C86" s="12">
        <v>2.3673999999999999</v>
      </c>
      <c r="D86" s="12">
        <v>-2.669</v>
      </c>
      <c r="E86" s="5">
        <v>21.015999999999998</v>
      </c>
      <c r="G86" t="s">
        <v>23</v>
      </c>
    </row>
    <row r="87" spans="1:7" ht="15.75" thickBot="1" x14ac:dyDescent="0.3">
      <c r="A87" s="6">
        <v>-32.302999999999997</v>
      </c>
      <c r="B87" s="15">
        <v>-24.547000000000001</v>
      </c>
      <c r="C87" s="15">
        <v>8.6648999999999994</v>
      </c>
      <c r="D87" s="15">
        <v>2.0787</v>
      </c>
      <c r="E87" s="7">
        <v>-3.7993999999999999</v>
      </c>
    </row>
    <row r="88" spans="1:7" x14ac:dyDescent="0.25">
      <c r="A88" s="2">
        <v>14.314</v>
      </c>
      <c r="B88" s="11">
        <v>-0.39232</v>
      </c>
      <c r="C88" s="11">
        <v>-1.7423999999999999</v>
      </c>
      <c r="D88" s="11">
        <v>26.074000000000002</v>
      </c>
      <c r="E88" s="3">
        <v>1.9891000000000001</v>
      </c>
    </row>
    <row r="89" spans="1:7" x14ac:dyDescent="0.25">
      <c r="A89" s="4">
        <v>2.9359000000000002</v>
      </c>
      <c r="B89" s="12">
        <v>-0.12279</v>
      </c>
      <c r="C89" s="12">
        <v>-1.6779999999999999</v>
      </c>
      <c r="D89" s="12">
        <v>-4.6407999999999996</v>
      </c>
      <c r="E89" s="5">
        <v>15.66</v>
      </c>
      <c r="G89" t="s">
        <v>24</v>
      </c>
    </row>
    <row r="90" spans="1:7" ht="15.75" thickBot="1" x14ac:dyDescent="0.3">
      <c r="A90" s="6">
        <v>-25.032</v>
      </c>
      <c r="B90" s="15">
        <v>-28.911999999999999</v>
      </c>
      <c r="C90" s="15">
        <v>13.939</v>
      </c>
      <c r="D90" s="15">
        <v>2.9321999999999999</v>
      </c>
      <c r="E90" s="7">
        <v>-4.7885</v>
      </c>
    </row>
    <row r="91" spans="1:7" x14ac:dyDescent="0.25">
      <c r="A91" s="2">
        <v>-3.8357999999999999</v>
      </c>
      <c r="B91" s="11">
        <v>-0.60416000000000003</v>
      </c>
      <c r="C91" s="11">
        <v>-2.6286</v>
      </c>
      <c r="D91" s="11">
        <v>-4.6821999999999999</v>
      </c>
      <c r="E91" s="3">
        <v>7.2335000000000003</v>
      </c>
    </row>
    <row r="92" spans="1:7" x14ac:dyDescent="0.25">
      <c r="A92" s="4">
        <v>9.3666999999999998</v>
      </c>
      <c r="B92" s="12">
        <v>-2.8658999999999999</v>
      </c>
      <c r="C92" s="12">
        <v>-14.048</v>
      </c>
      <c r="D92" s="12">
        <v>-9.0841999999999992</v>
      </c>
      <c r="E92" s="5">
        <v>-9.4731000000000005</v>
      </c>
      <c r="G92" t="s">
        <v>25</v>
      </c>
    </row>
    <row r="93" spans="1:7" ht="15.75" thickBot="1" x14ac:dyDescent="0.3">
      <c r="A93" s="6">
        <v>14.478</v>
      </c>
      <c r="B93" s="15">
        <v>20.481999999999999</v>
      </c>
      <c r="C93" s="15">
        <v>5.2926000000000002</v>
      </c>
      <c r="D93" s="15">
        <v>0.59870000000000001</v>
      </c>
      <c r="E93" s="7">
        <v>-0.82484999999999997</v>
      </c>
    </row>
    <row r="94" spans="1:7" x14ac:dyDescent="0.25">
      <c r="A94" s="2">
        <v>0.77151999999999998</v>
      </c>
      <c r="B94" s="11">
        <v>-1.8622000000000001</v>
      </c>
      <c r="C94" s="11">
        <v>-4.4531999999999998</v>
      </c>
      <c r="D94" s="11">
        <v>21.311</v>
      </c>
      <c r="E94" s="3">
        <v>10.167</v>
      </c>
    </row>
    <row r="95" spans="1:7" x14ac:dyDescent="0.25">
      <c r="A95" s="4">
        <v>4.1757999999999997</v>
      </c>
      <c r="B95" s="12">
        <v>-3.1246999999999998</v>
      </c>
      <c r="C95" s="12">
        <v>-0.45095000000000002</v>
      </c>
      <c r="D95" s="12">
        <v>0.44491999999999998</v>
      </c>
      <c r="E95" s="5">
        <v>-16.152999999999999</v>
      </c>
      <c r="G95" t="s">
        <v>26</v>
      </c>
    </row>
    <row r="96" spans="1:7" ht="15.75" thickBot="1" x14ac:dyDescent="0.3">
      <c r="A96" s="6">
        <v>20.417000000000002</v>
      </c>
      <c r="B96" s="15">
        <v>-34.89</v>
      </c>
      <c r="C96" s="15">
        <v>5.2068000000000003</v>
      </c>
      <c r="D96" s="15">
        <v>-1.4501999999999999</v>
      </c>
      <c r="E96" s="7">
        <v>-0.66788000000000003</v>
      </c>
    </row>
    <row r="97" spans="1:7" x14ac:dyDescent="0.25">
      <c r="A97" s="2">
        <v>5.4691000000000001</v>
      </c>
      <c r="B97" s="11">
        <v>-1.8611</v>
      </c>
      <c r="C97" s="11">
        <v>2.7746</v>
      </c>
      <c r="D97" s="11">
        <v>-11.038</v>
      </c>
      <c r="E97" s="3">
        <v>-7.2979000000000003</v>
      </c>
    </row>
    <row r="98" spans="1:7" x14ac:dyDescent="0.25">
      <c r="A98" s="4">
        <v>-7.7133000000000003</v>
      </c>
      <c r="B98" s="12">
        <v>0.16691</v>
      </c>
      <c r="C98" s="12">
        <v>3.9134000000000002</v>
      </c>
      <c r="D98" s="12">
        <v>1.2425999999999999</v>
      </c>
      <c r="E98" s="5">
        <v>9.0508000000000006</v>
      </c>
      <c r="G98" t="s">
        <v>27</v>
      </c>
    </row>
    <row r="99" spans="1:7" ht="15.75" thickBot="1" x14ac:dyDescent="0.3">
      <c r="A99" s="6">
        <v>-12.773</v>
      </c>
      <c r="B99" s="15">
        <v>6.0792000000000002</v>
      </c>
      <c r="C99" s="15">
        <v>-4.8529999999999998</v>
      </c>
      <c r="D99" s="15">
        <v>-1.3036000000000001</v>
      </c>
      <c r="E99" s="7">
        <v>8.3143999999999996E-2</v>
      </c>
    </row>
    <row r="100" spans="1:7" x14ac:dyDescent="0.25">
      <c r="A100" s="4">
        <v>4.8959000000000001</v>
      </c>
      <c r="B100" s="12">
        <v>-1.8119000000000001</v>
      </c>
      <c r="C100" s="12">
        <v>2.7307999999999999</v>
      </c>
      <c r="D100" s="12">
        <v>-11.882999999999999</v>
      </c>
      <c r="E100" s="5">
        <v>-7.4081000000000001</v>
      </c>
    </row>
    <row r="101" spans="1:7" x14ac:dyDescent="0.25">
      <c r="A101" s="4">
        <v>-7.7009999999999996</v>
      </c>
      <c r="B101" s="12">
        <v>0.30987999999999999</v>
      </c>
      <c r="C101" s="12">
        <v>3.891</v>
      </c>
      <c r="D101" s="12">
        <v>0.89122000000000001</v>
      </c>
      <c r="E101" s="5">
        <v>8.5793999999999997</v>
      </c>
      <c r="G101" t="s">
        <v>28</v>
      </c>
    </row>
    <row r="102" spans="1:7" ht="15.75" thickBot="1" x14ac:dyDescent="0.3">
      <c r="A102" s="6">
        <v>-12.332000000000001</v>
      </c>
      <c r="B102" s="15">
        <v>6.7434000000000003</v>
      </c>
      <c r="C102" s="15">
        <v>-4.1018999999999997</v>
      </c>
      <c r="D102" s="15">
        <v>-1.3206</v>
      </c>
      <c r="E102" s="7">
        <v>0.53085000000000004</v>
      </c>
    </row>
    <row r="103" spans="1:7" x14ac:dyDescent="0.25">
      <c r="A103" s="16">
        <v>-1.2738</v>
      </c>
    </row>
    <row r="104" spans="1:7" x14ac:dyDescent="0.25">
      <c r="A104" s="17">
        <v>-2.5830000000000002</v>
      </c>
    </row>
    <row r="105" spans="1:7" x14ac:dyDescent="0.25">
      <c r="A105" s="17">
        <v>-2.6291000000000002</v>
      </c>
    </row>
    <row r="106" spans="1:7" x14ac:dyDescent="0.25">
      <c r="A106" s="17">
        <v>-1.077</v>
      </c>
    </row>
    <row r="107" spans="1:7" x14ac:dyDescent="0.25">
      <c r="A107" s="17">
        <v>-1.7885</v>
      </c>
    </row>
    <row r="108" spans="1:7" x14ac:dyDescent="0.25">
      <c r="A108" s="17">
        <v>1.7759</v>
      </c>
      <c r="C108" t="s">
        <v>0</v>
      </c>
    </row>
    <row r="109" spans="1:7" x14ac:dyDescent="0.25">
      <c r="A109" s="17">
        <v>-1.3160000000000001</v>
      </c>
    </row>
    <row r="110" spans="1:7" x14ac:dyDescent="0.25">
      <c r="A110" s="17">
        <v>2.68</v>
      </c>
      <c r="C110" t="s">
        <v>60</v>
      </c>
    </row>
    <row r="111" spans="1:7" x14ac:dyDescent="0.25">
      <c r="A111" s="17">
        <v>-1.7745</v>
      </c>
      <c r="C111" s="26">
        <v>-1.2738</v>
      </c>
      <c r="D111" s="26">
        <v>-2.5830000000000002</v>
      </c>
      <c r="E111" s="26">
        <v>-2.6291000000000002</v>
      </c>
      <c r="F111" s="26">
        <v>-1.077</v>
      </c>
      <c r="G111" s="26">
        <v>-1.7885</v>
      </c>
    </row>
    <row r="112" spans="1:7" x14ac:dyDescent="0.25">
      <c r="A112" s="17">
        <v>-1.2397</v>
      </c>
      <c r="C112" s="26">
        <v>1.7759</v>
      </c>
      <c r="D112" s="26">
        <v>-1.3160000000000001</v>
      </c>
      <c r="E112" s="26">
        <v>2.68</v>
      </c>
      <c r="F112" s="26">
        <v>-1.7745</v>
      </c>
      <c r="G112" s="26">
        <v>-1.2397</v>
      </c>
    </row>
    <row r="113" spans="1:7" x14ac:dyDescent="0.25">
      <c r="A113" s="17">
        <v>-1.4533</v>
      </c>
      <c r="C113" s="26">
        <v>-1.4533</v>
      </c>
      <c r="D113" s="26">
        <v>-0.94077999999999995</v>
      </c>
      <c r="E113" s="26">
        <v>-0.68516999999999995</v>
      </c>
      <c r="F113" s="26">
        <v>2.6962999999999999</v>
      </c>
      <c r="G113" s="26">
        <v>0.89590000000000003</v>
      </c>
    </row>
    <row r="114" spans="1:7" x14ac:dyDescent="0.25">
      <c r="A114" s="17">
        <v>-0.94077999999999995</v>
      </c>
    </row>
    <row r="115" spans="1:7" x14ac:dyDescent="0.25">
      <c r="A115" s="17">
        <v>-0.68516999999999995</v>
      </c>
    </row>
    <row r="116" spans="1:7" x14ac:dyDescent="0.25">
      <c r="A116" s="17">
        <v>2.6962999999999999</v>
      </c>
    </row>
    <row r="117" spans="1:7" ht="15.75" thickBot="1" x14ac:dyDescent="0.3">
      <c r="A117" s="17">
        <v>0.89590000000000003</v>
      </c>
    </row>
    <row r="118" spans="1:7" x14ac:dyDescent="0.25">
      <c r="A118" s="2">
        <v>0.7</v>
      </c>
      <c r="B118" s="11">
        <v>0.4</v>
      </c>
      <c r="C118" s="18">
        <v>20000</v>
      </c>
    </row>
    <row r="119" spans="1:7" x14ac:dyDescent="0.25">
      <c r="A119" s="19">
        <v>20000</v>
      </c>
      <c r="B119" s="13"/>
      <c r="C119" s="14"/>
    </row>
    <row r="120" spans="1:7" ht="15.75" thickBot="1" x14ac:dyDescent="0.3">
      <c r="A120" s="6">
        <v>0.98262000000000005</v>
      </c>
      <c r="B120" s="15">
        <v>0</v>
      </c>
      <c r="C120" s="2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J120"/>
  <sheetViews>
    <sheetView topLeftCell="A13" workbookViewId="0">
      <selection activeCell="K40" sqref="K40:L45"/>
    </sheetView>
  </sheetViews>
  <sheetFormatPr defaultRowHeight="15" x14ac:dyDescent="0.25"/>
  <cols>
    <col min="11" max="11" width="14.28515625" bestFit="1" customWidth="1"/>
    <col min="12" max="12" width="12" bestFit="1" customWidth="1"/>
  </cols>
  <sheetData>
    <row r="1" spans="1:36" ht="15.75" thickBot="1" x14ac:dyDescent="0.3">
      <c r="A1" s="8">
        <v>24</v>
      </c>
      <c r="B1" s="9">
        <v>15</v>
      </c>
      <c r="C1" s="10">
        <v>1</v>
      </c>
    </row>
    <row r="2" spans="1:36" x14ac:dyDescent="0.25">
      <c r="A2" s="4">
        <v>1</v>
      </c>
      <c r="B2" s="5">
        <v>0</v>
      </c>
    </row>
    <row r="3" spans="1:36" x14ac:dyDescent="0.25">
      <c r="A3" s="4">
        <v>1</v>
      </c>
      <c r="B3" s="5">
        <v>0</v>
      </c>
    </row>
    <row r="4" spans="1:36" x14ac:dyDescent="0.25">
      <c r="A4" s="4">
        <v>1</v>
      </c>
      <c r="B4" s="5">
        <v>0</v>
      </c>
    </row>
    <row r="5" spans="1:36" x14ac:dyDescent="0.25">
      <c r="A5" s="4">
        <v>1</v>
      </c>
      <c r="B5" s="5">
        <v>0</v>
      </c>
    </row>
    <row r="6" spans="1:36" x14ac:dyDescent="0.25">
      <c r="A6" s="4">
        <v>1</v>
      </c>
      <c r="B6" s="5">
        <v>0</v>
      </c>
    </row>
    <row r="7" spans="1:36" x14ac:dyDescent="0.25">
      <c r="A7" s="4">
        <v>1</v>
      </c>
      <c r="B7" s="5">
        <v>0</v>
      </c>
    </row>
    <row r="8" spans="1:36" x14ac:dyDescent="0.25">
      <c r="A8" s="4">
        <v>1</v>
      </c>
      <c r="B8" s="5">
        <v>0</v>
      </c>
    </row>
    <row r="9" spans="1:36" x14ac:dyDescent="0.25">
      <c r="A9" s="4">
        <v>1</v>
      </c>
      <c r="B9" s="5">
        <v>0</v>
      </c>
    </row>
    <row r="10" spans="1:36" x14ac:dyDescent="0.25">
      <c r="A10" s="4">
        <v>1</v>
      </c>
      <c r="B10" s="5">
        <v>0</v>
      </c>
      <c r="D10" t="s">
        <v>2</v>
      </c>
    </row>
    <row r="11" spans="1:36" x14ac:dyDescent="0.25">
      <c r="A11" s="4">
        <v>1</v>
      </c>
      <c r="B11" s="5">
        <v>0</v>
      </c>
      <c r="L11" t="s">
        <v>29</v>
      </c>
      <c r="M11" t="s">
        <v>30</v>
      </c>
      <c r="N11" t="s">
        <v>31</v>
      </c>
      <c r="O11" t="s">
        <v>32</v>
      </c>
      <c r="P11" t="s">
        <v>33</v>
      </c>
      <c r="Q11" t="s">
        <v>34</v>
      </c>
      <c r="R11" t="s">
        <v>35</v>
      </c>
      <c r="S11" t="s">
        <v>36</v>
      </c>
      <c r="T11" t="s">
        <v>37</v>
      </c>
      <c r="U11" t="s">
        <v>38</v>
      </c>
      <c r="V11" t="s">
        <v>39</v>
      </c>
      <c r="W11" t="s">
        <v>40</v>
      </c>
      <c r="X11" t="s">
        <v>41</v>
      </c>
      <c r="Y11" t="s">
        <v>42</v>
      </c>
      <c r="Z11" t="s">
        <v>43</v>
      </c>
      <c r="AA11" t="s">
        <v>44</v>
      </c>
      <c r="AB11" t="s">
        <v>45</v>
      </c>
      <c r="AC11" t="s">
        <v>46</v>
      </c>
      <c r="AD11" t="s">
        <v>47</v>
      </c>
      <c r="AE11" t="s">
        <v>48</v>
      </c>
      <c r="AF11" t="s">
        <v>49</v>
      </c>
      <c r="AG11" t="s">
        <v>50</v>
      </c>
      <c r="AH11" t="s">
        <v>51</v>
      </c>
      <c r="AI11" t="s">
        <v>52</v>
      </c>
      <c r="AJ11" t="s">
        <v>53</v>
      </c>
    </row>
    <row r="12" spans="1:36" x14ac:dyDescent="0.25">
      <c r="A12" s="4">
        <v>1</v>
      </c>
      <c r="B12" s="5">
        <v>0</v>
      </c>
      <c r="L12">
        <v>0</v>
      </c>
      <c r="M12">
        <v>0</v>
      </c>
      <c r="N12">
        <v>1</v>
      </c>
      <c r="O12">
        <v>0</v>
      </c>
      <c r="P12">
        <v>0</v>
      </c>
      <c r="Q12">
        <v>0</v>
      </c>
      <c r="R12">
        <v>0</v>
      </c>
      <c r="S12">
        <v>0</v>
      </c>
      <c r="T12">
        <v>0</v>
      </c>
      <c r="U12">
        <v>0</v>
      </c>
      <c r="V12">
        <v>0</v>
      </c>
      <c r="W12">
        <v>1</v>
      </c>
      <c r="X12">
        <v>1</v>
      </c>
      <c r="Y12">
        <v>1</v>
      </c>
      <c r="Z12">
        <v>0</v>
      </c>
      <c r="AA12">
        <v>0</v>
      </c>
      <c r="AB12">
        <f>GUI!E2</f>
        <v>1E-3</v>
      </c>
      <c r="AC12">
        <f>GUI!F2</f>
        <v>34</v>
      </c>
      <c r="AD12">
        <f>GUI!G2</f>
        <v>3.2</v>
      </c>
      <c r="AE12">
        <f>GUI!H2</f>
        <v>184.7</v>
      </c>
      <c r="AF12">
        <v>0</v>
      </c>
      <c r="AG12">
        <v>0</v>
      </c>
      <c r="AH12">
        <v>0</v>
      </c>
      <c r="AI12">
        <v>1</v>
      </c>
      <c r="AJ12">
        <v>1</v>
      </c>
    </row>
    <row r="13" spans="1:36" x14ac:dyDescent="0.25">
      <c r="A13" s="4">
        <v>1</v>
      </c>
      <c r="B13" s="5">
        <v>0</v>
      </c>
    </row>
    <row r="14" spans="1:36" x14ac:dyDescent="0.25">
      <c r="A14" s="4">
        <v>1</v>
      </c>
      <c r="B14" s="5">
        <v>0</v>
      </c>
      <c r="K14" s="23" t="s">
        <v>54</v>
      </c>
      <c r="L14" s="24">
        <v>1</v>
      </c>
      <c r="M14" s="24">
        <v>1</v>
      </c>
      <c r="N14" s="24">
        <v>1</v>
      </c>
      <c r="O14" s="24">
        <v>1</v>
      </c>
      <c r="P14" s="24">
        <v>1</v>
      </c>
      <c r="Q14" s="24">
        <v>1</v>
      </c>
      <c r="R14" s="24">
        <v>1</v>
      </c>
      <c r="S14" s="24">
        <v>1</v>
      </c>
      <c r="T14" s="24">
        <v>1</v>
      </c>
      <c r="U14" s="24">
        <v>1</v>
      </c>
      <c r="V14" s="24">
        <v>1</v>
      </c>
      <c r="W14" s="24">
        <v>1</v>
      </c>
      <c r="X14" s="24">
        <v>1</v>
      </c>
      <c r="Y14" s="24">
        <v>1</v>
      </c>
      <c r="Z14" s="24">
        <v>1</v>
      </c>
      <c r="AA14" s="24">
        <v>1</v>
      </c>
      <c r="AB14" s="24">
        <v>1.98</v>
      </c>
      <c r="AC14" s="24">
        <v>57</v>
      </c>
      <c r="AD14" s="24">
        <v>4.4800000000000004</v>
      </c>
      <c r="AE14" s="24">
        <v>188.24</v>
      </c>
      <c r="AF14" s="24">
        <v>1</v>
      </c>
      <c r="AG14" s="24">
        <v>1</v>
      </c>
      <c r="AH14" s="24">
        <v>1</v>
      </c>
      <c r="AI14" s="24">
        <v>1</v>
      </c>
      <c r="AJ14" s="24">
        <v>265.55</v>
      </c>
    </row>
    <row r="15" spans="1:36" x14ac:dyDescent="0.25">
      <c r="A15" s="4">
        <v>1</v>
      </c>
      <c r="B15" s="5">
        <v>0</v>
      </c>
      <c r="K15" s="23" t="s">
        <v>55</v>
      </c>
      <c r="L15" s="24">
        <v>0</v>
      </c>
      <c r="M15" s="24">
        <v>0</v>
      </c>
      <c r="N15" s="24">
        <v>0</v>
      </c>
      <c r="O15" s="24">
        <v>0</v>
      </c>
      <c r="P15" s="24">
        <v>0</v>
      </c>
      <c r="Q15" s="24">
        <v>0</v>
      </c>
      <c r="R15" s="24">
        <v>0</v>
      </c>
      <c r="S15" s="24">
        <v>0</v>
      </c>
      <c r="T15" s="24">
        <v>0</v>
      </c>
      <c r="U15" s="24">
        <v>0</v>
      </c>
      <c r="V15" s="24">
        <v>0</v>
      </c>
      <c r="W15" s="24">
        <v>0</v>
      </c>
      <c r="X15" s="24">
        <v>0</v>
      </c>
      <c r="Y15" s="24">
        <v>0</v>
      </c>
      <c r="Z15" s="24">
        <v>0</v>
      </c>
      <c r="AA15" s="24">
        <v>0</v>
      </c>
      <c r="AB15" s="24">
        <v>0</v>
      </c>
      <c r="AC15" s="24">
        <v>-8</v>
      </c>
      <c r="AD15" s="24">
        <v>0</v>
      </c>
      <c r="AE15" s="24">
        <v>175.38</v>
      </c>
      <c r="AF15" s="24">
        <v>0</v>
      </c>
      <c r="AG15" s="24">
        <v>0</v>
      </c>
      <c r="AH15" s="24">
        <v>0</v>
      </c>
      <c r="AI15" s="24">
        <v>0</v>
      </c>
      <c r="AJ15" s="24">
        <v>0</v>
      </c>
    </row>
    <row r="16" spans="1:36" x14ac:dyDescent="0.25">
      <c r="A16" s="4">
        <v>1</v>
      </c>
      <c r="B16" s="5">
        <v>0</v>
      </c>
    </row>
    <row r="17" spans="1:36" x14ac:dyDescent="0.25">
      <c r="A17" s="4">
        <v>1</v>
      </c>
      <c r="B17" s="5">
        <v>0</v>
      </c>
      <c r="K17" t="s">
        <v>56</v>
      </c>
      <c r="L17">
        <f t="shared" ref="L17:AJ17" si="0">(L12-L15)/(L14-L15)</f>
        <v>0</v>
      </c>
      <c r="M17">
        <f t="shared" si="0"/>
        <v>0</v>
      </c>
      <c r="N17">
        <f t="shared" si="0"/>
        <v>1</v>
      </c>
      <c r="O17">
        <f t="shared" si="0"/>
        <v>0</v>
      </c>
      <c r="P17">
        <f t="shared" si="0"/>
        <v>0</v>
      </c>
      <c r="Q17">
        <f t="shared" si="0"/>
        <v>0</v>
      </c>
      <c r="R17">
        <f t="shared" si="0"/>
        <v>0</v>
      </c>
      <c r="S17">
        <f t="shared" si="0"/>
        <v>0</v>
      </c>
      <c r="T17">
        <f t="shared" si="0"/>
        <v>0</v>
      </c>
      <c r="U17">
        <f t="shared" si="0"/>
        <v>0</v>
      </c>
      <c r="V17">
        <f t="shared" si="0"/>
        <v>0</v>
      </c>
      <c r="W17">
        <f t="shared" si="0"/>
        <v>1</v>
      </c>
      <c r="X17">
        <f t="shared" si="0"/>
        <v>1</v>
      </c>
      <c r="Y17">
        <f t="shared" si="0"/>
        <v>1</v>
      </c>
      <c r="Z17">
        <f t="shared" si="0"/>
        <v>0</v>
      </c>
      <c r="AA17">
        <f t="shared" si="0"/>
        <v>0</v>
      </c>
      <c r="AB17">
        <f t="shared" si="0"/>
        <v>5.0505050505050505E-4</v>
      </c>
      <c r="AC17">
        <f t="shared" si="0"/>
        <v>0.64615384615384619</v>
      </c>
      <c r="AD17">
        <f t="shared" si="0"/>
        <v>0.7142857142857143</v>
      </c>
      <c r="AE17">
        <f t="shared" si="0"/>
        <v>0.72472783825816356</v>
      </c>
      <c r="AF17">
        <f t="shared" si="0"/>
        <v>0</v>
      </c>
      <c r="AG17">
        <f t="shared" si="0"/>
        <v>0</v>
      </c>
      <c r="AH17">
        <f t="shared" si="0"/>
        <v>0</v>
      </c>
      <c r="AI17">
        <f t="shared" si="0"/>
        <v>1</v>
      </c>
      <c r="AJ17">
        <f t="shared" si="0"/>
        <v>3.765769158350593E-3</v>
      </c>
    </row>
    <row r="18" spans="1:36" x14ac:dyDescent="0.25">
      <c r="A18" s="4">
        <v>1.98</v>
      </c>
      <c r="B18" s="5">
        <v>0</v>
      </c>
    </row>
    <row r="19" spans="1:36" x14ac:dyDescent="0.25">
      <c r="A19" s="4">
        <v>57</v>
      </c>
      <c r="B19" s="5">
        <v>-8</v>
      </c>
      <c r="K19" t="s">
        <v>57</v>
      </c>
      <c r="L19" s="25">
        <f t="shared" ref="L19:P21" si="1">A27+$L$17*A31+$M$17*A34+$N$17*A37+$O$17*A40+$P$17*A43+$Q$17*A46+$R$17*A49+$S$17*A52+$T$17*A55+$U$17*A58+$V$17*A61+$W$17*A64+$X$17*A67+$Y$17*A70+$Z$17*A73+$AA$17*A76+$AB$17*A79+$AC$17*A82+$AD$17*A85+$AE$17*A88+$AF$17*A91+$AG$17*A94+$AH$17*A97+$AI$17*A100</f>
        <v>1.6168868875499678</v>
      </c>
      <c r="M19" s="25">
        <f t="shared" si="1"/>
        <v>-4.0562599789741967</v>
      </c>
      <c r="N19" s="25">
        <f t="shared" si="1"/>
        <v>-20.395596131590377</v>
      </c>
      <c r="O19" s="25">
        <f t="shared" si="1"/>
        <v>-41.303704169876468</v>
      </c>
      <c r="P19" s="25">
        <f t="shared" si="1"/>
        <v>-25.962750134143462</v>
      </c>
    </row>
    <row r="20" spans="1:36" x14ac:dyDescent="0.25">
      <c r="A20" s="4">
        <v>4.4800000000000004</v>
      </c>
      <c r="B20" s="5">
        <v>0</v>
      </c>
      <c r="L20" s="25">
        <f t="shared" si="1"/>
        <v>-8.1403125233408424</v>
      </c>
      <c r="M20" s="25">
        <f t="shared" si="1"/>
        <v>-15.919176500978892</v>
      </c>
      <c r="N20" s="25">
        <f t="shared" si="1"/>
        <v>7.5968120875582024</v>
      </c>
      <c r="O20" s="25">
        <f t="shared" si="1"/>
        <v>-31.294375348391885</v>
      </c>
      <c r="P20" s="25">
        <f t="shared" si="1"/>
        <v>6.3635241331590251</v>
      </c>
    </row>
    <row r="21" spans="1:36" x14ac:dyDescent="0.25">
      <c r="A21" s="4">
        <v>188.24</v>
      </c>
      <c r="B21" s="5">
        <v>175.38</v>
      </c>
      <c r="L21" s="25">
        <f t="shared" si="1"/>
        <v>-15.367206422547515</v>
      </c>
      <c r="M21" s="25">
        <f t="shared" si="1"/>
        <v>-46.366052074460839</v>
      </c>
      <c r="N21" s="25">
        <f t="shared" si="1"/>
        <v>-12.901138139042931</v>
      </c>
      <c r="O21" s="25">
        <f t="shared" si="1"/>
        <v>-1.2393698646052449</v>
      </c>
      <c r="P21" s="25">
        <f t="shared" si="1"/>
        <v>-2.8031997203656829</v>
      </c>
    </row>
    <row r="22" spans="1:36" x14ac:dyDescent="0.25">
      <c r="A22" s="4">
        <v>1</v>
      </c>
      <c r="B22" s="5">
        <v>0</v>
      </c>
    </row>
    <row r="23" spans="1:36" x14ac:dyDescent="0.25">
      <c r="A23" s="4">
        <v>1</v>
      </c>
      <c r="B23" s="5">
        <v>0</v>
      </c>
      <c r="K23" t="s">
        <v>58</v>
      </c>
      <c r="L23">
        <f t="shared" ref="L23:P25" si="2">1/(1+EXP(-L19))</f>
        <v>0.83436534595979006</v>
      </c>
      <c r="M23">
        <f t="shared" si="2"/>
        <v>1.7018990721696669E-2</v>
      </c>
      <c r="N23">
        <f t="shared" si="2"/>
        <v>1.3877305346948474E-9</v>
      </c>
      <c r="O23">
        <f t="shared" si="2"/>
        <v>1.1535308050725604E-18</v>
      </c>
      <c r="P23">
        <f t="shared" si="2"/>
        <v>5.3029908980700728E-12</v>
      </c>
    </row>
    <row r="24" spans="1:36" x14ac:dyDescent="0.25">
      <c r="A24" s="4">
        <v>1</v>
      </c>
      <c r="B24" s="5">
        <v>0</v>
      </c>
      <c r="L24">
        <f t="shared" si="2"/>
        <v>2.9146109470836693E-4</v>
      </c>
      <c r="M24">
        <f t="shared" si="2"/>
        <v>1.220083169290405E-7</v>
      </c>
      <c r="N24">
        <f t="shared" si="2"/>
        <v>0.99949820255260813</v>
      </c>
      <c r="O24">
        <f t="shared" si="2"/>
        <v>2.5646344491743231E-14</v>
      </c>
      <c r="P24">
        <f t="shared" si="2"/>
        <v>0.99827968167555758</v>
      </c>
    </row>
    <row r="25" spans="1:36" ht="15.75" thickBot="1" x14ac:dyDescent="0.3">
      <c r="A25" s="4">
        <v>1</v>
      </c>
      <c r="B25" s="5">
        <v>0</v>
      </c>
      <c r="L25">
        <f t="shared" si="2"/>
        <v>2.1188829014394093E-7</v>
      </c>
      <c r="M25">
        <f t="shared" si="2"/>
        <v>7.3026323453879272E-21</v>
      </c>
      <c r="N25">
        <f t="shared" si="2"/>
        <v>2.4952025885322644E-6</v>
      </c>
      <c r="O25">
        <f t="shared" si="2"/>
        <v>0.22454568896251714</v>
      </c>
      <c r="P25">
        <f t="shared" si="2"/>
        <v>5.7151513755240337E-2</v>
      </c>
    </row>
    <row r="26" spans="1:36" ht="15.75" thickBot="1" x14ac:dyDescent="0.3">
      <c r="A26" s="21">
        <v>265.55</v>
      </c>
      <c r="B26" s="22">
        <v>0</v>
      </c>
      <c r="D26" t="s">
        <v>1</v>
      </c>
    </row>
    <row r="27" spans="1:36" x14ac:dyDescent="0.25">
      <c r="A27" s="2">
        <v>5.4440999999999997</v>
      </c>
      <c r="B27" s="11">
        <v>-4.7488000000000001</v>
      </c>
      <c r="C27" s="11">
        <v>1.3038000000000001</v>
      </c>
      <c r="D27" s="11">
        <v>-4.2457000000000003</v>
      </c>
      <c r="E27" s="3">
        <v>2.2803</v>
      </c>
      <c r="K27" t="s">
        <v>61</v>
      </c>
      <c r="L27" s="1">
        <f t="shared" ref="L27:P29" si="3">L23*C111</f>
        <v>-1.0628145776835807</v>
      </c>
      <c r="M27" s="1">
        <f t="shared" si="3"/>
        <v>-4.39600530341425E-2</v>
      </c>
      <c r="N27" s="1">
        <f t="shared" si="3"/>
        <v>-3.6484823487662234E-9</v>
      </c>
      <c r="O27" s="1">
        <f t="shared" si="3"/>
        <v>-1.2423526770631475E-18</v>
      </c>
      <c r="P27" s="1">
        <f t="shared" si="3"/>
        <v>-9.4843992211983246E-12</v>
      </c>
    </row>
    <row r="28" spans="1:36" ht="15.75" thickBot="1" x14ac:dyDescent="0.3">
      <c r="A28" s="4">
        <v>-2.2585999999999999</v>
      </c>
      <c r="B28" s="12">
        <v>-3.6225000000000001</v>
      </c>
      <c r="C28" s="12">
        <v>-3.9173</v>
      </c>
      <c r="D28" s="12">
        <v>-1.4175E-2</v>
      </c>
      <c r="E28" s="5">
        <v>-6.9713000000000003</v>
      </c>
      <c r="G28" t="s">
        <v>3</v>
      </c>
      <c r="L28" s="1">
        <f t="shared" si="3"/>
        <v>5.1760575809258879E-4</v>
      </c>
      <c r="M28" s="1">
        <f t="shared" si="3"/>
        <v>-1.605629450786173E-7</v>
      </c>
      <c r="N28" s="1">
        <f t="shared" si="3"/>
        <v>2.6786551828409899</v>
      </c>
      <c r="O28" s="1">
        <f t="shared" si="3"/>
        <v>-4.5509438300598364E-14</v>
      </c>
      <c r="P28" s="1">
        <f t="shared" si="3"/>
        <v>-1.2375673213731888</v>
      </c>
    </row>
    <row r="29" spans="1:36" ht="15.75" thickBot="1" x14ac:dyDescent="0.3">
      <c r="A29" s="6">
        <v>9.1292000000000009</v>
      </c>
      <c r="B29" s="15">
        <v>-0.39407999999999999</v>
      </c>
      <c r="C29" s="15">
        <v>-0.15922</v>
      </c>
      <c r="D29" s="15">
        <v>-2.3395999999999999</v>
      </c>
      <c r="E29" s="7">
        <v>-0.51509000000000005</v>
      </c>
      <c r="L29" s="1">
        <f t="shared" si="3"/>
        <v>-3.0793725206618935E-7</v>
      </c>
      <c r="M29" s="1">
        <f t="shared" si="3"/>
        <v>-6.8701704578940531E-21</v>
      </c>
      <c r="N29" s="1">
        <f t="shared" si="3"/>
        <v>-1.7096379575846514E-6</v>
      </c>
      <c r="O29" s="1">
        <f t="shared" si="3"/>
        <v>0.60544254114963492</v>
      </c>
      <c r="P29" s="1">
        <f t="shared" si="3"/>
        <v>5.1202041173319821E-2</v>
      </c>
      <c r="W29" s="58" t="s">
        <v>85</v>
      </c>
      <c r="X29" s="59"/>
      <c r="Y29" s="59"/>
      <c r="Z29" s="32"/>
      <c r="AA29" s="32"/>
      <c r="AB29" s="32"/>
      <c r="AC29" s="32"/>
      <c r="AD29" s="32"/>
      <c r="AE29" s="18"/>
    </row>
    <row r="30" spans="1:36" ht="15.75" thickBot="1" x14ac:dyDescent="0.3">
      <c r="A30" s="17">
        <v>2.0266000000000002</v>
      </c>
      <c r="B30" s="13"/>
      <c r="C30" s="13"/>
      <c r="D30" s="13"/>
      <c r="E30" s="13"/>
      <c r="G30" t="s">
        <v>4</v>
      </c>
      <c r="W30" s="33" t="s">
        <v>84</v>
      </c>
      <c r="X30" s="28" t="s">
        <v>82</v>
      </c>
      <c r="Y30" s="28" t="s">
        <v>83</v>
      </c>
      <c r="Z30" s="13"/>
      <c r="AA30" s="13"/>
      <c r="AB30" s="13"/>
      <c r="AC30" s="13"/>
      <c r="AD30" s="13"/>
      <c r="AE30" s="14"/>
    </row>
    <row r="31" spans="1:36" x14ac:dyDescent="0.25">
      <c r="A31" s="2">
        <v>22.817</v>
      </c>
      <c r="B31" s="11">
        <v>-5.7530000000000001</v>
      </c>
      <c r="C31" s="11">
        <v>8.4944000000000006</v>
      </c>
      <c r="D31" s="11">
        <v>32.179000000000002</v>
      </c>
      <c r="E31" s="3">
        <v>2.3426999999999998</v>
      </c>
      <c r="K31" t="s">
        <v>59</v>
      </c>
      <c r="L31" s="1">
        <f>SUM(L27:P29)+A30</f>
        <v>3.0180732370349586</v>
      </c>
      <c r="W31" s="33">
        <v>1189</v>
      </c>
      <c r="X31" s="28">
        <v>13</v>
      </c>
      <c r="Y31" s="28">
        <v>15</v>
      </c>
      <c r="Z31" s="30"/>
      <c r="AA31" s="13" t="s">
        <v>90</v>
      </c>
      <c r="AB31" s="13"/>
      <c r="AC31" s="13"/>
      <c r="AD31" s="13" t="s">
        <v>91</v>
      </c>
      <c r="AE31" s="14"/>
    </row>
    <row r="32" spans="1:36" x14ac:dyDescent="0.25">
      <c r="A32" s="4">
        <v>1.4756</v>
      </c>
      <c r="B32" s="12">
        <v>-16.861999999999998</v>
      </c>
      <c r="C32" s="12">
        <v>0.30284</v>
      </c>
      <c r="D32" s="12">
        <v>14.555</v>
      </c>
      <c r="E32" s="5">
        <v>-4.0713999999999997</v>
      </c>
      <c r="G32" t="s">
        <v>5</v>
      </c>
      <c r="W32" s="33">
        <v>4543</v>
      </c>
      <c r="X32" s="28">
        <v>51</v>
      </c>
      <c r="Y32" s="28">
        <v>52</v>
      </c>
      <c r="Z32" s="30"/>
      <c r="AA32" s="13" t="s">
        <v>86</v>
      </c>
      <c r="AB32" s="13">
        <v>185.23599999999999</v>
      </c>
      <c r="AC32" s="13"/>
      <c r="AD32" s="13" t="s">
        <v>86</v>
      </c>
      <c r="AE32" s="14">
        <v>3.6749999999999998</v>
      </c>
    </row>
    <row r="33" spans="1:31" ht="18" thickBot="1" x14ac:dyDescent="0.3">
      <c r="A33" s="6">
        <v>-8.9873999999999992</v>
      </c>
      <c r="B33" s="15">
        <v>-6.5960000000000001</v>
      </c>
      <c r="C33" s="15">
        <v>-6.2427000000000001</v>
      </c>
      <c r="D33" s="15">
        <v>-1.4490000000000001</v>
      </c>
      <c r="E33" s="7">
        <v>-0.16924</v>
      </c>
      <c r="K33" t="s">
        <v>62</v>
      </c>
      <c r="L33" s="1">
        <f>1/(1+EXP(-L31))</f>
        <v>0.9533839691694298</v>
      </c>
      <c r="W33" s="33">
        <v>7273</v>
      </c>
      <c r="X33" s="28">
        <v>36</v>
      </c>
      <c r="Y33" s="28">
        <v>37</v>
      </c>
      <c r="Z33" s="30"/>
      <c r="AA33" s="13" t="s">
        <v>87</v>
      </c>
      <c r="AB33" s="13">
        <v>0.93569999999999998</v>
      </c>
      <c r="AC33" s="13"/>
      <c r="AD33" s="13" t="s">
        <v>87</v>
      </c>
      <c r="AE33" s="14">
        <v>0.99760000000000004</v>
      </c>
    </row>
    <row r="34" spans="1:31" x14ac:dyDescent="0.25">
      <c r="A34" s="2">
        <v>-3.5293000000000001</v>
      </c>
      <c r="B34" s="11">
        <v>-23.905000000000001</v>
      </c>
      <c r="C34" s="11">
        <v>-2.6555</v>
      </c>
      <c r="D34" s="11">
        <v>-15.256</v>
      </c>
      <c r="E34" s="3">
        <v>4.8936000000000002</v>
      </c>
      <c r="W34" s="33">
        <v>9266</v>
      </c>
      <c r="X34" s="28">
        <v>64</v>
      </c>
      <c r="Y34" s="28">
        <v>66</v>
      </c>
      <c r="Z34" s="30"/>
      <c r="AA34" s="13" t="s">
        <v>88</v>
      </c>
      <c r="AB34" s="13">
        <v>182.89</v>
      </c>
      <c r="AC34" s="13"/>
      <c r="AD34" s="13" t="s">
        <v>88</v>
      </c>
      <c r="AE34" s="14">
        <v>6.3330000000000002</v>
      </c>
    </row>
    <row r="35" spans="1:31" x14ac:dyDescent="0.25">
      <c r="A35" s="4">
        <v>-22.603000000000002</v>
      </c>
      <c r="B35" s="12">
        <v>2.7303000000000002</v>
      </c>
      <c r="C35" s="12">
        <v>-10.670999999999999</v>
      </c>
      <c r="D35" s="12">
        <v>3.4594</v>
      </c>
      <c r="E35" s="5">
        <v>-16.323</v>
      </c>
      <c r="G35" t="s">
        <v>6</v>
      </c>
      <c r="K35" t="s">
        <v>63</v>
      </c>
      <c r="L35" s="25">
        <f>L33*(A26-B26)+B26</f>
        <v>253.1711130129421</v>
      </c>
      <c r="W35" s="36">
        <f>W34+1</f>
        <v>9267</v>
      </c>
      <c r="X35" s="31">
        <v>64</v>
      </c>
      <c r="Y35" s="31">
        <v>66</v>
      </c>
      <c r="Z35" s="30"/>
      <c r="AA35" s="13" t="s">
        <v>89</v>
      </c>
      <c r="AB35" s="13">
        <v>13.523999999999999</v>
      </c>
      <c r="AC35" s="13"/>
      <c r="AD35" s="13" t="s">
        <v>89</v>
      </c>
      <c r="AE35" s="14">
        <v>2.52</v>
      </c>
    </row>
    <row r="36" spans="1:31" ht="15.75" thickBot="1" x14ac:dyDescent="0.3">
      <c r="A36" s="6">
        <v>-12.544</v>
      </c>
      <c r="B36" s="15">
        <v>18.844999999999999</v>
      </c>
      <c r="C36" s="15">
        <v>-2.8113000000000001</v>
      </c>
      <c r="D36" s="15">
        <v>-0.82691000000000003</v>
      </c>
      <c r="E36" s="7">
        <v>-4.1135000000000002</v>
      </c>
      <c r="W36" s="34">
        <v>13055</v>
      </c>
      <c r="X36" s="29">
        <v>37</v>
      </c>
      <c r="Y36" s="29">
        <v>55</v>
      </c>
      <c r="Z36" s="30"/>
      <c r="AA36" s="13" t="s">
        <v>92</v>
      </c>
      <c r="AB36" s="30">
        <v>6.8890000000000002</v>
      </c>
      <c r="AC36" s="13"/>
      <c r="AD36" s="13" t="s">
        <v>92</v>
      </c>
      <c r="AE36" s="35">
        <v>2.0670000000000002</v>
      </c>
    </row>
    <row r="37" spans="1:31" x14ac:dyDescent="0.25">
      <c r="A37" s="2">
        <v>-16.186</v>
      </c>
      <c r="B37" s="11">
        <v>7.4657999999999998</v>
      </c>
      <c r="C37" s="11">
        <v>-0.49668000000000001</v>
      </c>
      <c r="D37" s="11">
        <v>5.2912000000000001E-2</v>
      </c>
      <c r="E37" s="3">
        <v>-2.8990999999999998</v>
      </c>
      <c r="W37" s="33">
        <v>14573</v>
      </c>
      <c r="X37" s="28">
        <v>98</v>
      </c>
      <c r="Y37" s="28">
        <v>96</v>
      </c>
      <c r="Z37" s="30"/>
      <c r="AA37" s="13"/>
      <c r="AB37" s="13"/>
      <c r="AC37" s="13"/>
      <c r="AD37" s="13"/>
      <c r="AE37" s="14"/>
    </row>
    <row r="38" spans="1:31" x14ac:dyDescent="0.25">
      <c r="A38" s="4">
        <v>15.458</v>
      </c>
      <c r="B38" s="12">
        <v>-1.5945</v>
      </c>
      <c r="C38" s="12">
        <v>-5.2824999999999998</v>
      </c>
      <c r="D38" s="12">
        <v>-9.9563000000000006</v>
      </c>
      <c r="E38" s="5">
        <v>-8.6847999999999992</v>
      </c>
      <c r="G38" t="s">
        <v>7</v>
      </c>
      <c r="W38" s="33">
        <v>9558</v>
      </c>
      <c r="X38" s="28">
        <v>204</v>
      </c>
      <c r="Y38" s="28">
        <v>205</v>
      </c>
      <c r="Z38" s="30"/>
      <c r="AA38" s="13"/>
      <c r="AB38" s="13"/>
      <c r="AC38" s="13"/>
      <c r="AD38" s="13"/>
      <c r="AE38" s="14"/>
    </row>
    <row r="39" spans="1:31" ht="15.75" thickBot="1" x14ac:dyDescent="0.3">
      <c r="A39" s="6">
        <v>37.76</v>
      </c>
      <c r="B39" s="15">
        <v>3.4756</v>
      </c>
      <c r="C39" s="15">
        <v>-0.68139000000000005</v>
      </c>
      <c r="D39" s="15">
        <v>0.47650999999999999</v>
      </c>
      <c r="E39" s="7">
        <v>1.8128</v>
      </c>
      <c r="W39" s="33">
        <v>18486</v>
      </c>
      <c r="X39" s="28">
        <v>100</v>
      </c>
      <c r="Y39" s="28">
        <v>97</v>
      </c>
      <c r="Z39" s="30"/>
      <c r="AA39" s="13"/>
      <c r="AB39" s="13"/>
      <c r="AC39" s="13"/>
      <c r="AD39" s="13"/>
      <c r="AE39" s="14"/>
    </row>
    <row r="40" spans="1:31" x14ac:dyDescent="0.25">
      <c r="A40" s="2">
        <v>-10.928000000000001</v>
      </c>
      <c r="B40" s="11">
        <v>6.8337000000000003</v>
      </c>
      <c r="C40" s="11">
        <v>-5.0327000000000002</v>
      </c>
      <c r="D40" s="11">
        <v>-22.53</v>
      </c>
      <c r="E40" s="3">
        <v>-0.76432999999999995</v>
      </c>
      <c r="K40" s="60" t="s">
        <v>93</v>
      </c>
      <c r="L40" s="61"/>
      <c r="W40" s="33">
        <v>5438</v>
      </c>
      <c r="X40" s="28">
        <v>32</v>
      </c>
      <c r="Y40" s="28">
        <v>32</v>
      </c>
      <c r="Z40" s="30"/>
      <c r="AA40" s="13"/>
      <c r="AB40" s="13"/>
      <c r="AC40" s="13"/>
      <c r="AD40" s="13"/>
      <c r="AE40" s="14"/>
    </row>
    <row r="41" spans="1:31" x14ac:dyDescent="0.25">
      <c r="A41" s="4">
        <v>-15.115</v>
      </c>
      <c r="B41" s="12">
        <v>13.07</v>
      </c>
      <c r="C41" s="12">
        <v>10.875999999999999</v>
      </c>
      <c r="D41" s="12">
        <v>-2.0933000000000002</v>
      </c>
      <c r="E41" s="5">
        <v>10.234</v>
      </c>
      <c r="G41" t="s">
        <v>8</v>
      </c>
      <c r="K41" s="33" t="s">
        <v>86</v>
      </c>
      <c r="L41" s="41">
        <v>12.343</v>
      </c>
      <c r="W41" s="33">
        <v>881</v>
      </c>
      <c r="X41" s="28">
        <v>66</v>
      </c>
      <c r="Y41" s="28">
        <v>67</v>
      </c>
      <c r="Z41" s="30"/>
      <c r="AA41" s="13"/>
      <c r="AB41" s="13"/>
      <c r="AC41" s="13"/>
      <c r="AD41" s="13"/>
      <c r="AE41" s="14"/>
    </row>
    <row r="42" spans="1:31" ht="18" thickBot="1" x14ac:dyDescent="0.3">
      <c r="A42" s="6">
        <v>9.3779000000000003</v>
      </c>
      <c r="B42" s="15">
        <v>-10.047000000000001</v>
      </c>
      <c r="C42" s="15">
        <v>2.6562000000000001</v>
      </c>
      <c r="D42" s="15">
        <v>-0.12569</v>
      </c>
      <c r="E42" s="7">
        <v>-0.56354000000000004</v>
      </c>
      <c r="K42" s="33" t="s">
        <v>87</v>
      </c>
      <c r="L42" s="41">
        <v>0.98260000000000003</v>
      </c>
      <c r="W42" s="33">
        <v>1666</v>
      </c>
      <c r="X42" s="28">
        <v>93</v>
      </c>
      <c r="Y42" s="28">
        <v>89</v>
      </c>
      <c r="Z42" s="30"/>
      <c r="AA42" s="13"/>
      <c r="AB42" s="13"/>
      <c r="AC42" s="13"/>
      <c r="AD42" s="13"/>
      <c r="AE42" s="14"/>
    </row>
    <row r="43" spans="1:31" x14ac:dyDescent="0.25">
      <c r="A43" s="2">
        <v>15.035</v>
      </c>
      <c r="B43" s="11">
        <v>9.0892999999999997</v>
      </c>
      <c r="C43" s="11">
        <v>-2.0535000000000001</v>
      </c>
      <c r="D43" s="11">
        <v>-0.94477</v>
      </c>
      <c r="E43" s="3">
        <v>-1.1217999999999999</v>
      </c>
      <c r="K43" s="33" t="s">
        <v>88</v>
      </c>
      <c r="L43" s="41">
        <v>95.388999999999996</v>
      </c>
      <c r="W43" s="33">
        <v>4366</v>
      </c>
      <c r="X43" s="28">
        <v>143</v>
      </c>
      <c r="Y43" s="28">
        <v>149</v>
      </c>
      <c r="Z43" s="30"/>
      <c r="AA43" s="13"/>
      <c r="AB43" s="13"/>
      <c r="AC43" s="13"/>
      <c r="AD43" s="13"/>
      <c r="AE43" s="14"/>
    </row>
    <row r="44" spans="1:31" x14ac:dyDescent="0.25">
      <c r="A44" s="4">
        <v>18.632000000000001</v>
      </c>
      <c r="B44" s="12">
        <v>-3.1764999999999999</v>
      </c>
      <c r="C44" s="12">
        <v>-2.2759999999999998</v>
      </c>
      <c r="D44" s="12">
        <v>-12.865</v>
      </c>
      <c r="E44" s="5">
        <v>10.85</v>
      </c>
      <c r="G44" t="s">
        <v>9</v>
      </c>
      <c r="K44" s="33" t="s">
        <v>89</v>
      </c>
      <c r="L44" s="41">
        <v>9.7669999999999995</v>
      </c>
      <c r="W44" s="33">
        <v>2803</v>
      </c>
      <c r="X44" s="28">
        <v>35</v>
      </c>
      <c r="Y44" s="28">
        <v>32</v>
      </c>
      <c r="Z44" s="30"/>
      <c r="AA44" s="13"/>
      <c r="AB44" s="13"/>
      <c r="AC44" s="13"/>
      <c r="AD44" s="13"/>
      <c r="AE44" s="14"/>
    </row>
    <row r="45" spans="1:31" ht="15.75" thickBot="1" x14ac:dyDescent="0.3">
      <c r="A45" s="6">
        <v>-15.817</v>
      </c>
      <c r="B45" s="15">
        <v>-7.2637</v>
      </c>
      <c r="C45" s="15">
        <v>8.6236999999999995</v>
      </c>
      <c r="D45" s="15">
        <v>-1.5507</v>
      </c>
      <c r="E45" s="7">
        <v>2.1547000000000001</v>
      </c>
      <c r="K45" s="42" t="s">
        <v>92</v>
      </c>
      <c r="L45" s="43">
        <v>6.5039999999999996</v>
      </c>
      <c r="W45" s="33">
        <v>9107</v>
      </c>
      <c r="X45" s="28">
        <v>51</v>
      </c>
      <c r="Y45" s="28">
        <v>53</v>
      </c>
      <c r="Z45" s="30"/>
      <c r="AA45" s="13"/>
      <c r="AB45" s="13"/>
      <c r="AC45" s="13"/>
      <c r="AD45" s="13"/>
      <c r="AE45" s="14"/>
    </row>
    <row r="46" spans="1:31" x14ac:dyDescent="0.25">
      <c r="A46" s="2">
        <v>-14.055999999999999</v>
      </c>
      <c r="B46" s="11">
        <v>4.0317999999999996</v>
      </c>
      <c r="C46" s="11">
        <v>-17.95</v>
      </c>
      <c r="D46" s="11">
        <v>19.38</v>
      </c>
      <c r="E46" s="3">
        <v>11.927</v>
      </c>
      <c r="W46" s="34">
        <v>5991</v>
      </c>
      <c r="X46" s="29">
        <v>141</v>
      </c>
      <c r="Y46" s="29">
        <v>98</v>
      </c>
      <c r="Z46" s="30"/>
      <c r="AA46" s="13"/>
      <c r="AB46" s="13"/>
      <c r="AC46" s="13"/>
      <c r="AD46" s="13"/>
      <c r="AE46" s="14"/>
    </row>
    <row r="47" spans="1:31" x14ac:dyDescent="0.25">
      <c r="A47" s="4">
        <v>14.337999999999999</v>
      </c>
      <c r="B47" s="12">
        <v>-10.1</v>
      </c>
      <c r="C47" s="12">
        <v>28.062000000000001</v>
      </c>
      <c r="D47" s="12">
        <v>1.1258999999999999</v>
      </c>
      <c r="E47" s="5">
        <v>-24.721</v>
      </c>
      <c r="G47" t="s">
        <v>10</v>
      </c>
      <c r="W47" s="36">
        <v>5992</v>
      </c>
      <c r="X47" s="31">
        <v>141</v>
      </c>
      <c r="Y47" s="31">
        <v>140</v>
      </c>
      <c r="Z47" s="30"/>
      <c r="AA47" s="13"/>
      <c r="AB47" s="13"/>
      <c r="AC47" s="13"/>
      <c r="AD47" s="13"/>
      <c r="AE47" s="14"/>
    </row>
    <row r="48" spans="1:31" ht="15.75" thickBot="1" x14ac:dyDescent="0.3">
      <c r="A48" s="6">
        <v>14.555999999999999</v>
      </c>
      <c r="B48" s="15">
        <v>-10.651</v>
      </c>
      <c r="C48" s="15">
        <v>-7.9532999999999996</v>
      </c>
      <c r="D48" s="15">
        <v>-3.2204000000000002</v>
      </c>
      <c r="E48" s="7">
        <v>-2.1002999999999998</v>
      </c>
      <c r="W48" s="37">
        <v>1</v>
      </c>
      <c r="X48" s="38">
        <v>1</v>
      </c>
      <c r="Y48" s="38">
        <v>33</v>
      </c>
      <c r="Z48" s="39"/>
      <c r="AA48" s="40"/>
      <c r="AB48" s="40"/>
      <c r="AC48" s="40"/>
      <c r="AD48" s="40"/>
      <c r="AE48" s="20"/>
    </row>
    <row r="49" spans="1:7" x14ac:dyDescent="0.25">
      <c r="A49" s="2">
        <v>-16.433</v>
      </c>
      <c r="B49" s="11">
        <v>-12.356999999999999</v>
      </c>
      <c r="C49" s="11">
        <v>11.965</v>
      </c>
      <c r="D49" s="11">
        <v>13.026999999999999</v>
      </c>
      <c r="E49" s="3">
        <v>2.5438999999999998</v>
      </c>
    </row>
    <row r="50" spans="1:7" x14ac:dyDescent="0.25">
      <c r="A50" s="4">
        <v>-0.57201999999999997</v>
      </c>
      <c r="B50" s="12">
        <v>4.0183</v>
      </c>
      <c r="C50" s="12">
        <v>-9.8924000000000003</v>
      </c>
      <c r="D50" s="12">
        <v>-1.1741999999999999</v>
      </c>
      <c r="E50" s="5">
        <v>-1.6194999999999999</v>
      </c>
      <c r="G50" t="s">
        <v>11</v>
      </c>
    </row>
    <row r="51" spans="1:7" ht="15.75" thickBot="1" x14ac:dyDescent="0.3">
      <c r="A51" s="6">
        <v>20.035</v>
      </c>
      <c r="B51" s="15">
        <v>5.0613999999999999</v>
      </c>
      <c r="C51" s="15">
        <v>2.1526000000000001</v>
      </c>
      <c r="D51" s="15">
        <v>0.71545999999999998</v>
      </c>
      <c r="E51" s="7">
        <v>-0.40917999999999999</v>
      </c>
    </row>
    <row r="52" spans="1:7" x14ac:dyDescent="0.25">
      <c r="A52" s="2">
        <v>-3.5371999999999999</v>
      </c>
      <c r="B52" s="11">
        <v>9.6964000000000006</v>
      </c>
      <c r="C52" s="11">
        <v>-4.4665999999999997</v>
      </c>
      <c r="D52" s="11">
        <v>-5.5620000000000003</v>
      </c>
      <c r="E52" s="3">
        <v>3.6213000000000002</v>
      </c>
    </row>
    <row r="53" spans="1:7" x14ac:dyDescent="0.25">
      <c r="A53" s="4">
        <v>2.4630000000000001</v>
      </c>
      <c r="B53" s="12">
        <v>-26.771999999999998</v>
      </c>
      <c r="C53" s="12">
        <v>-1.1431</v>
      </c>
      <c r="D53" s="12">
        <v>11.647</v>
      </c>
      <c r="E53" s="5">
        <v>12.212</v>
      </c>
      <c r="G53" t="s">
        <v>12</v>
      </c>
    </row>
    <row r="54" spans="1:7" ht="15.75" thickBot="1" x14ac:dyDescent="0.3">
      <c r="A54" s="6">
        <v>12.112</v>
      </c>
      <c r="B54" s="15">
        <v>5.0514000000000001</v>
      </c>
      <c r="C54" s="15">
        <v>8.9639000000000006</v>
      </c>
      <c r="D54" s="15">
        <v>-0.96750000000000003</v>
      </c>
      <c r="E54" s="7">
        <v>0.59472000000000003</v>
      </c>
    </row>
    <row r="55" spans="1:7" x14ac:dyDescent="0.25">
      <c r="A55" s="2">
        <v>-4.2008000000000001</v>
      </c>
      <c r="B55" s="11">
        <v>10.273</v>
      </c>
      <c r="C55" s="11">
        <v>0.14141000000000001</v>
      </c>
      <c r="D55" s="11">
        <v>-7.2413999999999996</v>
      </c>
      <c r="E55" s="3">
        <v>-4.6467999999999998</v>
      </c>
    </row>
    <row r="56" spans="1:7" x14ac:dyDescent="0.25">
      <c r="A56" s="4">
        <v>-4.1250999999999998</v>
      </c>
      <c r="B56" s="12">
        <v>21.091000000000001</v>
      </c>
      <c r="C56" s="12">
        <v>3.1871999999999998</v>
      </c>
      <c r="D56" s="12">
        <v>7.6622000000000003</v>
      </c>
      <c r="E56" s="5">
        <v>2.3231999999999999</v>
      </c>
      <c r="G56" t="s">
        <v>13</v>
      </c>
    </row>
    <row r="57" spans="1:7" ht="15.75" thickBot="1" x14ac:dyDescent="0.3">
      <c r="A57" s="6">
        <v>-9.4271999999999991</v>
      </c>
      <c r="B57" s="15">
        <v>12.57</v>
      </c>
      <c r="C57" s="15">
        <v>-1.7699</v>
      </c>
      <c r="D57" s="15">
        <v>0.26333000000000001</v>
      </c>
      <c r="E57" s="7">
        <v>1.9604999999999999</v>
      </c>
    </row>
    <row r="58" spans="1:7" x14ac:dyDescent="0.25">
      <c r="A58" s="2">
        <v>11.962</v>
      </c>
      <c r="B58" s="11">
        <v>-20.402999999999999</v>
      </c>
      <c r="C58" s="11">
        <v>3.5897999999999999</v>
      </c>
      <c r="D58" s="11">
        <v>-8.5550999999999995</v>
      </c>
      <c r="E58" s="3">
        <v>-2.7654000000000001</v>
      </c>
    </row>
    <row r="59" spans="1:7" x14ac:dyDescent="0.25">
      <c r="A59" s="4">
        <v>-34.115000000000002</v>
      </c>
      <c r="B59" s="12">
        <v>8.7246000000000006</v>
      </c>
      <c r="C59" s="12">
        <v>-14.073</v>
      </c>
      <c r="D59" s="12">
        <v>-9.5484000000000009</v>
      </c>
      <c r="E59" s="5">
        <v>19.225999999999999</v>
      </c>
      <c r="G59" t="s">
        <v>14</v>
      </c>
    </row>
    <row r="60" spans="1:7" ht="15.75" thickBot="1" x14ac:dyDescent="0.3">
      <c r="A60" s="6">
        <v>-8.9048999999999996</v>
      </c>
      <c r="B60" s="15">
        <v>-3.1621999999999999</v>
      </c>
      <c r="C60" s="15">
        <v>-0.18787000000000001</v>
      </c>
      <c r="D60" s="15">
        <v>-0.46870000000000001</v>
      </c>
      <c r="E60" s="7">
        <v>-3.2098</v>
      </c>
    </row>
    <row r="61" spans="1:7" x14ac:dyDescent="0.25">
      <c r="A61" s="2">
        <v>9.4749999999999996</v>
      </c>
      <c r="B61" s="11">
        <v>2.4401999999999999</v>
      </c>
      <c r="C61" s="11">
        <v>5.5072000000000001</v>
      </c>
      <c r="D61" s="11">
        <v>-13.234999999999999</v>
      </c>
      <c r="E61" s="3">
        <v>-1.8419000000000001</v>
      </c>
    </row>
    <row r="62" spans="1:7" x14ac:dyDescent="0.25">
      <c r="A62" s="4">
        <v>9.2093000000000007</v>
      </c>
      <c r="B62" s="12">
        <v>4.7538999999999998</v>
      </c>
      <c r="C62" s="12">
        <v>-17.059000000000001</v>
      </c>
      <c r="D62" s="12">
        <v>-16.003</v>
      </c>
      <c r="E62" s="5">
        <v>-17.768999999999998</v>
      </c>
      <c r="G62" t="s">
        <v>15</v>
      </c>
    </row>
    <row r="63" spans="1:7" ht="15.75" thickBot="1" x14ac:dyDescent="0.3">
      <c r="A63" s="6">
        <v>-19.68</v>
      </c>
      <c r="B63" s="15">
        <v>9.9166000000000007</v>
      </c>
      <c r="C63" s="15">
        <v>-1.8485</v>
      </c>
      <c r="D63" s="15">
        <v>0.95960000000000001</v>
      </c>
      <c r="E63" s="7">
        <v>0.73145000000000004</v>
      </c>
    </row>
    <row r="64" spans="1:7" x14ac:dyDescent="0.25">
      <c r="A64" s="2">
        <v>24.309000000000001</v>
      </c>
      <c r="B64" s="11">
        <v>0.43007000000000001</v>
      </c>
      <c r="C64" s="11">
        <v>-7.9891000000000004E-2</v>
      </c>
      <c r="D64" s="11">
        <v>-3.7890000000000001</v>
      </c>
      <c r="E64" s="3">
        <v>-5.7958999999999996</v>
      </c>
    </row>
    <row r="65" spans="1:7" x14ac:dyDescent="0.25">
      <c r="A65" s="4">
        <v>11.311</v>
      </c>
      <c r="B65" s="12">
        <v>-6.8170000000000002</v>
      </c>
      <c r="C65" s="12">
        <v>4.6692</v>
      </c>
      <c r="D65" s="12">
        <v>0.26362999999999998</v>
      </c>
      <c r="E65" s="5">
        <v>2.3536999999999999</v>
      </c>
      <c r="G65" t="s">
        <v>16</v>
      </c>
    </row>
    <row r="66" spans="1:7" ht="15.75" thickBot="1" x14ac:dyDescent="0.3">
      <c r="A66" s="6">
        <v>1.0998000000000001</v>
      </c>
      <c r="B66" s="15">
        <v>-20.373000000000001</v>
      </c>
      <c r="C66" s="15">
        <v>2.1876000000000002</v>
      </c>
      <c r="D66" s="15">
        <v>-0.75749999999999995</v>
      </c>
      <c r="E66" s="7">
        <v>1.5539000000000001</v>
      </c>
    </row>
    <row r="67" spans="1:7" x14ac:dyDescent="0.25">
      <c r="A67" s="2">
        <v>-17.878</v>
      </c>
      <c r="B67" s="11">
        <v>-1.7687999999999999</v>
      </c>
      <c r="C67" s="11">
        <v>-14.336</v>
      </c>
      <c r="D67" s="11">
        <v>-9.3491</v>
      </c>
      <c r="E67" s="3">
        <v>-5.2706999999999997</v>
      </c>
    </row>
    <row r="68" spans="1:7" x14ac:dyDescent="0.25">
      <c r="A68" s="4">
        <v>-23.013000000000002</v>
      </c>
      <c r="B68" s="12">
        <v>-22.367999999999999</v>
      </c>
      <c r="C68" s="12">
        <v>9.1940000000000008</v>
      </c>
      <c r="D68" s="12">
        <v>-16.099</v>
      </c>
      <c r="E68" s="5">
        <v>11.984</v>
      </c>
      <c r="G68" t="s">
        <v>17</v>
      </c>
    </row>
    <row r="69" spans="1:7" ht="15.75" thickBot="1" x14ac:dyDescent="0.3">
      <c r="A69" s="6">
        <v>-4.9819000000000004</v>
      </c>
      <c r="B69" s="15">
        <v>-12.391999999999999</v>
      </c>
      <c r="C69" s="15">
        <v>-16.619</v>
      </c>
      <c r="D69" s="15">
        <v>0.66083999999999998</v>
      </c>
      <c r="E69" s="7">
        <v>0.16088</v>
      </c>
    </row>
    <row r="70" spans="1:7" x14ac:dyDescent="0.25">
      <c r="A70" s="2">
        <v>-16.123999999999999</v>
      </c>
      <c r="B70" s="11">
        <v>-2.8307000000000002</v>
      </c>
      <c r="C70" s="11">
        <v>-8.1363000000000003</v>
      </c>
      <c r="D70" s="11">
        <v>-20.303999999999998</v>
      </c>
      <c r="E70" s="3">
        <v>-5.0926</v>
      </c>
    </row>
    <row r="71" spans="1:7" x14ac:dyDescent="0.25">
      <c r="A71" s="4">
        <v>-0.76627999999999996</v>
      </c>
      <c r="B71" s="12">
        <v>18.218</v>
      </c>
      <c r="C71" s="12">
        <v>-1.7039</v>
      </c>
      <c r="D71" s="12">
        <v>3.8008000000000002</v>
      </c>
      <c r="E71" s="5">
        <v>-5.9165999999999999</v>
      </c>
      <c r="G71" t="s">
        <v>18</v>
      </c>
    </row>
    <row r="72" spans="1:7" ht="15.75" thickBot="1" x14ac:dyDescent="0.3">
      <c r="A72" s="6">
        <v>-9.7920999999999996</v>
      </c>
      <c r="B72" s="15">
        <v>8.0058000000000007</v>
      </c>
      <c r="C72" s="15">
        <v>-9.4190000000000005</v>
      </c>
      <c r="D72" s="15">
        <v>-1.7585</v>
      </c>
      <c r="E72" s="7">
        <v>-1.1625000000000001</v>
      </c>
    </row>
    <row r="73" spans="1:7" x14ac:dyDescent="0.25">
      <c r="A73" s="2">
        <v>2.4929000000000001</v>
      </c>
      <c r="B73" s="11">
        <v>0.41920000000000002</v>
      </c>
      <c r="C73" s="11">
        <v>-4.7744</v>
      </c>
      <c r="D73" s="11">
        <v>5.9457000000000004</v>
      </c>
      <c r="E73" s="3">
        <v>0.16195999999999999</v>
      </c>
    </row>
    <row r="74" spans="1:7" x14ac:dyDescent="0.25">
      <c r="A74" s="4">
        <v>-22.962</v>
      </c>
      <c r="B74" s="12">
        <v>-20.366</v>
      </c>
      <c r="C74" s="12">
        <v>-28.271000000000001</v>
      </c>
      <c r="D74" s="12">
        <v>-5.1843000000000004</v>
      </c>
      <c r="E74" s="5">
        <v>-19.794</v>
      </c>
      <c r="G74" t="s">
        <v>19</v>
      </c>
    </row>
    <row r="75" spans="1:7" ht="15.75" thickBot="1" x14ac:dyDescent="0.3">
      <c r="A75" s="6">
        <v>8.1516999999999999</v>
      </c>
      <c r="B75" s="15">
        <v>-11.236000000000001</v>
      </c>
      <c r="C75" s="15">
        <v>10.863</v>
      </c>
      <c r="D75" s="15">
        <v>-3.5577000000000001</v>
      </c>
      <c r="E75" s="7">
        <v>-1.8366</v>
      </c>
    </row>
    <row r="76" spans="1:7" x14ac:dyDescent="0.25">
      <c r="A76" s="2">
        <v>21.277000000000001</v>
      </c>
      <c r="B76" s="11">
        <v>-3.3561999999999999</v>
      </c>
      <c r="C76" s="11">
        <v>11.733000000000001</v>
      </c>
      <c r="D76" s="11">
        <v>8.4925999999999995</v>
      </c>
      <c r="E76" s="3">
        <v>8.0785</v>
      </c>
    </row>
    <row r="77" spans="1:7" x14ac:dyDescent="0.25">
      <c r="A77" s="4">
        <v>22.337</v>
      </c>
      <c r="B77" s="12">
        <v>-2.8578999999999999</v>
      </c>
      <c r="C77" s="12">
        <v>23.815999999999999</v>
      </c>
      <c r="D77" s="12">
        <v>-4.5591999999999997</v>
      </c>
      <c r="E77" s="5">
        <v>17.716000000000001</v>
      </c>
      <c r="G77" t="s">
        <v>20</v>
      </c>
    </row>
    <row r="78" spans="1:7" ht="15.75" thickBot="1" x14ac:dyDescent="0.3">
      <c r="A78" s="6">
        <v>11.43</v>
      </c>
      <c r="B78" s="15">
        <v>1.6438999999999999</v>
      </c>
      <c r="C78" s="15">
        <v>0.10074</v>
      </c>
      <c r="D78" s="15">
        <v>1.8405</v>
      </c>
      <c r="E78" s="7">
        <v>2.1204000000000001</v>
      </c>
    </row>
    <row r="79" spans="1:7" x14ac:dyDescent="0.25">
      <c r="A79" s="2">
        <v>-20.433</v>
      </c>
      <c r="B79" s="11">
        <v>107.33</v>
      </c>
      <c r="C79" s="11">
        <v>-15.58</v>
      </c>
      <c r="D79" s="11">
        <v>-13.661</v>
      </c>
      <c r="E79" s="3">
        <v>-0.46412999999999999</v>
      </c>
    </row>
    <row r="80" spans="1:7" x14ac:dyDescent="0.25">
      <c r="A80" s="4">
        <v>55.329000000000001</v>
      </c>
      <c r="B80" s="12">
        <v>-56.616999999999997</v>
      </c>
      <c r="C80" s="12">
        <v>-28.745000000000001</v>
      </c>
      <c r="D80" s="12">
        <v>-19.773</v>
      </c>
      <c r="E80" s="5">
        <v>45.319000000000003</v>
      </c>
      <c r="G80" t="s">
        <v>21</v>
      </c>
    </row>
    <row r="81" spans="1:7" ht="15.75" thickBot="1" x14ac:dyDescent="0.3">
      <c r="A81" s="6">
        <v>14.131</v>
      </c>
      <c r="B81" s="15">
        <v>32.822000000000003</v>
      </c>
      <c r="C81" s="15">
        <v>-14.247</v>
      </c>
      <c r="D81" s="15">
        <v>-7.3282999999999996</v>
      </c>
      <c r="E81" s="7">
        <v>-0.64932000000000001</v>
      </c>
    </row>
    <row r="82" spans="1:7" x14ac:dyDescent="0.25">
      <c r="A82" s="2">
        <v>-5.4592999999999998</v>
      </c>
      <c r="B82" s="11">
        <v>0.90598000000000001</v>
      </c>
      <c r="C82" s="11">
        <v>0.22925000000000001</v>
      </c>
      <c r="D82" s="11">
        <v>-34.831000000000003</v>
      </c>
      <c r="E82" s="3">
        <v>0.46245000000000003</v>
      </c>
    </row>
    <row r="83" spans="1:7" x14ac:dyDescent="0.25">
      <c r="A83" s="4">
        <v>-0.50546000000000002</v>
      </c>
      <c r="B83" s="12">
        <v>0.26589000000000002</v>
      </c>
      <c r="C83" s="12">
        <v>0.4425</v>
      </c>
      <c r="D83" s="12">
        <v>-7.5846</v>
      </c>
      <c r="E83" s="5">
        <v>-33.064</v>
      </c>
      <c r="G83" t="s">
        <v>22</v>
      </c>
    </row>
    <row r="84" spans="1:7" ht="15.75" thickBot="1" x14ac:dyDescent="0.3">
      <c r="A84" s="6">
        <v>7.6725000000000003</v>
      </c>
      <c r="B84" s="15">
        <v>10.893000000000001</v>
      </c>
      <c r="C84" s="15">
        <v>-0.60702</v>
      </c>
      <c r="D84" s="15">
        <v>0.29923</v>
      </c>
      <c r="E84" s="7">
        <v>1.5484</v>
      </c>
    </row>
    <row r="85" spans="1:7" x14ac:dyDescent="0.25">
      <c r="A85" s="2">
        <v>14.448</v>
      </c>
      <c r="B85" s="11">
        <v>-1.6061000000000001</v>
      </c>
      <c r="C85" s="11">
        <v>-0.36235000000000001</v>
      </c>
      <c r="D85" s="11">
        <v>16.562999999999999</v>
      </c>
      <c r="E85" s="3">
        <v>-4.9234999999999998</v>
      </c>
    </row>
    <row r="86" spans="1:7" x14ac:dyDescent="0.25">
      <c r="A86" s="4">
        <v>-4.1993</v>
      </c>
      <c r="B86" s="12">
        <v>-0.13899</v>
      </c>
      <c r="C86" s="12">
        <v>2.3673999999999999</v>
      </c>
      <c r="D86" s="12">
        <v>-2.669</v>
      </c>
      <c r="E86" s="5">
        <v>21.015999999999998</v>
      </c>
      <c r="G86" t="s">
        <v>23</v>
      </c>
    </row>
    <row r="87" spans="1:7" ht="15.75" thickBot="1" x14ac:dyDescent="0.3">
      <c r="A87" s="6">
        <v>-32.302999999999997</v>
      </c>
      <c r="B87" s="15">
        <v>-24.547000000000001</v>
      </c>
      <c r="C87" s="15">
        <v>8.6648999999999994</v>
      </c>
      <c r="D87" s="15">
        <v>2.0787</v>
      </c>
      <c r="E87" s="7">
        <v>-3.7993999999999999</v>
      </c>
    </row>
    <row r="88" spans="1:7" x14ac:dyDescent="0.25">
      <c r="A88" s="2">
        <v>14.314</v>
      </c>
      <c r="B88" s="11">
        <v>-0.39232</v>
      </c>
      <c r="C88" s="11">
        <v>-1.7423999999999999</v>
      </c>
      <c r="D88" s="11">
        <v>26.074000000000002</v>
      </c>
      <c r="E88" s="3">
        <v>1.9891000000000001</v>
      </c>
    </row>
    <row r="89" spans="1:7" x14ac:dyDescent="0.25">
      <c r="A89" s="4">
        <v>2.9359000000000002</v>
      </c>
      <c r="B89" s="12">
        <v>-0.12279</v>
      </c>
      <c r="C89" s="12">
        <v>-1.6779999999999999</v>
      </c>
      <c r="D89" s="12">
        <v>-4.6407999999999996</v>
      </c>
      <c r="E89" s="5">
        <v>15.66</v>
      </c>
      <c r="G89" t="s">
        <v>24</v>
      </c>
    </row>
    <row r="90" spans="1:7" ht="15.75" thickBot="1" x14ac:dyDescent="0.3">
      <c r="A90" s="6">
        <v>-25.032</v>
      </c>
      <c r="B90" s="15">
        <v>-28.911999999999999</v>
      </c>
      <c r="C90" s="15">
        <v>13.939</v>
      </c>
      <c r="D90" s="15">
        <v>2.9321999999999999</v>
      </c>
      <c r="E90" s="7">
        <v>-4.7885</v>
      </c>
    </row>
    <row r="91" spans="1:7" x14ac:dyDescent="0.25">
      <c r="A91" s="2">
        <v>-3.8357999999999999</v>
      </c>
      <c r="B91" s="11">
        <v>-0.60416000000000003</v>
      </c>
      <c r="C91" s="11">
        <v>-2.6286</v>
      </c>
      <c r="D91" s="11">
        <v>-4.6821999999999999</v>
      </c>
      <c r="E91" s="3">
        <v>7.2335000000000003</v>
      </c>
    </row>
    <row r="92" spans="1:7" x14ac:dyDescent="0.25">
      <c r="A92" s="4">
        <v>9.3666999999999998</v>
      </c>
      <c r="B92" s="12">
        <v>-2.8658999999999999</v>
      </c>
      <c r="C92" s="12">
        <v>-14.048</v>
      </c>
      <c r="D92" s="12">
        <v>-9.0841999999999992</v>
      </c>
      <c r="E92" s="5">
        <v>-9.4731000000000005</v>
      </c>
      <c r="G92" t="s">
        <v>25</v>
      </c>
    </row>
    <row r="93" spans="1:7" ht="15.75" thickBot="1" x14ac:dyDescent="0.3">
      <c r="A93" s="6">
        <v>14.478</v>
      </c>
      <c r="B93" s="15">
        <v>20.481999999999999</v>
      </c>
      <c r="C93" s="15">
        <v>5.2926000000000002</v>
      </c>
      <c r="D93" s="15">
        <v>0.59870000000000001</v>
      </c>
      <c r="E93" s="7">
        <v>-0.82484999999999997</v>
      </c>
    </row>
    <row r="94" spans="1:7" x14ac:dyDescent="0.25">
      <c r="A94" s="2">
        <v>0.77151999999999998</v>
      </c>
      <c r="B94" s="11">
        <v>-1.8622000000000001</v>
      </c>
      <c r="C94" s="11">
        <v>-4.4531999999999998</v>
      </c>
      <c r="D94" s="11">
        <v>21.311</v>
      </c>
      <c r="E94" s="3">
        <v>10.167</v>
      </c>
    </row>
    <row r="95" spans="1:7" x14ac:dyDescent="0.25">
      <c r="A95" s="4">
        <v>4.1757999999999997</v>
      </c>
      <c r="B95" s="12">
        <v>-3.1246999999999998</v>
      </c>
      <c r="C95" s="12">
        <v>-0.45095000000000002</v>
      </c>
      <c r="D95" s="12">
        <v>0.44491999999999998</v>
      </c>
      <c r="E95" s="5">
        <v>-16.152999999999999</v>
      </c>
      <c r="G95" t="s">
        <v>26</v>
      </c>
    </row>
    <row r="96" spans="1:7" ht="15.75" thickBot="1" x14ac:dyDescent="0.3">
      <c r="A96" s="6">
        <v>20.417000000000002</v>
      </c>
      <c r="B96" s="15">
        <v>-34.89</v>
      </c>
      <c r="C96" s="15">
        <v>5.2068000000000003</v>
      </c>
      <c r="D96" s="15">
        <v>-1.4501999999999999</v>
      </c>
      <c r="E96" s="7">
        <v>-0.66788000000000003</v>
      </c>
    </row>
    <row r="97" spans="1:7" x14ac:dyDescent="0.25">
      <c r="A97" s="2">
        <v>5.4691000000000001</v>
      </c>
      <c r="B97" s="11">
        <v>-1.8611</v>
      </c>
      <c r="C97" s="11">
        <v>2.7746</v>
      </c>
      <c r="D97" s="11">
        <v>-11.038</v>
      </c>
      <c r="E97" s="3">
        <v>-7.2979000000000003</v>
      </c>
    </row>
    <row r="98" spans="1:7" x14ac:dyDescent="0.25">
      <c r="A98" s="4">
        <v>-7.7133000000000003</v>
      </c>
      <c r="B98" s="12">
        <v>0.16691</v>
      </c>
      <c r="C98" s="12">
        <v>3.9134000000000002</v>
      </c>
      <c r="D98" s="12">
        <v>1.2425999999999999</v>
      </c>
      <c r="E98" s="5">
        <v>9.0508000000000006</v>
      </c>
      <c r="G98" t="s">
        <v>27</v>
      </c>
    </row>
    <row r="99" spans="1:7" ht="15.75" thickBot="1" x14ac:dyDescent="0.3">
      <c r="A99" s="6">
        <v>-12.773</v>
      </c>
      <c r="B99" s="15">
        <v>6.0792000000000002</v>
      </c>
      <c r="C99" s="15">
        <v>-4.8529999999999998</v>
      </c>
      <c r="D99" s="15">
        <v>-1.3036000000000001</v>
      </c>
      <c r="E99" s="7">
        <v>8.3143999999999996E-2</v>
      </c>
    </row>
    <row r="100" spans="1:7" x14ac:dyDescent="0.25">
      <c r="A100" s="4">
        <v>4.8959000000000001</v>
      </c>
      <c r="B100" s="12">
        <v>-1.8119000000000001</v>
      </c>
      <c r="C100" s="12">
        <v>2.7307999999999999</v>
      </c>
      <c r="D100" s="12">
        <v>-11.882999999999999</v>
      </c>
      <c r="E100" s="5">
        <v>-7.4081000000000001</v>
      </c>
    </row>
    <row r="101" spans="1:7" x14ac:dyDescent="0.25">
      <c r="A101" s="4">
        <v>-7.7009999999999996</v>
      </c>
      <c r="B101" s="12">
        <v>0.30987999999999999</v>
      </c>
      <c r="C101" s="12">
        <v>3.891</v>
      </c>
      <c r="D101" s="12">
        <v>0.89122000000000001</v>
      </c>
      <c r="E101" s="5">
        <v>8.5793999999999997</v>
      </c>
      <c r="G101" t="s">
        <v>28</v>
      </c>
    </row>
    <row r="102" spans="1:7" ht="15.75" thickBot="1" x14ac:dyDescent="0.3">
      <c r="A102" s="6">
        <v>-12.332000000000001</v>
      </c>
      <c r="B102" s="15">
        <v>6.7434000000000003</v>
      </c>
      <c r="C102" s="15">
        <v>-4.1018999999999997</v>
      </c>
      <c r="D102" s="15">
        <v>-1.3206</v>
      </c>
      <c r="E102" s="7">
        <v>0.53085000000000004</v>
      </c>
    </row>
    <row r="103" spans="1:7" x14ac:dyDescent="0.25">
      <c r="A103" s="16">
        <v>-1.2738</v>
      </c>
    </row>
    <row r="104" spans="1:7" x14ac:dyDescent="0.25">
      <c r="A104" s="17">
        <v>-2.5830000000000002</v>
      </c>
    </row>
    <row r="105" spans="1:7" x14ac:dyDescent="0.25">
      <c r="A105" s="17">
        <v>-2.6291000000000002</v>
      </c>
    </row>
    <row r="106" spans="1:7" x14ac:dyDescent="0.25">
      <c r="A106" s="17">
        <v>-1.077</v>
      </c>
    </row>
    <row r="107" spans="1:7" x14ac:dyDescent="0.25">
      <c r="A107" s="17">
        <v>-1.7885</v>
      </c>
    </row>
    <row r="108" spans="1:7" x14ac:dyDescent="0.25">
      <c r="A108" s="17">
        <v>1.7759</v>
      </c>
      <c r="C108" t="s">
        <v>0</v>
      </c>
    </row>
    <row r="109" spans="1:7" x14ac:dyDescent="0.25">
      <c r="A109" s="17">
        <v>-1.3160000000000001</v>
      </c>
    </row>
    <row r="110" spans="1:7" x14ac:dyDescent="0.25">
      <c r="A110" s="17">
        <v>2.68</v>
      </c>
      <c r="C110" t="s">
        <v>60</v>
      </c>
    </row>
    <row r="111" spans="1:7" x14ac:dyDescent="0.25">
      <c r="A111" s="17">
        <v>-1.7745</v>
      </c>
      <c r="C111" s="26">
        <v>-1.2738</v>
      </c>
      <c r="D111" s="26">
        <v>-2.5830000000000002</v>
      </c>
      <c r="E111" s="26">
        <v>-2.6291000000000002</v>
      </c>
      <c r="F111" s="26">
        <v>-1.077</v>
      </c>
      <c r="G111" s="26">
        <v>-1.7885</v>
      </c>
    </row>
    <row r="112" spans="1:7" x14ac:dyDescent="0.25">
      <c r="A112" s="17">
        <v>-1.2397</v>
      </c>
      <c r="C112" s="26">
        <v>1.7759</v>
      </c>
      <c r="D112" s="26">
        <v>-1.3160000000000001</v>
      </c>
      <c r="E112" s="26">
        <v>2.68</v>
      </c>
      <c r="F112" s="26">
        <v>-1.7745</v>
      </c>
      <c r="G112" s="26">
        <v>-1.2397</v>
      </c>
    </row>
    <row r="113" spans="1:7" x14ac:dyDescent="0.25">
      <c r="A113" s="17">
        <v>-1.4533</v>
      </c>
      <c r="C113" s="26">
        <v>-1.4533</v>
      </c>
      <c r="D113" s="26">
        <v>-0.94077999999999995</v>
      </c>
      <c r="E113" s="26">
        <v>-0.68516999999999995</v>
      </c>
      <c r="F113" s="26">
        <v>2.6962999999999999</v>
      </c>
      <c r="G113" s="26">
        <v>0.89590000000000003</v>
      </c>
    </row>
    <row r="114" spans="1:7" x14ac:dyDescent="0.25">
      <c r="A114" s="17">
        <v>-0.94077999999999995</v>
      </c>
    </row>
    <row r="115" spans="1:7" x14ac:dyDescent="0.25">
      <c r="A115" s="17">
        <v>-0.68516999999999995</v>
      </c>
    </row>
    <row r="116" spans="1:7" x14ac:dyDescent="0.25">
      <c r="A116" s="17">
        <v>2.6962999999999999</v>
      </c>
    </row>
    <row r="117" spans="1:7" ht="15.75" thickBot="1" x14ac:dyDescent="0.3">
      <c r="A117" s="17">
        <v>0.89590000000000003</v>
      </c>
    </row>
    <row r="118" spans="1:7" x14ac:dyDescent="0.25">
      <c r="A118" s="2">
        <v>0.7</v>
      </c>
      <c r="B118" s="11">
        <v>0.4</v>
      </c>
      <c r="C118" s="18">
        <v>20000</v>
      </c>
    </row>
    <row r="119" spans="1:7" x14ac:dyDescent="0.25">
      <c r="A119" s="19">
        <v>20000</v>
      </c>
      <c r="B119" s="13"/>
      <c r="C119" s="14"/>
    </row>
    <row r="120" spans="1:7" ht="15.75" thickBot="1" x14ac:dyDescent="0.3">
      <c r="A120" s="6">
        <v>0.98262000000000005</v>
      </c>
      <c r="B120" s="15">
        <v>0</v>
      </c>
      <c r="C120" s="20"/>
    </row>
  </sheetData>
  <mergeCells count="2">
    <mergeCell ref="W29:Y29"/>
    <mergeCell ref="K40:L4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Q25"/>
  <sheetViews>
    <sheetView tabSelected="1" workbookViewId="0">
      <selection activeCell="E3" sqref="E3"/>
    </sheetView>
  </sheetViews>
  <sheetFormatPr defaultRowHeight="15" x14ac:dyDescent="0.25"/>
  <cols>
    <col min="1" max="2" width="17" customWidth="1"/>
    <col min="3" max="3" width="12.5703125" bestFit="1" customWidth="1"/>
    <col min="4" max="4" width="19.5703125" bestFit="1" customWidth="1"/>
    <col min="5" max="5" width="20.5703125" bestFit="1" customWidth="1"/>
    <col min="7" max="7" width="15.85546875" bestFit="1" customWidth="1"/>
    <col min="8" max="8" width="13.7109375" bestFit="1" customWidth="1"/>
    <col min="9" max="9" width="18.5703125" bestFit="1" customWidth="1"/>
    <col min="10" max="10" width="17.42578125" bestFit="1" customWidth="1"/>
    <col min="15" max="15" width="10.140625" customWidth="1"/>
  </cols>
  <sheetData>
    <row r="1" spans="1:17" x14ac:dyDescent="0.25">
      <c r="A1" s="46" t="s">
        <v>64</v>
      </c>
      <c r="B1" s="46" t="s">
        <v>65</v>
      </c>
      <c r="C1" s="46" t="s">
        <v>66</v>
      </c>
      <c r="D1" s="46" t="s">
        <v>67</v>
      </c>
      <c r="E1" s="49" t="s">
        <v>94</v>
      </c>
      <c r="F1" s="48" t="s">
        <v>101</v>
      </c>
      <c r="G1" s="46" t="s">
        <v>103</v>
      </c>
      <c r="H1" s="46" t="s">
        <v>68</v>
      </c>
      <c r="I1" s="46" t="s">
        <v>69</v>
      </c>
      <c r="J1" s="46" t="s">
        <v>70</v>
      </c>
    </row>
    <row r="2" spans="1:17" s="27" customFormat="1" ht="20.25" customHeight="1" x14ac:dyDescent="0.25">
      <c r="A2" s="47"/>
      <c r="B2" s="47"/>
      <c r="C2" s="47"/>
      <c r="D2" s="47"/>
      <c r="E2" s="50">
        <v>1E-3</v>
      </c>
      <c r="F2" s="47">
        <v>34</v>
      </c>
      <c r="G2" s="47">
        <v>3.2</v>
      </c>
      <c r="H2" s="47">
        <v>184.7</v>
      </c>
      <c r="I2" s="47"/>
      <c r="J2" s="47">
        <f>ROUND(CALCULATION!L35,0)</f>
        <v>253</v>
      </c>
    </row>
    <row r="3" spans="1:17" ht="18.75" x14ac:dyDescent="0.3">
      <c r="D3" s="45" t="s">
        <v>80</v>
      </c>
      <c r="E3" s="51">
        <v>1.59</v>
      </c>
      <c r="F3" s="52">
        <v>44</v>
      </c>
      <c r="G3" s="51">
        <v>3.5869428496788398</v>
      </c>
      <c r="H3" s="51">
        <v>185.671628245938</v>
      </c>
    </row>
    <row r="4" spans="1:17" ht="18.75" x14ac:dyDescent="0.3">
      <c r="D4" s="45" t="s">
        <v>81</v>
      </c>
      <c r="E4" s="51">
        <v>0</v>
      </c>
      <c r="F4" s="52">
        <v>5</v>
      </c>
      <c r="G4" s="51">
        <v>5.16141025679255E-2</v>
      </c>
      <c r="H4" s="51">
        <v>177.959734268067</v>
      </c>
    </row>
    <row r="7" spans="1:17" x14ac:dyDescent="0.25">
      <c r="B7" s="66" t="s">
        <v>95</v>
      </c>
      <c r="C7" s="66"/>
      <c r="D7" s="66"/>
      <c r="E7" s="66"/>
      <c r="F7" s="66"/>
      <c r="O7" s="13"/>
      <c r="P7" s="13"/>
      <c r="Q7" s="13"/>
    </row>
    <row r="8" spans="1:17" x14ac:dyDescent="0.25">
      <c r="B8" s="65" t="s">
        <v>98</v>
      </c>
      <c r="C8" s="65"/>
      <c r="D8" s="65"/>
      <c r="E8" s="65"/>
      <c r="F8" s="65"/>
      <c r="G8" s="53"/>
      <c r="H8" s="53"/>
      <c r="O8" s="13"/>
      <c r="P8" s="13"/>
      <c r="Q8" s="13"/>
    </row>
    <row r="9" spans="1:17" x14ac:dyDescent="0.25">
      <c r="B9" s="54"/>
      <c r="C9" s="55" t="s">
        <v>96</v>
      </c>
      <c r="D9" s="64" t="s">
        <v>97</v>
      </c>
      <c r="E9" s="64"/>
      <c r="F9" s="64"/>
      <c r="O9" s="13"/>
      <c r="P9" s="13"/>
      <c r="Q9" s="13"/>
    </row>
    <row r="10" spans="1:17" x14ac:dyDescent="0.25">
      <c r="B10" s="54"/>
      <c r="C10" s="55"/>
      <c r="D10" s="64"/>
      <c r="E10" s="64"/>
      <c r="F10" s="64"/>
      <c r="O10" s="13"/>
      <c r="P10" s="13"/>
      <c r="Q10" s="13"/>
    </row>
    <row r="11" spans="1:17" x14ac:dyDescent="0.25">
      <c r="B11" s="54"/>
      <c r="C11" s="55"/>
      <c r="D11" s="64" t="s">
        <v>99</v>
      </c>
      <c r="E11" s="64"/>
      <c r="F11" s="64"/>
      <c r="O11" s="13"/>
      <c r="P11" s="13"/>
      <c r="Q11" s="13"/>
    </row>
    <row r="12" spans="1:17" x14ac:dyDescent="0.25">
      <c r="B12" s="54"/>
      <c r="C12" s="55"/>
      <c r="D12" s="64"/>
      <c r="E12" s="64"/>
      <c r="F12" s="64"/>
      <c r="O12" s="13"/>
      <c r="P12" s="13"/>
      <c r="Q12" s="13"/>
    </row>
    <row r="13" spans="1:17" s="44" customFormat="1" x14ac:dyDescent="0.25">
      <c r="A13"/>
      <c r="B13" s="62" t="s">
        <v>104</v>
      </c>
      <c r="C13" s="62"/>
      <c r="D13" s="62"/>
      <c r="E13" s="62"/>
      <c r="F13" s="62"/>
    </row>
    <row r="14" spans="1:17" s="44" customFormat="1" x14ac:dyDescent="0.25">
      <c r="A14"/>
      <c r="B14" s="62"/>
      <c r="C14" s="62"/>
      <c r="D14" s="62"/>
      <c r="E14" s="62"/>
      <c r="F14" s="62"/>
    </row>
    <row r="15" spans="1:17" s="44" customFormat="1" x14ac:dyDescent="0.25">
      <c r="A15"/>
      <c r="B15" s="54"/>
      <c r="C15" s="56" t="s">
        <v>100</v>
      </c>
      <c r="D15" s="57">
        <f>F2</f>
        <v>34</v>
      </c>
      <c r="E15" s="55" t="s">
        <v>102</v>
      </c>
      <c r="F15" s="57">
        <f>(9/5)*D15+32</f>
        <v>93.2</v>
      </c>
    </row>
    <row r="16" spans="1:17" s="44" customFormat="1" ht="15" customHeight="1" x14ac:dyDescent="0.25">
      <c r="B16" s="63" t="s">
        <v>105</v>
      </c>
      <c r="C16" s="63"/>
      <c r="D16" s="63"/>
      <c r="E16" s="63"/>
      <c r="F16" s="63"/>
    </row>
    <row r="17" spans="2:17" s="44" customFormat="1" x14ac:dyDescent="0.25">
      <c r="B17" s="63"/>
      <c r="C17" s="63"/>
      <c r="D17" s="63"/>
      <c r="E17" s="63"/>
      <c r="F17" s="63"/>
    </row>
    <row r="18" spans="2:17" x14ac:dyDescent="0.25">
      <c r="B18" s="63"/>
      <c r="C18" s="63"/>
      <c r="D18" s="63"/>
      <c r="E18" s="63"/>
      <c r="F18" s="63"/>
      <c r="O18" s="13"/>
      <c r="P18" s="13"/>
      <c r="Q18" s="13"/>
    </row>
    <row r="19" spans="2:17" x14ac:dyDescent="0.25">
      <c r="O19" s="13"/>
      <c r="P19" s="13"/>
      <c r="Q19" s="13"/>
    </row>
    <row r="20" spans="2:17" x14ac:dyDescent="0.25">
      <c r="O20" s="13"/>
      <c r="P20" s="13"/>
      <c r="Q20" s="13"/>
    </row>
    <row r="21" spans="2:17" x14ac:dyDescent="0.25">
      <c r="O21" s="13"/>
      <c r="P21" s="13"/>
      <c r="Q21" s="13"/>
    </row>
    <row r="22" spans="2:17" x14ac:dyDescent="0.25">
      <c r="O22" s="13"/>
      <c r="P22" s="13"/>
      <c r="Q22" s="13"/>
    </row>
    <row r="23" spans="2:17" x14ac:dyDescent="0.25">
      <c r="O23" s="30"/>
      <c r="P23" s="30"/>
      <c r="Q23" s="30"/>
    </row>
    <row r="24" spans="2:17" x14ac:dyDescent="0.25">
      <c r="O24" s="30"/>
      <c r="P24" s="30"/>
      <c r="Q24" s="30"/>
    </row>
    <row r="25" spans="2:17" x14ac:dyDescent="0.25">
      <c r="O25" s="30"/>
      <c r="P25" s="30"/>
      <c r="Q25" s="30"/>
    </row>
  </sheetData>
  <mergeCells count="6">
    <mergeCell ref="B13:F14"/>
    <mergeCell ref="B16:F18"/>
    <mergeCell ref="D9:F10"/>
    <mergeCell ref="B8:F8"/>
    <mergeCell ref="B7:F7"/>
    <mergeCell ref="D11:F12"/>
  </mergeCells>
  <pageMargins left="0.7" right="0.7" top="0.75" bottom="0.75" header="0.3" footer="0.3"/>
  <pageSetup orientation="portrait" r:id="rId1"/>
  <drawing r:id="rId2"/>
  <legacyDrawing r:id="rId3"/>
  <controls>
    <mc:AlternateContent xmlns:mc="http://schemas.openxmlformats.org/markup-compatibility/2006">
      <mc:Choice Requires="x14">
        <control shapeId="2062" r:id="rId4" name="ComboBox5">
          <controlPr defaultSize="0" autoLine="0" listFillRange="Links!I1:I4" r:id="rId5">
            <anchor moveWithCells="1">
              <from>
                <xdr:col>8</xdr:col>
                <xdr:colOff>9525</xdr:colOff>
                <xdr:row>1</xdr:row>
                <xdr:rowOff>0</xdr:rowOff>
              </from>
              <to>
                <xdr:col>9</xdr:col>
                <xdr:colOff>9525</xdr:colOff>
                <xdr:row>2</xdr:row>
                <xdr:rowOff>19050</xdr:rowOff>
              </to>
            </anchor>
          </controlPr>
        </control>
      </mc:Choice>
      <mc:Fallback>
        <control shapeId="2062" r:id="rId4" name="ComboBox5"/>
      </mc:Fallback>
    </mc:AlternateContent>
    <mc:AlternateContent xmlns:mc="http://schemas.openxmlformats.org/markup-compatibility/2006">
      <mc:Choice Requires="x14">
        <control shapeId="2061" r:id="rId6" name="ComboBox4">
          <controlPr defaultSize="0" autoLine="0" listFillRange="Links!G1:G3" r:id="rId7">
            <anchor moveWithCells="1">
              <from>
                <xdr:col>3</xdr:col>
                <xdr:colOff>0</xdr:colOff>
                <xdr:row>1</xdr:row>
                <xdr:rowOff>0</xdr:rowOff>
              </from>
              <to>
                <xdr:col>4</xdr:col>
                <xdr:colOff>0</xdr:colOff>
                <xdr:row>2</xdr:row>
                <xdr:rowOff>19050</xdr:rowOff>
              </to>
            </anchor>
          </controlPr>
        </control>
      </mc:Choice>
      <mc:Fallback>
        <control shapeId="2061" r:id="rId6" name="ComboBox4"/>
      </mc:Fallback>
    </mc:AlternateContent>
    <mc:AlternateContent xmlns:mc="http://schemas.openxmlformats.org/markup-compatibility/2006">
      <mc:Choice Requires="x14">
        <control shapeId="2060" r:id="rId8" name="ComboBox3">
          <controlPr defaultSize="0" autoLine="0" listFillRange="Links!E1:E2" r:id="rId9">
            <anchor moveWithCells="1">
              <from>
                <xdr:col>2</xdr:col>
                <xdr:colOff>9525</xdr:colOff>
                <xdr:row>1</xdr:row>
                <xdr:rowOff>0</xdr:rowOff>
              </from>
              <to>
                <xdr:col>2</xdr:col>
                <xdr:colOff>828675</xdr:colOff>
                <xdr:row>2</xdr:row>
                <xdr:rowOff>19050</xdr:rowOff>
              </to>
            </anchor>
          </controlPr>
        </control>
      </mc:Choice>
      <mc:Fallback>
        <control shapeId="2060" r:id="rId8" name="ComboBox3"/>
      </mc:Fallback>
    </mc:AlternateContent>
    <mc:AlternateContent xmlns:mc="http://schemas.openxmlformats.org/markup-compatibility/2006">
      <mc:Choice Requires="x14">
        <control shapeId="2059" r:id="rId10" name="ComboBox2">
          <controlPr defaultSize="0" autoLine="0" listFillRange="Links!C1:C7" r:id="rId11">
            <anchor moveWithCells="1">
              <from>
                <xdr:col>1</xdr:col>
                <xdr:colOff>9525</xdr:colOff>
                <xdr:row>1</xdr:row>
                <xdr:rowOff>0</xdr:rowOff>
              </from>
              <to>
                <xdr:col>2</xdr:col>
                <xdr:colOff>9525</xdr:colOff>
                <xdr:row>2</xdr:row>
                <xdr:rowOff>19050</xdr:rowOff>
              </to>
            </anchor>
          </controlPr>
        </control>
      </mc:Choice>
      <mc:Fallback>
        <control shapeId="2059" r:id="rId10" name="ComboBox2"/>
      </mc:Fallback>
    </mc:AlternateContent>
    <mc:AlternateContent xmlns:mc="http://schemas.openxmlformats.org/markup-compatibility/2006">
      <mc:Choice Requires="x14">
        <control shapeId="2050" r:id="rId12" name="ComboBox1">
          <controlPr defaultSize="0" autoLine="0" listFillRange="Links!A1:A5" r:id="rId13">
            <anchor moveWithCells="1">
              <from>
                <xdr:col>0</xdr:col>
                <xdr:colOff>0</xdr:colOff>
                <xdr:row>1</xdr:row>
                <xdr:rowOff>0</xdr:rowOff>
              </from>
              <to>
                <xdr:col>1</xdr:col>
                <xdr:colOff>0</xdr:colOff>
                <xdr:row>2</xdr:row>
                <xdr:rowOff>19050</xdr:rowOff>
              </to>
            </anchor>
          </controlPr>
        </control>
      </mc:Choice>
      <mc:Fallback>
        <control shapeId="2050" r:id="rId12" name="Combo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Links</vt:lpstr>
      <vt:lpstr>CALCULATION EXAMPLE</vt:lpstr>
      <vt:lpstr>CALCULATION</vt:lpstr>
      <vt:lpstr>GUI</vt:lpstr>
    </vt:vector>
  </TitlesOfParts>
  <Company>NCCHE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wrossell</dc:creator>
  <cp:lastModifiedBy>wrossell</cp:lastModifiedBy>
  <dcterms:created xsi:type="dcterms:W3CDTF">2019-11-19T19:01:06Z</dcterms:created>
  <dcterms:modified xsi:type="dcterms:W3CDTF">2019-12-05T18:10:56Z</dcterms:modified>
</cp:coreProperties>
</file>