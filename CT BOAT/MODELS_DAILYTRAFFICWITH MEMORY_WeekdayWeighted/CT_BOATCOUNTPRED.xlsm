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rossell\Documents\Boat-ANN\CT BOAT\MODELS_DAILYTRAFFICWITH MEMORY_WeekdayWeighted\"/>
    </mc:Choice>
  </mc:AlternateContent>
  <xr:revisionPtr revIDLastSave="0" documentId="13_ncr:1_{A4F810F0-A458-4792-A91F-19C49467FC7D}" xr6:coauthVersionLast="37" xr6:coauthVersionMax="37" xr10:uidLastSave="{00000000-0000-0000-0000-000000000000}"/>
  <bookViews>
    <workbookView xWindow="120" yWindow="132" windowWidth="24912" windowHeight="12096" tabRatio="615" activeTab="3" xr2:uid="{00000000-000D-0000-FFFF-FFFF00000000}"/>
  </bookViews>
  <sheets>
    <sheet name="DATA_ORIGIN" sheetId="2" r:id="rId1"/>
    <sheet name="DATA_TRAIN" sheetId="3" r:id="rId2"/>
    <sheet name="DATA_VAL" sheetId="6" r:id="rId3"/>
    <sheet name="5_15" sheetId="7" r:id="rId4"/>
    <sheet name="6_15" sheetId="8" r:id="rId5"/>
    <sheet name="7_15" sheetId="9" r:id="rId6"/>
    <sheet name="8_15" sheetId="10" r:id="rId7"/>
    <sheet name="9_15" sheetId="11" r:id="rId8"/>
    <sheet name="10_15" sheetId="12" r:id="rId9"/>
    <sheet name="11_15" sheetId="13" r:id="rId10"/>
    <sheet name="12_15" sheetId="14" r:id="rId11"/>
    <sheet name="13_15" sheetId="15" r:id="rId12"/>
    <sheet name="14_15" sheetId="16" r:id="rId13"/>
    <sheet name="15_15" sheetId="17" r:id="rId14"/>
    <sheet name="BEST" sheetId="18" r:id="rId15"/>
    <sheet name="BESTofBEST" sheetId="19" r:id="rId16"/>
    <sheet name="10_VAL" sheetId="21" r:id="rId17"/>
    <sheet name="8_VAL" sheetId="20" r:id="rId18"/>
    <sheet name="7_VAL" sheetId="22" r:id="rId19"/>
    <sheet name="10_ALL" sheetId="23" r:id="rId20"/>
    <sheet name="8_ALL" sheetId="24" r:id="rId21"/>
    <sheet name="7_ALL" sheetId="25" r:id="rId22"/>
    <sheet name="RESULT" sheetId="26" r:id="rId23"/>
    <sheet name="Sheet1" sheetId="27" r:id="rId24"/>
    <sheet name="Sheet2" sheetId="28" r:id="rId25"/>
    <sheet name="Validation Results" sheetId="29" r:id="rId26"/>
  </sheets>
  <definedNames>
    <definedName name="_xlnm._FilterDatabase" localSheetId="0" hidden="1">DATA_ORIGIN!$C$2:$AG$12800</definedName>
    <definedName name="_xlnm._FilterDatabase" localSheetId="1" hidden="1">DATA_TRAIN!$A$1:$AF$417</definedName>
  </definedNames>
  <calcPr calcId="179021"/>
</workbook>
</file>

<file path=xl/calcChain.xml><?xml version="1.0" encoding="utf-8"?>
<calcChain xmlns="http://schemas.openxmlformats.org/spreadsheetml/2006/main">
  <c r="D425" i="3" l="1"/>
  <c r="E425" i="3"/>
  <c r="F425" i="3"/>
  <c r="G425" i="3"/>
  <c r="H425" i="3"/>
  <c r="I425" i="3"/>
  <c r="J425" i="3"/>
  <c r="K425" i="3"/>
  <c r="L425" i="3"/>
  <c r="M425" i="3"/>
  <c r="N425" i="3"/>
  <c r="O425" i="3"/>
  <c r="P425" i="3"/>
  <c r="Q425" i="3"/>
  <c r="R425" i="3"/>
  <c r="S425" i="3"/>
  <c r="T425" i="3"/>
  <c r="U425" i="3"/>
  <c r="V425" i="3"/>
  <c r="W425" i="3"/>
  <c r="X425" i="3"/>
  <c r="Y425" i="3"/>
  <c r="Z425" i="3"/>
  <c r="AA425" i="3"/>
  <c r="AB425" i="3"/>
  <c r="AC425" i="3"/>
  <c r="AD425" i="3"/>
  <c r="AE425" i="3"/>
  <c r="C425" i="3"/>
  <c r="D424" i="3"/>
  <c r="E424" i="3"/>
  <c r="F424" i="3"/>
  <c r="G424" i="3"/>
  <c r="H424" i="3"/>
  <c r="I424" i="3"/>
  <c r="J424" i="3"/>
  <c r="K424" i="3"/>
  <c r="L424" i="3"/>
  <c r="M424" i="3"/>
  <c r="N424" i="3"/>
  <c r="N427" i="3" s="1"/>
  <c r="O424" i="3"/>
  <c r="P424" i="3"/>
  <c r="Q424" i="3"/>
  <c r="R424" i="3"/>
  <c r="R428" i="3" s="1"/>
  <c r="R427" i="3" s="1"/>
  <c r="S424" i="3"/>
  <c r="T424" i="3"/>
  <c r="U424" i="3"/>
  <c r="V424" i="3"/>
  <c r="V427" i="3" s="1"/>
  <c r="W424" i="3"/>
  <c r="X424" i="3"/>
  <c r="Y424" i="3"/>
  <c r="Z424" i="3"/>
  <c r="AA424" i="3"/>
  <c r="AB424" i="3"/>
  <c r="AC424" i="3"/>
  <c r="AD424" i="3"/>
  <c r="AE424" i="3"/>
  <c r="C424" i="3"/>
  <c r="AI404" i="3"/>
  <c r="AI405" i="3"/>
  <c r="AI406" i="3"/>
  <c r="AI407" i="3"/>
  <c r="AJ407" i="3" s="1"/>
  <c r="M427" i="3"/>
  <c r="Q428" i="3"/>
  <c r="Y428" i="3" l="1"/>
  <c r="Y427" i="3" s="1"/>
  <c r="P428" i="3"/>
  <c r="P427" i="3" s="1"/>
  <c r="X428" i="3"/>
  <c r="X427" i="3" s="1"/>
  <c r="O428" i="3"/>
  <c r="O427" i="3" s="1"/>
  <c r="W428" i="3"/>
  <c r="W427" i="3" s="1"/>
  <c r="S427" i="3"/>
  <c r="AE427" i="3"/>
  <c r="D427" i="3"/>
  <c r="U427" i="3"/>
  <c r="Q427" i="3"/>
  <c r="T427" i="3"/>
  <c r="AJ406" i="3"/>
  <c r="AJ405" i="3"/>
  <c r="AJ404" i="3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20" i="26"/>
  <c r="AA421" i="26"/>
  <c r="AA422" i="26"/>
  <c r="AA423" i="26"/>
  <c r="AA424" i="26"/>
  <c r="AA425" i="26"/>
  <c r="AA426" i="26"/>
  <c r="AA427" i="26"/>
  <c r="AA428" i="26"/>
  <c r="AA429" i="26"/>
  <c r="AA430" i="26"/>
  <c r="AA431" i="26"/>
  <c r="AA432" i="26"/>
  <c r="AA433" i="26"/>
  <c r="AA434" i="26"/>
  <c r="AA435" i="26"/>
  <c r="AA436" i="26"/>
  <c r="AA437" i="26"/>
  <c r="AA438" i="26"/>
  <c r="AA439" i="26"/>
  <c r="AA440" i="26"/>
  <c r="AA441" i="26"/>
  <c r="AA442" i="26"/>
  <c r="AA443" i="26"/>
  <c r="AA444" i="26"/>
  <c r="AA445" i="26"/>
  <c r="AA446" i="26"/>
  <c r="AA447" i="26"/>
  <c r="AA448" i="26"/>
  <c r="AA449" i="26"/>
  <c r="AA450" i="26"/>
  <c r="AA451" i="26"/>
  <c r="AA452" i="26"/>
  <c r="AA453" i="26"/>
  <c r="AA454" i="26"/>
  <c r="AA455" i="26"/>
  <c r="AA456" i="26"/>
  <c r="AA457" i="26"/>
  <c r="AA458" i="26"/>
  <c r="AA459" i="26"/>
  <c r="AA460" i="26"/>
  <c r="AA461" i="26"/>
  <c r="AA462" i="26"/>
  <c r="AA463" i="26"/>
  <c r="AA464" i="26"/>
  <c r="AA465" i="26"/>
  <c r="AA466" i="26"/>
  <c r="AA467" i="26"/>
  <c r="AA468" i="26"/>
  <c r="AA469" i="26"/>
  <c r="AA470" i="26"/>
  <c r="AA471" i="26"/>
  <c r="AA472" i="26"/>
  <c r="AA473" i="26"/>
  <c r="AA474" i="26"/>
  <c r="AA475" i="26"/>
  <c r="AA476" i="26"/>
  <c r="AA477" i="26"/>
  <c r="AA478" i="26"/>
  <c r="AA479" i="26"/>
  <c r="AA480" i="26"/>
  <c r="AA481" i="26"/>
  <c r="AA482" i="26"/>
  <c r="AA483" i="26"/>
  <c r="AA484" i="26"/>
  <c r="AA485" i="26"/>
  <c r="AA486" i="26"/>
  <c r="AA487" i="26"/>
  <c r="AA488" i="26"/>
  <c r="AA489" i="26"/>
  <c r="AA490" i="26"/>
  <c r="AA491" i="26"/>
  <c r="AA492" i="26"/>
  <c r="AA493" i="26"/>
  <c r="AA494" i="26"/>
  <c r="AA495" i="26"/>
  <c r="AA496" i="26"/>
  <c r="AA497" i="26"/>
  <c r="AA498" i="26"/>
  <c r="AA499" i="26"/>
  <c r="AA500" i="26"/>
  <c r="AA501" i="26"/>
  <c r="AA502" i="26"/>
  <c r="AA503" i="26"/>
  <c r="AA504" i="26"/>
  <c r="AA505" i="26"/>
  <c r="AA506" i="26"/>
  <c r="AA507" i="26"/>
  <c r="AA508" i="26"/>
  <c r="AA509" i="26"/>
  <c r="AA510" i="26"/>
  <c r="AA511" i="26"/>
  <c r="AA512" i="26"/>
  <c r="AA513" i="26"/>
  <c r="AA514" i="26"/>
  <c r="AA515" i="26"/>
  <c r="AA516" i="26"/>
  <c r="AA517" i="26"/>
  <c r="AA518" i="26"/>
  <c r="AA519" i="26"/>
  <c r="AA520" i="26"/>
  <c r="AA521" i="26"/>
  <c r="AA522" i="26"/>
  <c r="AA523" i="26"/>
  <c r="AA524" i="26"/>
  <c r="AA525" i="26"/>
  <c r="AA526" i="26"/>
  <c r="AA527" i="26"/>
  <c r="AA528" i="26"/>
  <c r="AA529" i="26"/>
  <c r="AA530" i="26"/>
  <c r="AA531" i="26"/>
  <c r="AA532" i="26"/>
  <c r="AA533" i="26"/>
  <c r="AA534" i="26"/>
  <c r="AA535" i="26"/>
  <c r="AA536" i="26"/>
  <c r="AA537" i="26"/>
  <c r="AA538" i="26"/>
  <c r="AA539" i="26"/>
  <c r="AA540" i="26"/>
  <c r="AA541" i="26"/>
  <c r="AA542" i="26"/>
  <c r="AA543" i="26"/>
  <c r="AA544" i="26"/>
  <c r="AA545" i="26"/>
  <c r="AA546" i="26"/>
  <c r="AA547" i="26"/>
  <c r="AA548" i="26"/>
  <c r="AA549" i="26"/>
  <c r="AA550" i="26"/>
  <c r="AA551" i="26"/>
  <c r="AA552" i="26"/>
  <c r="AA553" i="26"/>
  <c r="AA554" i="26"/>
  <c r="AA555" i="26"/>
  <c r="AA556" i="26"/>
  <c r="AA557" i="26"/>
  <c r="AA558" i="26"/>
  <c r="AA559" i="26"/>
  <c r="AA560" i="26"/>
  <c r="AA561" i="26"/>
  <c r="AA562" i="26"/>
  <c r="AA563" i="26"/>
  <c r="AA564" i="26"/>
  <c r="AA565" i="26"/>
  <c r="AA566" i="26"/>
  <c r="AA567" i="26"/>
  <c r="AA568" i="26"/>
  <c r="AA569" i="26"/>
  <c r="AA570" i="26"/>
  <c r="AA571" i="26"/>
  <c r="AA572" i="26"/>
  <c r="AA573" i="26"/>
  <c r="AA574" i="26"/>
  <c r="AA575" i="26"/>
  <c r="AA576" i="26"/>
  <c r="AA577" i="26"/>
  <c r="AA578" i="26"/>
  <c r="AA579" i="26"/>
  <c r="AA580" i="26"/>
  <c r="AA581" i="26"/>
  <c r="AA582" i="26"/>
  <c r="AA583" i="26"/>
  <c r="AA584" i="26"/>
  <c r="AA585" i="26"/>
  <c r="AA586" i="26"/>
  <c r="AA587" i="26"/>
  <c r="AA588" i="26"/>
  <c r="AA589" i="26"/>
  <c r="AA590" i="26"/>
  <c r="AA591" i="26"/>
  <c r="AA592" i="26"/>
  <c r="AA593" i="26"/>
  <c r="AA594" i="26"/>
  <c r="AA595" i="26"/>
  <c r="AA596" i="26"/>
  <c r="AA597" i="26"/>
  <c r="AA598" i="26"/>
  <c r="AA599" i="26"/>
  <c r="AA600" i="26"/>
  <c r="AA601" i="26"/>
  <c r="AA602" i="26"/>
  <c r="AA603" i="26"/>
  <c r="AA604" i="26"/>
  <c r="AA605" i="26"/>
  <c r="AA606" i="26"/>
  <c r="AA607" i="26"/>
  <c r="AA608" i="26"/>
  <c r="AA609" i="26"/>
  <c r="AA610" i="26"/>
  <c r="AA611" i="26"/>
  <c r="AA612" i="26"/>
  <c r="AA613" i="26"/>
  <c r="AA614" i="26"/>
  <c r="AA615" i="26"/>
  <c r="AA616" i="26"/>
  <c r="AA617" i="26"/>
  <c r="AA618" i="26"/>
  <c r="AA619" i="26"/>
  <c r="AA620" i="26"/>
  <c r="AA621" i="26"/>
  <c r="AA622" i="26"/>
  <c r="AA623" i="26"/>
  <c r="AA624" i="26"/>
  <c r="AA625" i="26"/>
  <c r="AA626" i="26"/>
  <c r="AA627" i="26"/>
  <c r="AA628" i="26"/>
  <c r="AA629" i="26"/>
  <c r="AA630" i="26"/>
  <c r="AA631" i="26"/>
  <c r="AA632" i="26"/>
  <c r="AA633" i="26"/>
  <c r="AA634" i="26"/>
  <c r="AA635" i="26"/>
  <c r="AA636" i="26"/>
  <c r="AA637" i="26"/>
  <c r="AA638" i="26"/>
  <c r="AA639" i="26"/>
  <c r="AA640" i="26"/>
  <c r="AA641" i="26"/>
  <c r="AA642" i="26"/>
  <c r="AA643" i="26"/>
  <c r="AA644" i="26"/>
  <c r="AA645" i="26"/>
  <c r="AA646" i="26"/>
  <c r="AA647" i="26"/>
  <c r="AA648" i="26"/>
  <c r="AA649" i="26"/>
  <c r="AA650" i="26"/>
  <c r="AA651" i="26"/>
  <c r="AA652" i="26"/>
  <c r="AA653" i="26"/>
  <c r="AA654" i="26"/>
  <c r="AA655" i="26"/>
  <c r="AA656" i="26"/>
  <c r="AA657" i="26"/>
  <c r="AA658" i="26"/>
  <c r="AA659" i="26"/>
  <c r="AA660" i="26"/>
  <c r="AA661" i="26"/>
  <c r="AA662" i="26"/>
  <c r="AA663" i="26"/>
  <c r="AA664" i="26"/>
  <c r="AA665" i="26"/>
  <c r="AA666" i="26"/>
  <c r="AA667" i="26"/>
  <c r="AA668" i="26"/>
  <c r="AA669" i="26"/>
  <c r="AA670" i="26"/>
  <c r="AA671" i="26"/>
  <c r="AA672" i="26"/>
  <c r="AA673" i="26"/>
  <c r="AA674" i="26"/>
  <c r="AA675" i="26"/>
  <c r="AA676" i="26"/>
  <c r="AA677" i="26"/>
  <c r="AA678" i="26"/>
  <c r="AA679" i="26"/>
  <c r="AA680" i="26"/>
  <c r="AA681" i="26"/>
  <c r="AA682" i="26"/>
  <c r="AA683" i="26"/>
  <c r="AA684" i="26"/>
  <c r="AA685" i="26"/>
  <c r="AA686" i="26"/>
  <c r="AA687" i="26"/>
  <c r="AA688" i="26"/>
  <c r="AA689" i="26"/>
  <c r="AA690" i="26"/>
  <c r="AA691" i="26"/>
  <c r="AA692" i="26"/>
  <c r="AA693" i="26"/>
  <c r="AA694" i="26"/>
  <c r="AA695" i="26"/>
  <c r="AA696" i="26"/>
  <c r="AA697" i="26"/>
  <c r="AA698" i="26"/>
  <c r="AA699" i="26"/>
  <c r="AA700" i="26"/>
  <c r="AA701" i="26"/>
  <c r="AA702" i="26"/>
  <c r="AA703" i="26"/>
  <c r="AA704" i="26"/>
  <c r="AA705" i="26"/>
  <c r="AA706" i="26"/>
  <c r="AA707" i="26"/>
  <c r="AA708" i="26"/>
  <c r="AA709" i="26"/>
  <c r="AA710" i="26"/>
  <c r="AA711" i="26"/>
  <c r="AA712" i="26"/>
  <c r="AA713" i="26"/>
  <c r="AA714" i="26"/>
  <c r="AA715" i="26"/>
  <c r="AA716" i="26"/>
  <c r="AA717" i="26"/>
  <c r="AA718" i="26"/>
  <c r="AA719" i="26"/>
  <c r="AA720" i="26"/>
  <c r="AA721" i="26"/>
  <c r="AA722" i="26"/>
  <c r="AA723" i="26"/>
  <c r="AA724" i="26"/>
  <c r="AA725" i="26"/>
  <c r="AA726" i="26"/>
  <c r="AA727" i="26"/>
  <c r="AA728" i="26"/>
  <c r="AA729" i="26"/>
  <c r="AA730" i="26"/>
  <c r="AA731" i="26"/>
  <c r="AA732" i="26"/>
  <c r="AA733" i="26"/>
  <c r="AA734" i="26"/>
  <c r="AA735" i="26"/>
  <c r="AA736" i="26"/>
  <c r="AA737" i="26"/>
  <c r="AA738" i="26"/>
  <c r="AA739" i="26"/>
  <c r="AA740" i="26"/>
  <c r="AA741" i="26"/>
  <c r="AA742" i="26"/>
  <c r="AA743" i="26"/>
  <c r="AA744" i="26"/>
  <c r="AA745" i="26"/>
  <c r="AA746" i="26"/>
  <c r="AA747" i="26"/>
  <c r="AA748" i="26"/>
  <c r="AA749" i="26"/>
  <c r="AA750" i="26"/>
  <c r="AA751" i="26"/>
  <c r="AA752" i="26"/>
  <c r="AA753" i="26"/>
  <c r="AA754" i="26"/>
  <c r="AA755" i="26"/>
  <c r="AA756" i="26"/>
  <c r="AA757" i="26"/>
  <c r="AA758" i="26"/>
  <c r="AA759" i="26"/>
  <c r="AA760" i="26"/>
  <c r="AA761" i="26"/>
  <c r="AA762" i="26"/>
  <c r="AA763" i="26"/>
  <c r="AA764" i="26"/>
  <c r="AA765" i="26"/>
  <c r="AA766" i="26"/>
  <c r="AA767" i="26"/>
  <c r="AA768" i="26"/>
  <c r="AA769" i="26"/>
  <c r="AA770" i="26"/>
  <c r="AA771" i="26"/>
  <c r="AA772" i="26"/>
  <c r="AA773" i="26"/>
  <c r="AA774" i="26"/>
  <c r="AA775" i="26"/>
  <c r="AA776" i="26"/>
  <c r="AA777" i="26"/>
  <c r="AA778" i="26"/>
  <c r="AA779" i="26"/>
  <c r="AA780" i="26"/>
  <c r="AA781" i="26"/>
  <c r="AA782" i="26"/>
  <c r="AA783" i="26"/>
  <c r="AA784" i="26"/>
  <c r="AA785" i="26"/>
  <c r="AA786" i="26"/>
  <c r="AA787" i="26"/>
  <c r="AA788" i="26"/>
  <c r="AA789" i="26"/>
  <c r="AA790" i="26"/>
  <c r="AA791" i="26"/>
  <c r="AA792" i="26"/>
  <c r="AA793" i="26"/>
  <c r="AA794" i="26"/>
  <c r="AA795" i="26"/>
  <c r="AA796" i="26"/>
  <c r="AA797" i="26"/>
  <c r="AA798" i="26"/>
  <c r="AA799" i="26"/>
  <c r="AA800" i="26"/>
  <c r="AA801" i="26"/>
  <c r="AA802" i="26"/>
  <c r="AA803" i="26"/>
  <c r="AA804" i="26"/>
  <c r="AA805" i="26"/>
  <c r="AA806" i="26"/>
  <c r="AA807" i="26"/>
  <c r="AA808" i="26"/>
  <c r="AA809" i="26"/>
  <c r="AA810" i="26"/>
  <c r="AA811" i="26"/>
  <c r="AA812" i="26"/>
  <c r="AA813" i="26"/>
  <c r="AA814" i="26"/>
  <c r="AA815" i="26"/>
  <c r="AA816" i="26"/>
  <c r="AA817" i="26"/>
  <c r="AA818" i="26"/>
  <c r="AA819" i="26"/>
  <c r="AA820" i="26"/>
  <c r="AA821" i="26"/>
  <c r="AA822" i="26"/>
  <c r="AA823" i="26"/>
  <c r="AA824" i="26"/>
  <c r="AA825" i="26"/>
  <c r="AA826" i="26"/>
  <c r="AA827" i="26"/>
  <c r="AA828" i="26"/>
  <c r="AA829" i="26"/>
  <c r="AA830" i="26"/>
  <c r="AA831" i="26"/>
  <c r="AA832" i="26"/>
  <c r="AA833" i="26"/>
  <c r="AA834" i="26"/>
  <c r="AA835" i="26"/>
  <c r="AA836" i="26"/>
  <c r="AA837" i="26"/>
  <c r="AA838" i="26"/>
  <c r="AA839" i="26"/>
  <c r="AA840" i="26"/>
  <c r="AA841" i="26"/>
  <c r="AA842" i="26"/>
  <c r="AA843" i="26"/>
  <c r="AA844" i="26"/>
  <c r="AA845" i="26"/>
  <c r="AA846" i="26"/>
  <c r="AA847" i="26"/>
  <c r="AA848" i="26"/>
  <c r="AA849" i="26"/>
  <c r="AA850" i="26"/>
  <c r="AA851" i="26"/>
  <c r="AA852" i="26"/>
  <c r="AA853" i="26"/>
  <c r="AA854" i="26"/>
  <c r="AA855" i="26"/>
  <c r="AA856" i="26"/>
  <c r="AA857" i="26"/>
  <c r="AA858" i="26"/>
  <c r="AA859" i="26"/>
  <c r="AA860" i="26"/>
  <c r="AA861" i="26"/>
  <c r="AA862" i="26"/>
  <c r="AA863" i="26"/>
  <c r="AA864" i="26"/>
  <c r="AA865" i="26"/>
  <c r="AA866" i="26"/>
  <c r="AA867" i="26"/>
  <c r="AA868" i="26"/>
  <c r="AA869" i="26"/>
  <c r="AA870" i="26"/>
  <c r="AA871" i="26"/>
  <c r="AA872" i="26"/>
  <c r="AA873" i="26"/>
  <c r="AA874" i="26"/>
  <c r="AA875" i="26"/>
  <c r="AA876" i="26"/>
  <c r="AA877" i="26"/>
  <c r="AA878" i="26"/>
  <c r="AA879" i="26"/>
  <c r="AA880" i="26"/>
  <c r="AA881" i="26"/>
  <c r="AA882" i="26"/>
  <c r="AA883" i="26"/>
  <c r="AA884" i="26"/>
  <c r="AA885" i="26"/>
  <c r="AA886" i="26"/>
  <c r="AA887" i="26"/>
  <c r="AA888" i="26"/>
  <c r="AA889" i="26"/>
  <c r="AA890" i="26"/>
  <c r="AA891" i="26"/>
  <c r="AA892" i="26"/>
  <c r="AA893" i="26"/>
  <c r="AA894" i="26"/>
  <c r="AA895" i="26"/>
  <c r="AA896" i="26"/>
  <c r="AA897" i="26"/>
  <c r="AA898" i="26"/>
  <c r="AA899" i="26"/>
  <c r="AA900" i="26"/>
  <c r="AA901" i="26"/>
  <c r="AA902" i="26"/>
  <c r="AA903" i="26"/>
  <c r="AA904" i="26"/>
  <c r="AA905" i="26"/>
  <c r="AA906" i="26"/>
  <c r="AA907" i="26"/>
  <c r="AA908" i="26"/>
  <c r="AA909" i="26"/>
  <c r="AA910" i="26"/>
  <c r="AA911" i="26"/>
  <c r="AA912" i="26"/>
  <c r="AA913" i="26"/>
  <c r="AA914" i="26"/>
  <c r="AA915" i="26"/>
  <c r="AA916" i="26"/>
  <c r="AA917" i="26"/>
  <c r="AA918" i="26"/>
  <c r="AA919" i="26"/>
  <c r="AA920" i="26"/>
  <c r="AA921" i="26"/>
  <c r="AA922" i="26"/>
  <c r="AA923" i="26"/>
  <c r="AA924" i="26"/>
  <c r="AA925" i="26"/>
  <c r="AA926" i="26"/>
  <c r="AA927" i="26"/>
  <c r="AA928" i="26"/>
  <c r="AA929" i="26"/>
  <c r="AA930" i="26"/>
  <c r="AA931" i="26"/>
  <c r="AA932" i="26"/>
  <c r="AA933" i="26"/>
  <c r="AA934" i="26"/>
  <c r="AA935" i="26"/>
  <c r="AA936" i="26"/>
  <c r="AA937" i="26"/>
  <c r="AA938" i="26"/>
  <c r="AA939" i="26"/>
  <c r="AA940" i="26"/>
  <c r="AA941" i="26"/>
  <c r="AA942" i="26"/>
  <c r="AA943" i="26"/>
  <c r="AA944" i="26"/>
  <c r="AA945" i="26"/>
  <c r="AA946" i="26"/>
  <c r="AA947" i="26"/>
  <c r="AA948" i="26"/>
  <c r="AA949" i="26"/>
  <c r="AA950" i="26"/>
  <c r="AA951" i="26"/>
  <c r="AA952" i="26"/>
  <c r="AA953" i="26"/>
  <c r="AA954" i="26"/>
  <c r="AA955" i="26"/>
  <c r="AA956" i="26"/>
  <c r="AA957" i="26"/>
  <c r="AA958" i="26"/>
  <c r="AA959" i="26"/>
  <c r="AA960" i="26"/>
  <c r="AA961" i="26"/>
  <c r="AA962" i="26"/>
  <c r="AA963" i="26"/>
  <c r="AA964" i="26"/>
  <c r="AA965" i="26"/>
  <c r="AA966" i="26"/>
  <c r="AA967" i="26"/>
  <c r="AA968" i="26"/>
  <c r="AA969" i="26"/>
  <c r="AA970" i="26"/>
  <c r="AA971" i="26"/>
  <c r="AA972" i="26"/>
  <c r="AA973" i="26"/>
  <c r="AA974" i="26"/>
  <c r="AA975" i="26"/>
  <c r="AA976" i="26"/>
  <c r="AA977" i="26"/>
  <c r="AA978" i="26"/>
  <c r="AA979" i="26"/>
  <c r="AA980" i="26"/>
  <c r="AA981" i="26"/>
  <c r="AA982" i="26"/>
  <c r="AA983" i="26"/>
  <c r="AA984" i="26"/>
  <c r="AA985" i="26"/>
  <c r="AA986" i="26"/>
  <c r="AA987" i="26"/>
  <c r="AA988" i="26"/>
  <c r="AA989" i="26"/>
  <c r="AA990" i="26"/>
  <c r="AA991" i="26"/>
  <c r="AA992" i="26"/>
  <c r="AA993" i="26"/>
  <c r="AA994" i="26"/>
  <c r="AA995" i="26"/>
  <c r="AA996" i="26"/>
  <c r="AA997" i="26"/>
  <c r="AA998" i="26"/>
  <c r="AA999" i="26"/>
  <c r="AA1000" i="26"/>
  <c r="AA1001" i="26"/>
  <c r="AA1002" i="26"/>
  <c r="AA1003" i="26"/>
  <c r="AA1004" i="26"/>
  <c r="AA1005" i="26"/>
  <c r="AA1006" i="26"/>
  <c r="AA1007" i="26"/>
  <c r="AA1008" i="26"/>
  <c r="AA1009" i="26"/>
  <c r="AA1010" i="26"/>
  <c r="AA1011" i="26"/>
  <c r="AA1012" i="26"/>
  <c r="AA1013" i="26"/>
  <c r="AA1014" i="26"/>
  <c r="AA1015" i="26"/>
  <c r="AA1016" i="26"/>
  <c r="AA1017" i="26"/>
  <c r="AA1018" i="26"/>
  <c r="AA1019" i="26"/>
  <c r="AA1020" i="26"/>
  <c r="AA1021" i="26"/>
  <c r="AA1022" i="26"/>
  <c r="AA1023" i="26"/>
  <c r="AA1024" i="26"/>
  <c r="AA1025" i="26"/>
  <c r="AA1026" i="26"/>
  <c r="AA1027" i="26"/>
  <c r="AA1028" i="26"/>
  <c r="AA1029" i="26"/>
  <c r="AA1030" i="26"/>
  <c r="AA1031" i="26"/>
  <c r="AA1032" i="26"/>
  <c r="AA1033" i="26"/>
  <c r="AA1034" i="26"/>
  <c r="AA1035" i="26"/>
  <c r="AA1036" i="26"/>
  <c r="AA1037" i="26"/>
  <c r="AA1038" i="26"/>
  <c r="AA1039" i="26"/>
  <c r="AA1040" i="26"/>
  <c r="AA1041" i="26"/>
  <c r="AA1042" i="26"/>
  <c r="AA1043" i="26"/>
  <c r="AA1044" i="26"/>
  <c r="AA1045" i="26"/>
  <c r="AA1046" i="26"/>
  <c r="AA1047" i="26"/>
  <c r="AA1048" i="26"/>
  <c r="AA1049" i="26"/>
  <c r="AA1050" i="26"/>
  <c r="AA1051" i="26"/>
  <c r="AA1052" i="26"/>
  <c r="AA1053" i="26"/>
  <c r="AA1054" i="26"/>
  <c r="AA1055" i="26"/>
  <c r="AA1056" i="26"/>
  <c r="AA1057" i="26"/>
  <c r="AA1058" i="26"/>
  <c r="AA1059" i="26"/>
  <c r="AA1060" i="26"/>
  <c r="AA1061" i="26"/>
  <c r="AA1062" i="26"/>
  <c r="AA1063" i="26"/>
  <c r="AA1064" i="26"/>
  <c r="AA1065" i="26"/>
  <c r="AA1066" i="26"/>
  <c r="AA1067" i="26"/>
  <c r="AA1068" i="26"/>
  <c r="AA1069" i="26"/>
  <c r="AA1070" i="26"/>
  <c r="AA1071" i="26"/>
  <c r="AA1072" i="26"/>
  <c r="AA1073" i="26"/>
  <c r="AA1074" i="26"/>
  <c r="AA1075" i="26"/>
  <c r="AA1076" i="26"/>
  <c r="AA1077" i="26"/>
  <c r="AA1078" i="26"/>
  <c r="AA1079" i="26"/>
  <c r="AA1080" i="26"/>
  <c r="AA1081" i="26"/>
  <c r="AA1082" i="26"/>
  <c r="AA1083" i="26"/>
  <c r="AA1084" i="26"/>
  <c r="AA1085" i="26"/>
  <c r="AA1086" i="26"/>
  <c r="AA1087" i="26"/>
  <c r="AA1088" i="26"/>
  <c r="AA1089" i="26"/>
  <c r="AA1090" i="26"/>
  <c r="AA1091" i="26"/>
  <c r="AA1092" i="26"/>
  <c r="AA1093" i="26"/>
  <c r="AA1094" i="26"/>
  <c r="AA1095" i="26"/>
  <c r="AA1096" i="26"/>
  <c r="AA1097" i="26"/>
  <c r="AA1098" i="26"/>
  <c r="AA1099" i="26"/>
  <c r="AA1100" i="26"/>
  <c r="AA1101" i="26"/>
  <c r="AA1102" i="26"/>
  <c r="AA1103" i="26"/>
  <c r="AA1104" i="26"/>
  <c r="AA1105" i="26"/>
  <c r="AA1106" i="26"/>
  <c r="AA1107" i="26"/>
  <c r="AA1108" i="26"/>
  <c r="AA1109" i="26"/>
  <c r="AA1110" i="26"/>
  <c r="AA1111" i="26"/>
  <c r="AA1112" i="26"/>
  <c r="AA1113" i="26"/>
  <c r="AA1114" i="26"/>
  <c r="AA1115" i="26"/>
  <c r="AA1116" i="26"/>
  <c r="AA1117" i="26"/>
  <c r="AA1118" i="26"/>
  <c r="AA1119" i="26"/>
  <c r="AA1120" i="26"/>
  <c r="AA1121" i="26"/>
  <c r="AA1122" i="26"/>
  <c r="AA1123" i="26"/>
  <c r="AA1124" i="26"/>
  <c r="AA1125" i="26"/>
  <c r="AA1126" i="26"/>
  <c r="AA1127" i="26"/>
  <c r="AA1128" i="26"/>
  <c r="AA1129" i="26"/>
  <c r="AA1130" i="26"/>
  <c r="AA1131" i="26"/>
  <c r="AA1132" i="26"/>
  <c r="AA1133" i="26"/>
  <c r="AA1134" i="26"/>
  <c r="AA1135" i="26"/>
  <c r="AA1136" i="26"/>
  <c r="AA1137" i="26"/>
  <c r="AA1138" i="26"/>
  <c r="AA1139" i="26"/>
  <c r="AA1140" i="26"/>
  <c r="AA1141" i="26"/>
  <c r="AA1142" i="26"/>
  <c r="AA1143" i="26"/>
  <c r="AA1144" i="26"/>
  <c r="AA1145" i="26"/>
  <c r="AA1146" i="26"/>
  <c r="AA1147" i="26"/>
  <c r="AA1148" i="26"/>
  <c r="AA1149" i="26"/>
  <c r="AA1150" i="26"/>
  <c r="AA1151" i="26"/>
  <c r="AA1152" i="26"/>
  <c r="AA1153" i="26"/>
  <c r="AA1154" i="26"/>
  <c r="AA1155" i="26"/>
  <c r="AA1156" i="26"/>
  <c r="AA1157" i="26"/>
  <c r="AA1158" i="26"/>
  <c r="AA1159" i="26"/>
  <c r="AA1160" i="26"/>
  <c r="AA1161" i="26"/>
  <c r="AA1162" i="26"/>
  <c r="AA1163" i="26"/>
  <c r="AA1164" i="26"/>
  <c r="AA1165" i="26"/>
  <c r="AA1166" i="26"/>
  <c r="AA1167" i="26"/>
  <c r="AA1168" i="26"/>
  <c r="AA1169" i="26"/>
  <c r="AA1170" i="26"/>
  <c r="AA1171" i="26"/>
  <c r="AA1172" i="26"/>
  <c r="AA1173" i="26"/>
  <c r="AA1174" i="26"/>
  <c r="AA1175" i="26"/>
  <c r="AA1176" i="26"/>
  <c r="AA1177" i="26"/>
  <c r="AA1178" i="26"/>
  <c r="AA1179" i="26"/>
  <c r="AA1180" i="26"/>
  <c r="AA1181" i="26"/>
  <c r="AA1182" i="26"/>
  <c r="AA1183" i="26"/>
  <c r="AA1184" i="26"/>
  <c r="AA1185" i="26"/>
  <c r="AA1186" i="26"/>
  <c r="AA1187" i="26"/>
  <c r="AA1188" i="26"/>
  <c r="AA1189" i="26"/>
  <c r="AA1190" i="26"/>
  <c r="AA1191" i="26"/>
  <c r="AA1192" i="26"/>
  <c r="AA1193" i="26"/>
  <c r="AA1194" i="26"/>
  <c r="AA1195" i="26"/>
  <c r="AA1196" i="26"/>
  <c r="AA1197" i="26"/>
  <c r="AA1198" i="26"/>
  <c r="AA1199" i="26"/>
  <c r="AA1200" i="26"/>
  <c r="AA1201" i="26"/>
  <c r="AA1202" i="26"/>
  <c r="AA1203" i="26"/>
  <c r="AA1204" i="26"/>
  <c r="AA1205" i="26"/>
  <c r="AA1206" i="26"/>
  <c r="AA1207" i="26"/>
  <c r="AA1208" i="26"/>
  <c r="AA1209" i="26"/>
  <c r="AA1210" i="26"/>
  <c r="AA1211" i="26"/>
  <c r="AA1212" i="26"/>
  <c r="AA1213" i="26"/>
  <c r="AA1214" i="26"/>
  <c r="AA1215" i="26"/>
  <c r="AA1216" i="26"/>
  <c r="AA1217" i="26"/>
  <c r="AA1218" i="26"/>
  <c r="AA1219" i="26"/>
  <c r="AA1220" i="26"/>
  <c r="AA1221" i="26"/>
  <c r="AA1222" i="26"/>
  <c r="AA1223" i="26"/>
  <c r="AA1224" i="26"/>
  <c r="AA1225" i="26"/>
  <c r="AA1226" i="26"/>
  <c r="AA1227" i="26"/>
  <c r="AA1228" i="26"/>
  <c r="AA1229" i="26"/>
  <c r="AA1230" i="26"/>
  <c r="AA1231" i="26"/>
  <c r="AA1232" i="26"/>
  <c r="AA1233" i="26"/>
  <c r="AA1234" i="26"/>
  <c r="AA1235" i="26"/>
  <c r="AA1236" i="26"/>
  <c r="AA1237" i="26"/>
  <c r="AA1238" i="26"/>
  <c r="AA1239" i="26"/>
  <c r="AA1240" i="26"/>
  <c r="AA1241" i="26"/>
  <c r="AA1242" i="26"/>
  <c r="AA1243" i="26"/>
  <c r="AA1244" i="26"/>
  <c r="AA1245" i="26"/>
  <c r="AA1246" i="26"/>
  <c r="AA1247" i="26"/>
  <c r="AA1248" i="26"/>
  <c r="AA1249" i="26"/>
  <c r="AA1250" i="26"/>
  <c r="AA1251" i="26"/>
  <c r="AA1252" i="26"/>
  <c r="AA1253" i="26"/>
  <c r="AA1254" i="26"/>
  <c r="AA1255" i="26"/>
  <c r="AA1256" i="26"/>
  <c r="AA1257" i="26"/>
  <c r="AA1258" i="26"/>
  <c r="AA1259" i="26"/>
  <c r="AA1260" i="26"/>
  <c r="AA1261" i="26"/>
  <c r="AA1262" i="26"/>
  <c r="AA1263" i="26"/>
  <c r="AA1264" i="26"/>
  <c r="AA1265" i="26"/>
  <c r="AA1266" i="26"/>
  <c r="AA1267" i="26"/>
  <c r="AA1268" i="26"/>
  <c r="AA1269" i="26"/>
  <c r="AA1270" i="26"/>
  <c r="AA1271" i="26"/>
  <c r="AA1272" i="26"/>
  <c r="AA1273" i="26"/>
  <c r="AA1274" i="26"/>
  <c r="AA1275" i="26"/>
  <c r="AA1276" i="26"/>
  <c r="AA1277" i="26"/>
  <c r="AA1278" i="26"/>
  <c r="AA1279" i="26"/>
  <c r="AA1280" i="26"/>
  <c r="AA1281" i="26"/>
  <c r="AA1282" i="26"/>
  <c r="AA1283" i="26"/>
  <c r="AA1284" i="26"/>
  <c r="AA1285" i="26"/>
  <c r="AA1286" i="26"/>
  <c r="AA1287" i="26"/>
  <c r="AA1288" i="26"/>
  <c r="AA1289" i="26"/>
  <c r="AA1290" i="26"/>
  <c r="AA1291" i="26"/>
  <c r="AA1292" i="26"/>
  <c r="AA1293" i="26"/>
  <c r="AA1294" i="26"/>
  <c r="AA1295" i="26"/>
  <c r="AA1296" i="26"/>
  <c r="AA1297" i="26"/>
  <c r="AA1298" i="26"/>
  <c r="AA1299" i="26"/>
  <c r="AA1300" i="26"/>
  <c r="AA1301" i="26"/>
  <c r="AA1302" i="26"/>
  <c r="AA1303" i="26"/>
  <c r="AA1304" i="26"/>
  <c r="AA1305" i="26"/>
  <c r="AA1306" i="26"/>
  <c r="AA1307" i="26"/>
  <c r="AA1308" i="26"/>
  <c r="AA1309" i="26"/>
  <c r="AA1310" i="26"/>
  <c r="AA1311" i="26"/>
  <c r="AA1312" i="26"/>
  <c r="AA1313" i="26"/>
  <c r="AA1314" i="26"/>
  <c r="AA1315" i="26"/>
  <c r="AA1316" i="26"/>
  <c r="AA1317" i="26"/>
  <c r="AA1318" i="26"/>
  <c r="AA1319" i="26"/>
  <c r="AA1320" i="26"/>
  <c r="AA1321" i="26"/>
  <c r="AA1322" i="26"/>
  <c r="AA1323" i="26"/>
  <c r="AA1324" i="26"/>
  <c r="AA1325" i="26"/>
  <c r="AA1326" i="26"/>
  <c r="AA1327" i="26"/>
  <c r="AA1328" i="26"/>
  <c r="AA1329" i="26"/>
  <c r="AA1330" i="26"/>
  <c r="AA1331" i="26"/>
  <c r="AA1332" i="26"/>
  <c r="AA1333" i="26"/>
  <c r="AA1334" i="26"/>
  <c r="AA1335" i="26"/>
  <c r="AA1336" i="26"/>
  <c r="AA1337" i="26"/>
  <c r="AA1338" i="26"/>
  <c r="AA1339" i="26"/>
  <c r="AA1340" i="26"/>
  <c r="AA1341" i="26"/>
  <c r="AA1342" i="26"/>
  <c r="AA1343" i="26"/>
  <c r="AA1344" i="26"/>
  <c r="AA1345" i="26"/>
  <c r="AA1346" i="26"/>
  <c r="AA1347" i="26"/>
  <c r="AA1348" i="26"/>
  <c r="AA1349" i="26"/>
  <c r="AA1350" i="26"/>
  <c r="AA1351" i="26"/>
  <c r="AA1352" i="26"/>
  <c r="AA1353" i="26"/>
  <c r="AA1354" i="26"/>
  <c r="AA1355" i="26"/>
  <c r="AA1356" i="26"/>
  <c r="AA1357" i="26"/>
  <c r="AA1358" i="26"/>
  <c r="AA1359" i="26"/>
  <c r="AA1360" i="26"/>
  <c r="AA1361" i="26"/>
  <c r="AA1362" i="26"/>
  <c r="AA1363" i="26"/>
  <c r="AA1364" i="26"/>
  <c r="AA1365" i="26"/>
  <c r="AA1366" i="26"/>
  <c r="AA1367" i="26"/>
  <c r="AA1368" i="26"/>
  <c r="AA1369" i="26"/>
  <c r="AA1370" i="26"/>
  <c r="AA1371" i="26"/>
  <c r="AA1372" i="26"/>
  <c r="AA1373" i="26"/>
  <c r="AA1374" i="26"/>
  <c r="AA1375" i="26"/>
  <c r="AA1376" i="26"/>
  <c r="AA1377" i="26"/>
  <c r="AA1378" i="26"/>
  <c r="AA1379" i="26"/>
  <c r="AA1380" i="26"/>
  <c r="AA1381" i="26"/>
  <c r="AA1382" i="26"/>
  <c r="AA1383" i="26"/>
  <c r="AA1384" i="26"/>
  <c r="AA1385" i="26"/>
  <c r="AA1386" i="26"/>
  <c r="AA1387" i="26"/>
  <c r="AA1388" i="26"/>
  <c r="AA1389" i="26"/>
  <c r="AA1390" i="26"/>
  <c r="AA1391" i="26"/>
  <c r="AA1392" i="26"/>
  <c r="AA1393" i="26"/>
  <c r="AA1394" i="26"/>
  <c r="AA1395" i="26"/>
  <c r="AA1396" i="26"/>
  <c r="AA1397" i="26"/>
  <c r="AA1398" i="26"/>
  <c r="AA1399" i="26"/>
  <c r="AA1400" i="26"/>
  <c r="AA1401" i="26"/>
  <c r="AA1402" i="26"/>
  <c r="AA1403" i="26"/>
  <c r="AA1404" i="26"/>
  <c r="AA1405" i="26"/>
  <c r="AA1406" i="26"/>
  <c r="AA1407" i="26"/>
  <c r="AA1408" i="26"/>
  <c r="AA1409" i="26"/>
  <c r="AA1410" i="26"/>
  <c r="AA1411" i="26"/>
  <c r="AA1412" i="26"/>
  <c r="AA1413" i="26"/>
  <c r="AA1414" i="26"/>
  <c r="AA1415" i="26"/>
  <c r="AA1416" i="26"/>
  <c r="AA1417" i="26"/>
  <c r="AA1418" i="26"/>
  <c r="AA1419" i="26"/>
  <c r="AA1420" i="26"/>
  <c r="AA1421" i="26"/>
  <c r="AA1422" i="26"/>
  <c r="AA1423" i="26"/>
  <c r="AA1424" i="26"/>
  <c r="AA1425" i="26"/>
  <c r="AA1426" i="26"/>
  <c r="AA1427" i="26"/>
  <c r="AA1428" i="26"/>
  <c r="AA1429" i="26"/>
  <c r="AA1430" i="26"/>
  <c r="AA1431" i="26"/>
  <c r="AA1432" i="26"/>
  <c r="AA1433" i="26"/>
  <c r="AA1434" i="26"/>
  <c r="AA1435" i="26"/>
  <c r="AA1436" i="26"/>
  <c r="AA1437" i="26"/>
  <c r="AA1438" i="26"/>
  <c r="AA1439" i="26"/>
  <c r="AA1440" i="26"/>
  <c r="AA1441" i="26"/>
  <c r="AA1442" i="26"/>
  <c r="AA1443" i="26"/>
  <c r="AA1444" i="26"/>
  <c r="AA1445" i="26"/>
  <c r="AA1446" i="26"/>
  <c r="AA1447" i="26"/>
  <c r="AA1448" i="26"/>
  <c r="AA1449" i="26"/>
  <c r="AA1450" i="26"/>
  <c r="AA1451" i="26"/>
  <c r="AA1452" i="26"/>
  <c r="AA1453" i="26"/>
  <c r="AA1454" i="26"/>
  <c r="AA1455" i="26"/>
  <c r="AA1456" i="26"/>
  <c r="AA1457" i="26"/>
  <c r="AA1458" i="26"/>
  <c r="AA1459" i="26"/>
  <c r="AA1460" i="26"/>
  <c r="AA1461" i="26"/>
  <c r="AA1462" i="26"/>
  <c r="AA1463" i="26"/>
  <c r="AA1464" i="26"/>
  <c r="AA1465" i="26"/>
  <c r="AA1466" i="26"/>
  <c r="AA1467" i="26"/>
  <c r="AA1468" i="26"/>
  <c r="AA1469" i="26"/>
  <c r="AA1470" i="26"/>
  <c r="AA1471" i="26"/>
  <c r="AA1472" i="26"/>
  <c r="AA1473" i="26"/>
  <c r="AA1474" i="26"/>
  <c r="AA1475" i="26"/>
  <c r="AA1476" i="26"/>
  <c r="AA1477" i="26"/>
  <c r="AA1478" i="26"/>
  <c r="AA1479" i="26"/>
  <c r="AA1480" i="26"/>
  <c r="AA1481" i="26"/>
  <c r="AA1482" i="26"/>
  <c r="AA1483" i="26"/>
  <c r="AA1484" i="26"/>
  <c r="AA1485" i="26"/>
  <c r="AA1486" i="26"/>
  <c r="AA1487" i="26"/>
  <c r="AA1488" i="26"/>
  <c r="AA1489" i="26"/>
  <c r="AA1490" i="26"/>
  <c r="AA1491" i="26"/>
  <c r="AA1492" i="26"/>
  <c r="AA1493" i="26"/>
  <c r="AA1494" i="26"/>
  <c r="AA1495" i="26"/>
  <c r="AA1496" i="26"/>
  <c r="AA1497" i="26"/>
  <c r="AA1498" i="26"/>
  <c r="AA1499" i="26"/>
  <c r="AA1500" i="26"/>
  <c r="AA1501" i="26"/>
  <c r="AA1502" i="26"/>
  <c r="AA1503" i="26"/>
  <c r="AA1504" i="26"/>
  <c r="AA1505" i="26"/>
  <c r="AA1506" i="26"/>
  <c r="AA1507" i="26"/>
  <c r="AA1508" i="26"/>
  <c r="AA1509" i="26"/>
  <c r="AA1510" i="26"/>
  <c r="AA1511" i="26"/>
  <c r="AA1512" i="26"/>
  <c r="AA1513" i="26"/>
  <c r="AA1514" i="26"/>
  <c r="AA1515" i="26"/>
  <c r="AA1516" i="26"/>
  <c r="AA1517" i="26"/>
  <c r="AA1518" i="26"/>
  <c r="AA1519" i="26"/>
  <c r="AA1520" i="26"/>
  <c r="AA1521" i="26"/>
  <c r="AA1522" i="26"/>
  <c r="AA1523" i="26"/>
  <c r="AA1524" i="26"/>
  <c r="AA1525" i="26"/>
  <c r="AA1526" i="26"/>
  <c r="AA1527" i="26"/>
  <c r="AA1528" i="26"/>
  <c r="AA1529" i="26"/>
  <c r="AA1530" i="26"/>
  <c r="AA1531" i="26"/>
  <c r="AA1532" i="26"/>
  <c r="AA1533" i="26"/>
  <c r="AA1534" i="26"/>
  <c r="AA1535" i="26"/>
  <c r="AA1536" i="26"/>
  <c r="AA1537" i="26"/>
  <c r="AA1538" i="26"/>
  <c r="AA1539" i="26"/>
  <c r="AA1540" i="26"/>
  <c r="AA1541" i="26"/>
  <c r="AA1542" i="26"/>
  <c r="AA1543" i="26"/>
  <c r="AA1544" i="26"/>
  <c r="AA1545" i="26"/>
  <c r="AA1546" i="26"/>
  <c r="AA1547" i="26"/>
  <c r="AA1548" i="26"/>
  <c r="AA1549" i="26"/>
  <c r="AA1550" i="26"/>
  <c r="AA1551" i="26"/>
  <c r="AA1552" i="26"/>
  <c r="AA1553" i="26"/>
  <c r="AA1554" i="26"/>
  <c r="AA1555" i="26"/>
  <c r="AA1556" i="26"/>
  <c r="AA1557" i="26"/>
  <c r="AA1558" i="26"/>
  <c r="AA1559" i="26"/>
  <c r="AA1560" i="26"/>
  <c r="AA1561" i="26"/>
  <c r="AA1562" i="26"/>
  <c r="AA1563" i="26"/>
  <c r="AA1564" i="26"/>
  <c r="AA1565" i="26"/>
  <c r="AA1566" i="26"/>
  <c r="AA1567" i="26"/>
  <c r="AA1568" i="26"/>
  <c r="AA1569" i="26"/>
  <c r="AA1570" i="26"/>
  <c r="AA1571" i="26"/>
  <c r="AA1572" i="26"/>
  <c r="AA1573" i="26"/>
  <c r="AA1574" i="26"/>
  <c r="AA1575" i="26"/>
  <c r="AA1576" i="26"/>
  <c r="AA1577" i="26"/>
  <c r="AA1578" i="26"/>
  <c r="AA1579" i="26"/>
  <c r="AA1580" i="26"/>
  <c r="AA1581" i="26"/>
  <c r="AA1582" i="26"/>
  <c r="AA1583" i="26"/>
  <c r="AA1584" i="26"/>
  <c r="AA1585" i="26"/>
  <c r="AA1586" i="26"/>
  <c r="AA1587" i="26"/>
  <c r="AA1588" i="26"/>
  <c r="AA1589" i="26"/>
  <c r="AA1590" i="26"/>
  <c r="AA1591" i="26"/>
  <c r="AA1592" i="26"/>
  <c r="AA1593" i="26"/>
  <c r="AA1594" i="26"/>
  <c r="AA1595" i="26"/>
  <c r="AA1596" i="26"/>
  <c r="AA1597" i="26"/>
  <c r="AA1598" i="26"/>
  <c r="AA1599" i="26"/>
  <c r="AA1600" i="26"/>
  <c r="AA1601" i="26"/>
  <c r="AA1602" i="26"/>
  <c r="AA1603" i="26"/>
  <c r="AA1604" i="26"/>
  <c r="AA1605" i="26"/>
  <c r="AA1606" i="26"/>
  <c r="AA1607" i="26"/>
  <c r="AA1608" i="26"/>
  <c r="AA1609" i="26"/>
  <c r="AA1610" i="26"/>
  <c r="AA1611" i="26"/>
  <c r="AA1612" i="26"/>
  <c r="AA1613" i="26"/>
  <c r="AA1614" i="26"/>
  <c r="AA1615" i="26"/>
  <c r="AA1616" i="26"/>
  <c r="AA1617" i="26"/>
  <c r="AA1618" i="26"/>
  <c r="AA1619" i="26"/>
  <c r="AA1620" i="26"/>
  <c r="AA1621" i="26"/>
  <c r="AA1622" i="26"/>
  <c r="AA1623" i="26"/>
  <c r="AA1624" i="26"/>
  <c r="AA1625" i="26"/>
  <c r="AA1626" i="26"/>
  <c r="AA1627" i="26"/>
  <c r="AA1628" i="26"/>
  <c r="AA1629" i="26"/>
  <c r="AA1630" i="26"/>
  <c r="AA1631" i="26"/>
  <c r="AA1632" i="26"/>
  <c r="AA1633" i="26"/>
  <c r="AA1634" i="26"/>
  <c r="AA1635" i="26"/>
  <c r="AA1636" i="26"/>
  <c r="AA1637" i="26"/>
  <c r="AA1638" i="26"/>
  <c r="AA1639" i="26"/>
  <c r="AA1640" i="26"/>
  <c r="AA1641" i="26"/>
  <c r="AA1642" i="26"/>
  <c r="AA1643" i="26"/>
  <c r="AA1644" i="26"/>
  <c r="AA1645" i="26"/>
  <c r="AA1646" i="26"/>
  <c r="AA1647" i="26"/>
  <c r="AA1648" i="26"/>
  <c r="AA1649" i="26"/>
  <c r="AA1650" i="26"/>
  <c r="AA1651" i="26"/>
  <c r="AA1652" i="26"/>
  <c r="AA1653" i="26"/>
  <c r="AA1654" i="26"/>
  <c r="AA1655" i="26"/>
  <c r="AA1656" i="26"/>
  <c r="AA1657" i="26"/>
  <c r="AA1658" i="26"/>
  <c r="AA1659" i="26"/>
  <c r="AA1660" i="26"/>
  <c r="AA1661" i="26"/>
  <c r="AA1662" i="26"/>
  <c r="AA1663" i="26"/>
  <c r="AA1664" i="26"/>
  <c r="AA1665" i="26"/>
  <c r="AA1666" i="26"/>
  <c r="AA1667" i="26"/>
  <c r="AA1668" i="26"/>
  <c r="AA1669" i="26"/>
  <c r="AA1670" i="26"/>
  <c r="AA1671" i="26"/>
  <c r="AA1672" i="26"/>
  <c r="AA1673" i="26"/>
  <c r="AA1674" i="26"/>
  <c r="AA1675" i="26"/>
  <c r="AA1676" i="26"/>
  <c r="AA1677" i="26"/>
  <c r="AA1678" i="26"/>
  <c r="AA1679" i="26"/>
  <c r="AA1680" i="26"/>
  <c r="AA1681" i="26"/>
  <c r="AA1682" i="26"/>
  <c r="AA1683" i="26"/>
  <c r="AA1684" i="26"/>
  <c r="AA1685" i="26"/>
  <c r="AA1686" i="26"/>
  <c r="AA1687" i="26"/>
  <c r="AA1688" i="26"/>
  <c r="AA1689" i="26"/>
  <c r="AA1690" i="26"/>
  <c r="AA1691" i="26"/>
  <c r="AA1692" i="26"/>
  <c r="AA1693" i="26"/>
  <c r="AA1694" i="26"/>
  <c r="AA1695" i="26"/>
  <c r="AA1696" i="26"/>
  <c r="AA1697" i="26"/>
  <c r="AA1698" i="26"/>
  <c r="AA1699" i="26"/>
  <c r="AA1700" i="26"/>
  <c r="AA1701" i="26"/>
  <c r="AA1702" i="26"/>
  <c r="AA1703" i="26"/>
  <c r="AA1704" i="26"/>
  <c r="AA1705" i="26"/>
  <c r="AA1706" i="26"/>
  <c r="AA1707" i="26"/>
  <c r="AA1708" i="26"/>
  <c r="AA1709" i="26"/>
  <c r="AA1710" i="26"/>
  <c r="AA1711" i="26"/>
  <c r="AA1712" i="26"/>
  <c r="AA1713" i="26"/>
  <c r="AA1714" i="26"/>
  <c r="AA1715" i="26"/>
  <c r="AA1716" i="26"/>
  <c r="AA1717" i="26"/>
  <c r="AA1718" i="26"/>
  <c r="AA1719" i="26"/>
  <c r="AA1720" i="26"/>
  <c r="AA1721" i="26"/>
  <c r="AA1722" i="26"/>
  <c r="AA1723" i="26"/>
  <c r="AA1724" i="26"/>
  <c r="AA1725" i="26"/>
  <c r="AA1726" i="26"/>
  <c r="AA1727" i="26"/>
  <c r="AA1728" i="26"/>
  <c r="AA1729" i="26"/>
  <c r="AA1730" i="26"/>
  <c r="AA1731" i="26"/>
  <c r="AA1732" i="26"/>
  <c r="AA1733" i="26"/>
  <c r="AA1734" i="26"/>
  <c r="AA1735" i="26"/>
  <c r="AA1736" i="26"/>
  <c r="AA1737" i="26"/>
  <c r="AA1738" i="26"/>
  <c r="AA1739" i="26"/>
  <c r="AA1740" i="26"/>
  <c r="AA1741" i="26"/>
  <c r="AA1742" i="26"/>
  <c r="AA1743" i="26"/>
  <c r="AA1744" i="26"/>
  <c r="AA1745" i="26"/>
  <c r="AA1746" i="26"/>
  <c r="AA1747" i="26"/>
  <c r="AA1748" i="26"/>
  <c r="AA1749" i="26"/>
  <c r="AA1750" i="26"/>
  <c r="AA1751" i="26"/>
  <c r="AA1752" i="26"/>
  <c r="AA1753" i="26"/>
  <c r="AA1754" i="26"/>
  <c r="AA1755" i="26"/>
  <c r="AA1756" i="26"/>
  <c r="AA1757" i="26"/>
  <c r="AA1758" i="26"/>
  <c r="AA1759" i="26"/>
  <c r="AA1760" i="26"/>
  <c r="AA1761" i="26"/>
  <c r="AA1762" i="26"/>
  <c r="AA1763" i="26"/>
  <c r="AA1764" i="26"/>
  <c r="AA1765" i="26"/>
  <c r="AA1766" i="26"/>
  <c r="AA1767" i="26"/>
  <c r="AA1768" i="26"/>
  <c r="AA1769" i="26"/>
  <c r="AA1770" i="26"/>
  <c r="AA1771" i="26"/>
  <c r="AA1772" i="26"/>
  <c r="AA1773" i="26"/>
  <c r="AA1774" i="26"/>
  <c r="AA1775" i="26"/>
  <c r="AA1776" i="26"/>
  <c r="AA1777" i="26"/>
  <c r="AA1778" i="26"/>
  <c r="AA1779" i="26"/>
  <c r="AA1780" i="26"/>
  <c r="AA1781" i="26"/>
  <c r="AA1782" i="26"/>
  <c r="AA1783" i="26"/>
  <c r="AA1784" i="26"/>
  <c r="AA1785" i="26"/>
  <c r="AA1786" i="26"/>
  <c r="AA1787" i="26"/>
  <c r="AA1788" i="26"/>
  <c r="AA1789" i="26"/>
  <c r="AA1790" i="26"/>
  <c r="AA1791" i="26"/>
  <c r="AA1792" i="26"/>
  <c r="AA1793" i="26"/>
  <c r="AA1794" i="26"/>
  <c r="AA1795" i="26"/>
  <c r="AA1796" i="26"/>
  <c r="AA1797" i="26"/>
  <c r="AA1798" i="26"/>
  <c r="AA1799" i="26"/>
  <c r="AA1800" i="26"/>
  <c r="AA1801" i="26"/>
  <c r="AA1802" i="26"/>
  <c r="AA1803" i="26"/>
  <c r="AA1804" i="26"/>
  <c r="AA1805" i="26"/>
  <c r="AA1806" i="26"/>
  <c r="AA1807" i="26"/>
  <c r="AA1808" i="26"/>
  <c r="AA1809" i="26"/>
  <c r="AA1810" i="26"/>
  <c r="AA1811" i="26"/>
  <c r="AA1812" i="26"/>
  <c r="AA1813" i="26"/>
  <c r="AA1814" i="26"/>
  <c r="AA1815" i="26"/>
  <c r="AA1816" i="26"/>
  <c r="AA1817" i="26"/>
  <c r="AA1818" i="26"/>
  <c r="AA1819" i="26"/>
  <c r="AA1820" i="26"/>
  <c r="AA1821" i="26"/>
  <c r="AA1822" i="26"/>
  <c r="AA1823" i="26"/>
  <c r="AA1824" i="26"/>
  <c r="AA1825" i="26"/>
  <c r="AA1826" i="26"/>
  <c r="AA1827" i="26"/>
  <c r="AA1828" i="26"/>
  <c r="AA1829" i="26"/>
  <c r="AA1830" i="26"/>
  <c r="AA1831" i="26"/>
  <c r="AA1832" i="26"/>
  <c r="AA1833" i="26"/>
  <c r="AA1834" i="26"/>
  <c r="AA1835" i="26"/>
  <c r="AA1836" i="26"/>
  <c r="AA1837" i="26"/>
  <c r="AA1838" i="26"/>
  <c r="AA1839" i="26"/>
  <c r="AA1840" i="26"/>
  <c r="AA1841" i="26"/>
  <c r="AA1842" i="26"/>
  <c r="AA1843" i="26"/>
  <c r="AA1844" i="26"/>
  <c r="AA1845" i="26"/>
  <c r="AA1846" i="26"/>
  <c r="AA1847" i="26"/>
  <c r="AA1848" i="26"/>
  <c r="AA1849" i="26"/>
  <c r="AA1850" i="26"/>
  <c r="AA1851" i="26"/>
  <c r="AA1852" i="26"/>
  <c r="AA1853" i="26"/>
  <c r="AA1854" i="26"/>
  <c r="AA1855" i="26"/>
  <c r="AA1856" i="26"/>
  <c r="AA1857" i="26"/>
  <c r="AA1858" i="26"/>
  <c r="AA1859" i="26"/>
  <c r="AA1860" i="26"/>
  <c r="AA1861" i="26"/>
  <c r="AA1862" i="26"/>
  <c r="AA1863" i="26"/>
  <c r="AA1864" i="26"/>
  <c r="AA1865" i="26"/>
  <c r="AA1866" i="26"/>
  <c r="AA1867" i="26"/>
  <c r="AA1868" i="26"/>
  <c r="AA1869" i="26"/>
  <c r="AA1870" i="26"/>
  <c r="AA1871" i="26"/>
  <c r="AA1872" i="26"/>
  <c r="AA1873" i="26"/>
  <c r="AA1874" i="26"/>
  <c r="AA1875" i="26"/>
  <c r="AA1876" i="26"/>
  <c r="AA1877" i="26"/>
  <c r="AA1878" i="26"/>
  <c r="AA1879" i="26"/>
  <c r="AA1880" i="26"/>
  <c r="AA1881" i="26"/>
  <c r="AA1882" i="26"/>
  <c r="AA1883" i="26"/>
  <c r="AA1884" i="26"/>
  <c r="AA1885" i="26"/>
  <c r="AA1886" i="26"/>
  <c r="AA1887" i="26"/>
  <c r="AA1888" i="26"/>
  <c r="AA1889" i="26"/>
  <c r="AA1890" i="26"/>
  <c r="AA1891" i="26"/>
  <c r="AA1892" i="26"/>
  <c r="AA1893" i="26"/>
  <c r="AA1894" i="26"/>
  <c r="AA1895" i="26"/>
  <c r="AA1896" i="26"/>
  <c r="AA1897" i="26"/>
  <c r="AA1898" i="26"/>
  <c r="AA1899" i="26"/>
  <c r="AA1900" i="26"/>
  <c r="AA1901" i="26"/>
  <c r="AA1902" i="26"/>
  <c r="AA1903" i="26"/>
  <c r="AA1904" i="26"/>
  <c r="AA1905" i="26"/>
  <c r="AA1906" i="26"/>
  <c r="AA1907" i="26"/>
  <c r="AA1908" i="26"/>
  <c r="AA1909" i="26"/>
  <c r="AA1910" i="26"/>
  <c r="AA1911" i="26"/>
  <c r="AA1912" i="26"/>
  <c r="AA1913" i="26"/>
  <c r="AA1914" i="26"/>
  <c r="AA1915" i="26"/>
  <c r="AA1916" i="26"/>
  <c r="AA1917" i="26"/>
  <c r="AA1918" i="26"/>
  <c r="AA1919" i="26"/>
  <c r="AA1920" i="26"/>
  <c r="AA1921" i="26"/>
  <c r="AA1922" i="26"/>
  <c r="AA1923" i="26"/>
  <c r="AA1924" i="26"/>
  <c r="AA1925" i="26"/>
  <c r="AA1926" i="26"/>
  <c r="AA1927" i="26"/>
  <c r="AA1928" i="26"/>
  <c r="AA1929" i="26"/>
  <c r="AA1930" i="26"/>
  <c r="AA1931" i="26"/>
  <c r="AA1932" i="26"/>
  <c r="AA1933" i="26"/>
  <c r="AA1934" i="26"/>
  <c r="AA1935" i="26"/>
  <c r="AA1936" i="26"/>
  <c r="AA1937" i="26"/>
  <c r="AA1938" i="26"/>
  <c r="AA1939" i="26"/>
  <c r="AA1940" i="26"/>
  <c r="AA1941" i="26"/>
  <c r="AA1942" i="26"/>
  <c r="AA1943" i="26"/>
  <c r="AA1944" i="26"/>
  <c r="AA1945" i="26"/>
  <c r="AA1946" i="26"/>
  <c r="AA1947" i="26"/>
  <c r="AA1948" i="26"/>
  <c r="AA1949" i="26"/>
  <c r="AA1950" i="26"/>
  <c r="AA1951" i="26"/>
  <c r="AA1952" i="26"/>
  <c r="AA1953" i="26"/>
  <c r="AA1954" i="26"/>
  <c r="AA1955" i="26"/>
  <c r="AA1956" i="26"/>
  <c r="AA1957" i="26"/>
  <c r="AA1958" i="26"/>
  <c r="AA1959" i="26"/>
  <c r="AA1960" i="26"/>
  <c r="AA1961" i="26"/>
  <c r="AA1962" i="26"/>
  <c r="AA1963" i="26"/>
  <c r="AA1964" i="26"/>
  <c r="AA1965" i="26"/>
  <c r="AA1966" i="26"/>
  <c r="AA1967" i="26"/>
  <c r="AA1968" i="26"/>
  <c r="AA1969" i="26"/>
  <c r="AA1970" i="26"/>
  <c r="AA1971" i="26"/>
  <c r="AA1972" i="26"/>
  <c r="AA1973" i="26"/>
  <c r="AA1974" i="26"/>
  <c r="AA1975" i="26"/>
  <c r="AA1976" i="26"/>
  <c r="AA1977" i="26"/>
  <c r="AA1978" i="26"/>
  <c r="AA1979" i="26"/>
  <c r="AA1980" i="26"/>
  <c r="AA1981" i="26"/>
  <c r="AA1982" i="26"/>
  <c r="AA1983" i="26"/>
  <c r="AA1984" i="26"/>
  <c r="AA1985" i="26"/>
  <c r="AA1986" i="26"/>
  <c r="AA1987" i="26"/>
  <c r="AA1988" i="26"/>
  <c r="AA1989" i="26"/>
  <c r="AA1990" i="26"/>
  <c r="AA1991" i="26"/>
  <c r="AA1992" i="26"/>
  <c r="AA1993" i="26"/>
  <c r="AA1994" i="26"/>
  <c r="AA1995" i="26"/>
  <c r="AA1996" i="26"/>
  <c r="AA1997" i="26"/>
  <c r="AA1998" i="26"/>
  <c r="AA1999" i="26"/>
  <c r="AA2000" i="26"/>
  <c r="AA2001" i="26"/>
  <c r="AA2002" i="26"/>
  <c r="AA2003" i="26"/>
  <c r="AA2004" i="26"/>
  <c r="AA2005" i="26"/>
  <c r="AA2006" i="26"/>
  <c r="AA2007" i="26"/>
  <c r="AA2008" i="26"/>
  <c r="AA2009" i="26"/>
  <c r="AA2010" i="26"/>
  <c r="AA2011" i="26"/>
  <c r="AA2012" i="26"/>
  <c r="AA2013" i="26"/>
  <c r="AA2014" i="26"/>
  <c r="AA2015" i="26"/>
  <c r="AA2016" i="26"/>
  <c r="AA2017" i="26"/>
  <c r="AA2018" i="26"/>
  <c r="AA2019" i="26"/>
  <c r="AA2020" i="26"/>
  <c r="AA2021" i="26"/>
  <c r="AA2022" i="26"/>
  <c r="AA2023" i="26"/>
  <c r="AA2024" i="26"/>
  <c r="AA2025" i="26"/>
  <c r="AA2026" i="26"/>
  <c r="AA2027" i="26"/>
  <c r="AA2028" i="26"/>
  <c r="AA2029" i="26"/>
  <c r="AA2030" i="26"/>
  <c r="AA2031" i="26"/>
  <c r="AA2032" i="26"/>
  <c r="AA2033" i="26"/>
  <c r="AA2034" i="26"/>
  <c r="AA2035" i="26"/>
  <c r="AA2036" i="26"/>
  <c r="AA2037" i="26"/>
  <c r="AA2038" i="26"/>
  <c r="AA2039" i="26"/>
  <c r="AA2040" i="26"/>
  <c r="AA2041" i="26"/>
  <c r="AA2042" i="26"/>
  <c r="AA2043" i="26"/>
  <c r="AA2044" i="26"/>
  <c r="AA2045" i="26"/>
  <c r="AA2046" i="26"/>
  <c r="AA2047" i="26"/>
  <c r="AA2048" i="26"/>
  <c r="AA2049" i="26"/>
  <c r="AA2050" i="26"/>
  <c r="AA2051" i="26"/>
  <c r="AA2052" i="26"/>
  <c r="AA2053" i="26"/>
  <c r="AA2054" i="26"/>
  <c r="AA2055" i="26"/>
  <c r="AA2056" i="26"/>
  <c r="AA2057" i="26"/>
  <c r="AA2058" i="26"/>
  <c r="AA2059" i="26"/>
  <c r="AA2060" i="26"/>
  <c r="AA2061" i="26"/>
  <c r="AA2062" i="26"/>
  <c r="AA2063" i="26"/>
  <c r="AA2064" i="26"/>
  <c r="AA2065" i="26"/>
  <c r="AA2066" i="26"/>
  <c r="AA2067" i="26"/>
  <c r="AA2068" i="26"/>
  <c r="AA2069" i="26"/>
  <c r="AA2070" i="26"/>
  <c r="AA2071" i="26"/>
  <c r="AA2072" i="26"/>
  <c r="AA2073" i="26"/>
  <c r="AA2074" i="26"/>
  <c r="AA2075" i="26"/>
  <c r="AA2076" i="26"/>
  <c r="AA2077" i="26"/>
  <c r="AA2078" i="26"/>
  <c r="AA2079" i="26"/>
  <c r="AA2080" i="26"/>
  <c r="AA2081" i="26"/>
  <c r="AA2082" i="26"/>
  <c r="AA2083" i="26"/>
  <c r="AA2084" i="26"/>
  <c r="AA2085" i="26"/>
  <c r="AA2086" i="26"/>
  <c r="AA2087" i="26"/>
  <c r="AA2088" i="26"/>
  <c r="AA2089" i="26"/>
  <c r="AA2090" i="26"/>
  <c r="AA2091" i="26"/>
  <c r="AA2092" i="26"/>
  <c r="AA2093" i="26"/>
  <c r="AA2094" i="26"/>
  <c r="AA2095" i="26"/>
  <c r="AA2096" i="26"/>
  <c r="AA2097" i="26"/>
  <c r="AA2098" i="26"/>
  <c r="AA2099" i="26"/>
  <c r="AA2100" i="26"/>
  <c r="AA2101" i="26"/>
  <c r="AA2102" i="26"/>
  <c r="AA2103" i="26"/>
  <c r="AA2104" i="26"/>
  <c r="AA2105" i="26"/>
  <c r="AA2106" i="26"/>
  <c r="AA2107" i="26"/>
  <c r="AA2108" i="26"/>
  <c r="AA2109" i="26"/>
  <c r="AA2110" i="26"/>
  <c r="AA2111" i="26"/>
  <c r="AA2112" i="26"/>
  <c r="AA2113" i="26"/>
  <c r="AA2114" i="26"/>
  <c r="AA2115" i="26"/>
  <c r="AA2116" i="26"/>
  <c r="AA2117" i="26"/>
  <c r="AA2118" i="26"/>
  <c r="AA2119" i="26"/>
  <c r="AA2120" i="26"/>
  <c r="AA2121" i="26"/>
  <c r="AA2122" i="26"/>
  <c r="AA2123" i="26"/>
  <c r="AA2124" i="26"/>
  <c r="AA2125" i="26"/>
  <c r="AA2126" i="26"/>
  <c r="AA2127" i="26"/>
  <c r="AA2128" i="26"/>
  <c r="AA2129" i="26"/>
  <c r="AA2130" i="26"/>
  <c r="AA2131" i="26"/>
  <c r="AA2132" i="26"/>
  <c r="AA2133" i="26"/>
  <c r="AA2134" i="26"/>
  <c r="AA2135" i="26"/>
  <c r="AA2136" i="26"/>
  <c r="AA2137" i="26"/>
  <c r="AA2138" i="26"/>
  <c r="AA2139" i="26"/>
  <c r="AA2140" i="26"/>
  <c r="AA2141" i="26"/>
  <c r="AA2142" i="26"/>
  <c r="AA2143" i="26"/>
  <c r="AA2144" i="26"/>
  <c r="AA2145" i="26"/>
  <c r="AA2146" i="26"/>
  <c r="AA2147" i="26"/>
  <c r="AA2148" i="26"/>
  <c r="AA2149" i="26"/>
  <c r="AA2150" i="26"/>
  <c r="AA2151" i="26"/>
  <c r="AA2152" i="26"/>
  <c r="AA2153" i="26"/>
  <c r="AA2154" i="26"/>
  <c r="AA2155" i="26"/>
  <c r="AA2156" i="26"/>
  <c r="AA2157" i="26"/>
  <c r="AA2158" i="26"/>
  <c r="AA2159" i="26"/>
  <c r="AA2160" i="26"/>
  <c r="AA2161" i="26"/>
  <c r="AA2162" i="26"/>
  <c r="AA2163" i="26"/>
  <c r="AA2164" i="26"/>
  <c r="AA2165" i="26"/>
  <c r="AA2166" i="26"/>
  <c r="AA2167" i="26"/>
  <c r="AA2168" i="26"/>
  <c r="AA2169" i="26"/>
  <c r="AA2170" i="26"/>
  <c r="AA2171" i="26"/>
  <c r="AA2172" i="26"/>
  <c r="AA2173" i="26"/>
  <c r="AA2174" i="26"/>
  <c r="AA2175" i="26"/>
  <c r="AA2176" i="26"/>
  <c r="AA2177" i="26"/>
  <c r="AA2178" i="26"/>
  <c r="AA2179" i="26"/>
  <c r="AA2180" i="26"/>
  <c r="AA2181" i="26"/>
  <c r="AA2182" i="26"/>
  <c r="AA2183" i="26"/>
  <c r="AA2184" i="26"/>
  <c r="AA2185" i="26"/>
  <c r="AA2186" i="26"/>
  <c r="AA2187" i="26"/>
  <c r="AA2188" i="26"/>
  <c r="AA2189" i="26"/>
  <c r="AA2190" i="26"/>
  <c r="AA2191" i="26"/>
  <c r="AA2192" i="26"/>
  <c r="AA2193" i="26"/>
  <c r="AA2194" i="26"/>
  <c r="AA2195" i="26"/>
  <c r="AA2196" i="26"/>
  <c r="AA2197" i="26"/>
  <c r="AA2198" i="26"/>
  <c r="AA2199" i="26"/>
  <c r="AA2200" i="26"/>
  <c r="AA2201" i="26"/>
  <c r="AA2202" i="26"/>
  <c r="AA2203" i="26"/>
  <c r="AA2204" i="26"/>
  <c r="AA2205" i="26"/>
  <c r="AA2206" i="26"/>
  <c r="AA2207" i="26"/>
  <c r="AA2208" i="26"/>
  <c r="AA2209" i="26"/>
  <c r="AA2210" i="26"/>
  <c r="AA2211" i="26"/>
  <c r="AA2212" i="26"/>
  <c r="AA2213" i="26"/>
  <c r="AA2214" i="26"/>
  <c r="AA2215" i="26"/>
  <c r="AA2216" i="26"/>
  <c r="AA2217" i="26"/>
  <c r="AA2218" i="26"/>
  <c r="AA2219" i="26"/>
  <c r="AA2220" i="26"/>
  <c r="AA2221" i="26"/>
  <c r="AA2222" i="26"/>
  <c r="AA2223" i="26"/>
  <c r="AA2224" i="26"/>
  <c r="AA2225" i="26"/>
  <c r="AA2226" i="26"/>
  <c r="AA2227" i="26"/>
  <c r="AA2228" i="26"/>
  <c r="AA2229" i="26"/>
  <c r="AA2230" i="26"/>
  <c r="AA2231" i="26"/>
  <c r="AA2232" i="26"/>
  <c r="AA2233" i="26"/>
  <c r="AA2234" i="26"/>
  <c r="AA2235" i="26"/>
  <c r="AA2236" i="26"/>
  <c r="AA2237" i="26"/>
  <c r="AA2238" i="26"/>
  <c r="AA2239" i="26"/>
  <c r="AA2240" i="26"/>
  <c r="AA2241" i="26"/>
  <c r="AA2242" i="26"/>
  <c r="AA2243" i="26"/>
  <c r="AA2244" i="26"/>
  <c r="AA2245" i="26"/>
  <c r="AA2246" i="26"/>
  <c r="AA2247" i="26"/>
  <c r="AA2248" i="26"/>
  <c r="AA2249" i="26"/>
  <c r="AA2250" i="26"/>
  <c r="AA2251" i="26"/>
  <c r="AA2252" i="26"/>
  <c r="AA2253" i="26"/>
  <c r="AA2254" i="26"/>
  <c r="AA2255" i="26"/>
  <c r="AA2256" i="26"/>
  <c r="AA2257" i="26"/>
  <c r="AA2258" i="26"/>
  <c r="AA2259" i="26"/>
  <c r="AA2260" i="26"/>
  <c r="AA2261" i="26"/>
  <c r="AA2262" i="26"/>
  <c r="AA2263" i="26"/>
  <c r="AA2264" i="26"/>
  <c r="AA2265" i="26"/>
  <c r="AA2266" i="26"/>
  <c r="AA2267" i="26"/>
  <c r="AA2268" i="26"/>
  <c r="AA2269" i="26"/>
  <c r="AA2270" i="26"/>
  <c r="AA2271" i="26"/>
  <c r="AA2272" i="26"/>
  <c r="AA2273" i="26"/>
  <c r="AA2274" i="26"/>
  <c r="AA2275" i="26"/>
  <c r="AA2276" i="26"/>
  <c r="AA2277" i="26"/>
  <c r="AA2278" i="26"/>
  <c r="AA2279" i="26"/>
  <c r="AA2280" i="26"/>
  <c r="AA2281" i="26"/>
  <c r="AA2282" i="26"/>
  <c r="AA2283" i="26"/>
  <c r="AA2284" i="26"/>
  <c r="AA2285" i="26"/>
  <c r="AA2286" i="26"/>
  <c r="AA2287" i="26"/>
  <c r="AA2288" i="26"/>
  <c r="AA2289" i="26"/>
  <c r="AA2290" i="26"/>
  <c r="AA2291" i="26"/>
  <c r="AA2292" i="26"/>
  <c r="AA2293" i="26"/>
  <c r="AA2294" i="26"/>
  <c r="AA2295" i="26"/>
  <c r="AA2296" i="26"/>
  <c r="AA2297" i="26"/>
  <c r="AA2298" i="26"/>
  <c r="AA2299" i="26"/>
  <c r="AA2300" i="26"/>
  <c r="AA2301" i="26"/>
  <c r="AA2302" i="26"/>
  <c r="AA2303" i="26"/>
  <c r="AA2304" i="26"/>
  <c r="AA2305" i="26"/>
  <c r="AA2306" i="26"/>
  <c r="AA2307" i="26"/>
  <c r="AA2308" i="26"/>
  <c r="AA2309" i="26"/>
  <c r="AA2310" i="26"/>
  <c r="AA2311" i="26"/>
  <c r="AA2312" i="26"/>
  <c r="AA2313" i="26"/>
  <c r="AA2314" i="26"/>
  <c r="AA2315" i="26"/>
  <c r="AA2316" i="26"/>
  <c r="AA2317" i="26"/>
  <c r="AA2318" i="26"/>
  <c r="AA2319" i="26"/>
  <c r="AA2320" i="26"/>
  <c r="AA2321" i="26"/>
  <c r="AA2322" i="26"/>
  <c r="AA2323" i="26"/>
  <c r="AA2324" i="26"/>
  <c r="AA2325" i="26"/>
  <c r="AA2326" i="26"/>
  <c r="AA2327" i="26"/>
  <c r="AA2328" i="26"/>
  <c r="AA2329" i="26"/>
  <c r="AA2330" i="26"/>
  <c r="AA2331" i="26"/>
  <c r="AA2332" i="26"/>
  <c r="AA2333" i="26"/>
  <c r="AA2334" i="26"/>
  <c r="AA2335" i="26"/>
  <c r="AA2336" i="26"/>
  <c r="AA2337" i="26"/>
  <c r="AA2338" i="26"/>
  <c r="AA2339" i="26"/>
  <c r="AA2340" i="26"/>
  <c r="AA2341" i="26"/>
  <c r="AA2342" i="26"/>
  <c r="AA2343" i="26"/>
  <c r="AA2344" i="26"/>
  <c r="AA2345" i="26"/>
  <c r="AA2346" i="26"/>
  <c r="AA2347" i="26"/>
  <c r="AA2348" i="26"/>
  <c r="AA2349" i="26"/>
  <c r="AA2350" i="26"/>
  <c r="AA2351" i="26"/>
  <c r="AA2352" i="26"/>
  <c r="AA2353" i="26"/>
  <c r="AA2354" i="26"/>
  <c r="AA2355" i="26"/>
  <c r="AA2356" i="26"/>
  <c r="AA2357" i="26"/>
  <c r="AA2358" i="26"/>
  <c r="AA2359" i="26"/>
  <c r="AA2360" i="26"/>
  <c r="AA2361" i="26"/>
  <c r="AA2362" i="26"/>
  <c r="AA2363" i="26"/>
  <c r="AA2364" i="26"/>
  <c r="AA2365" i="26"/>
  <c r="AA2366" i="26"/>
  <c r="AA2367" i="26"/>
  <c r="AA2368" i="26"/>
  <c r="AA2369" i="26"/>
  <c r="AA2370" i="26"/>
  <c r="AA2371" i="26"/>
  <c r="AA2372" i="26"/>
  <c r="AA2373" i="26"/>
  <c r="AA2374" i="26"/>
  <c r="AA2375" i="26"/>
  <c r="AA2376" i="26"/>
  <c r="AA2377" i="26"/>
  <c r="AA2378" i="26"/>
  <c r="AA2379" i="26"/>
  <c r="AA2380" i="26"/>
  <c r="AA2381" i="26"/>
  <c r="AA2382" i="26"/>
  <c r="AA2383" i="26"/>
  <c r="AA2384" i="26"/>
  <c r="AA2385" i="26"/>
  <c r="AA2386" i="26"/>
  <c r="AA2387" i="26"/>
  <c r="AA2388" i="26"/>
  <c r="AA2389" i="26"/>
  <c r="AA2390" i="26"/>
  <c r="AA2391" i="26"/>
  <c r="AA2392" i="26"/>
  <c r="AA2393" i="26"/>
  <c r="AA2394" i="26"/>
  <c r="AA2395" i="26"/>
  <c r="AA2396" i="26"/>
  <c r="AA2397" i="26"/>
  <c r="AA2398" i="26"/>
  <c r="AA2399" i="26"/>
  <c r="AA2400" i="26"/>
  <c r="AA2401" i="26"/>
  <c r="AA2402" i="26"/>
  <c r="AA2403" i="26"/>
  <c r="AA2404" i="26"/>
  <c r="AA2405" i="26"/>
  <c r="AA2406" i="26"/>
  <c r="AA2407" i="26"/>
  <c r="AA2408" i="26"/>
  <c r="AA2409" i="26"/>
  <c r="AA2410" i="26"/>
  <c r="AA2411" i="26"/>
  <c r="AA2412" i="26"/>
  <c r="AA2413" i="26"/>
  <c r="AA2414" i="26"/>
  <c r="AA2415" i="26"/>
  <c r="AA2416" i="26"/>
  <c r="AA2417" i="26"/>
  <c r="AA2418" i="26"/>
  <c r="AA2419" i="26"/>
  <c r="AA2420" i="26"/>
  <c r="AA2421" i="26"/>
  <c r="AA2422" i="26"/>
  <c r="AA2423" i="26"/>
  <c r="AA2424" i="26"/>
  <c r="AA2425" i="26"/>
  <c r="AA2426" i="26"/>
  <c r="AA2427" i="26"/>
  <c r="AA2428" i="26"/>
  <c r="AA2429" i="26"/>
  <c r="AA2430" i="26"/>
  <c r="AA2431" i="26"/>
  <c r="AA2432" i="26"/>
  <c r="AA2433" i="26"/>
  <c r="AA2434" i="26"/>
  <c r="AA2435" i="26"/>
  <c r="AA2436" i="26"/>
  <c r="AA2437" i="26"/>
  <c r="AA2438" i="26"/>
  <c r="AA2439" i="26"/>
  <c r="AA2440" i="26"/>
  <c r="AA2441" i="26"/>
  <c r="AA2442" i="26"/>
  <c r="AA2443" i="26"/>
  <c r="AA2444" i="26"/>
  <c r="AA2445" i="26"/>
  <c r="AA2446" i="26"/>
  <c r="AA2447" i="26"/>
  <c r="AB2447" i="26" s="1"/>
  <c r="AA2448" i="26"/>
  <c r="AA2449" i="26"/>
  <c r="AA2450" i="26"/>
  <c r="AA2451" i="26"/>
  <c r="AB2451" i="26" s="1"/>
  <c r="AA2452" i="26"/>
  <c r="AA2453" i="26"/>
  <c r="AA2454" i="26"/>
  <c r="AA2455" i="26"/>
  <c r="AB2455" i="26" s="1"/>
  <c r="AA2456" i="26"/>
  <c r="AA2457" i="26"/>
  <c r="AA2458" i="26"/>
  <c r="AA2459" i="26"/>
  <c r="AB2459" i="26" s="1"/>
  <c r="AA2460" i="26"/>
  <c r="AA2461" i="26"/>
  <c r="AA2462" i="26"/>
  <c r="AA2463" i="26"/>
  <c r="AB2463" i="26" s="1"/>
  <c r="AA2464" i="26"/>
  <c r="AA2465" i="26"/>
  <c r="AA2466" i="26"/>
  <c r="AA2467" i="26"/>
  <c r="AB2467" i="26" s="1"/>
  <c r="AA2468" i="26"/>
  <c r="AA2469" i="26"/>
  <c r="AA2470" i="26"/>
  <c r="AA2471" i="26"/>
  <c r="AB2471" i="26" s="1"/>
  <c r="AA2472" i="26"/>
  <c r="AA2473" i="26"/>
  <c r="AA2474" i="26"/>
  <c r="AA2475" i="26"/>
  <c r="AB2475" i="26" s="1"/>
  <c r="AA2476" i="26"/>
  <c r="AA2477" i="26"/>
  <c r="AA2478" i="26"/>
  <c r="AA2479" i="26"/>
  <c r="AB2479" i="26" s="1"/>
  <c r="AA2480" i="26"/>
  <c r="AA2481" i="26"/>
  <c r="AA2482" i="26"/>
  <c r="AA2483" i="26"/>
  <c r="AB2483" i="26" s="1"/>
  <c r="AA2484" i="26"/>
  <c r="AA2485" i="26"/>
  <c r="AA2486" i="26"/>
  <c r="AA2487" i="26"/>
  <c r="AB2487" i="26" s="1"/>
  <c r="AA2488" i="26"/>
  <c r="AA2489" i="26"/>
  <c r="AA2490" i="26"/>
  <c r="AA2491" i="26"/>
  <c r="AB2491" i="26" s="1"/>
  <c r="AA2492" i="26"/>
  <c r="AA2493" i="26"/>
  <c r="AA2494" i="26"/>
  <c r="AA2495" i="26"/>
  <c r="AB2495" i="26" s="1"/>
  <c r="AA2496" i="26"/>
  <c r="AA2497" i="26"/>
  <c r="AA2498" i="26"/>
  <c r="AA2499" i="26"/>
  <c r="AB2499" i="26" s="1"/>
  <c r="AA2500" i="26"/>
  <c r="AA2501" i="26"/>
  <c r="AA2502" i="26"/>
  <c r="AA2503" i="26"/>
  <c r="AB2503" i="26" s="1"/>
  <c r="AA2504" i="26"/>
  <c r="AA2505" i="26"/>
  <c r="AA2506" i="26"/>
  <c r="AA2507" i="26"/>
  <c r="AB2507" i="26" s="1"/>
  <c r="AA2508" i="26"/>
  <c r="AA2509" i="26"/>
  <c r="AA2510" i="26"/>
  <c r="AA2511" i="26"/>
  <c r="AB2511" i="26" s="1"/>
  <c r="AA2512" i="26"/>
  <c r="AA2513" i="26"/>
  <c r="AA2514" i="26"/>
  <c r="AA2515" i="26"/>
  <c r="AB2515" i="26" s="1"/>
  <c r="AA2516" i="26"/>
  <c r="AA2517" i="26"/>
  <c r="AA2518" i="26"/>
  <c r="AA2519" i="26"/>
  <c r="AB2519" i="26" s="1"/>
  <c r="AA2520" i="26"/>
  <c r="AA2521" i="26"/>
  <c r="AA2522" i="26"/>
  <c r="AA2523" i="26"/>
  <c r="AB2523" i="26" s="1"/>
  <c r="AA2524" i="26"/>
  <c r="AA2525" i="26"/>
  <c r="AA2526" i="26"/>
  <c r="AA2527" i="26"/>
  <c r="AB2527" i="26" s="1"/>
  <c r="AA2528" i="26"/>
  <c r="AA2529" i="26"/>
  <c r="AA2530" i="26"/>
  <c r="AA2531" i="26"/>
  <c r="AB2531" i="26" s="1"/>
  <c r="AA2532" i="26"/>
  <c r="AA2533" i="26"/>
  <c r="AA2534" i="26"/>
  <c r="AA2535" i="26"/>
  <c r="AB2535" i="26" s="1"/>
  <c r="AA2536" i="26"/>
  <c r="AA2537" i="26"/>
  <c r="AA2538" i="26"/>
  <c r="AA2539" i="26"/>
  <c r="AB2539" i="26" s="1"/>
  <c r="AA2540" i="26"/>
  <c r="AA2541" i="26"/>
  <c r="AA2542" i="26"/>
  <c r="AA2543" i="26"/>
  <c r="AB2543" i="26" s="1"/>
  <c r="AA2544" i="26"/>
  <c r="AA2545" i="26"/>
  <c r="AA2546" i="26"/>
  <c r="AA2547" i="26"/>
  <c r="AB2547" i="26" s="1"/>
  <c r="AA2548" i="26"/>
  <c r="AA2549" i="26"/>
  <c r="AA2550" i="26"/>
  <c r="AA2551" i="26"/>
  <c r="AB2551" i="26" s="1"/>
  <c r="AA2552" i="26"/>
  <c r="AA2553" i="26"/>
  <c r="AA2554" i="26"/>
  <c r="AA2555" i="26"/>
  <c r="AB2555" i="26" s="1"/>
  <c r="AA2556" i="26"/>
  <c r="AA2557" i="26"/>
  <c r="AA2558" i="26"/>
  <c r="AA2559" i="26"/>
  <c r="AB2559" i="26" s="1"/>
  <c r="AA2560" i="26"/>
  <c r="AA2561" i="26"/>
  <c r="AA2562" i="26"/>
  <c r="AA2563" i="26"/>
  <c r="AB2563" i="26" s="1"/>
  <c r="AA2564" i="26"/>
  <c r="AA2565" i="26"/>
  <c r="AA2566" i="26"/>
  <c r="AA2567" i="26"/>
  <c r="AB2567" i="26" s="1"/>
  <c r="AA2568" i="26"/>
  <c r="AA2569" i="26"/>
  <c r="AA2570" i="26"/>
  <c r="AA2571" i="26"/>
  <c r="AB2571" i="26" s="1"/>
  <c r="AA2572" i="26"/>
  <c r="AA2573" i="26"/>
  <c r="AA2574" i="26"/>
  <c r="AA2575" i="26"/>
  <c r="AB2575" i="26" s="1"/>
  <c r="AA2576" i="26"/>
  <c r="AA2577" i="26"/>
  <c r="AA2578" i="26"/>
  <c r="AA2579" i="26"/>
  <c r="AB2579" i="26" s="1"/>
  <c r="AA2580" i="26"/>
  <c r="AA2581" i="26"/>
  <c r="AA2582" i="26"/>
  <c r="AA2583" i="26"/>
  <c r="AB2583" i="26" s="1"/>
  <c r="AA2584" i="26"/>
  <c r="AA2585" i="26"/>
  <c r="AA2586" i="26"/>
  <c r="AA2587" i="26"/>
  <c r="AB2587" i="26" s="1"/>
  <c r="AA2588" i="26"/>
  <c r="AA2589" i="26"/>
  <c r="AA2590" i="26"/>
  <c r="AA2591" i="26"/>
  <c r="AB2591" i="26" s="1"/>
  <c r="AA2592" i="26"/>
  <c r="AA2593" i="26"/>
  <c r="AA2594" i="26"/>
  <c r="AA2595" i="26"/>
  <c r="AB2595" i="26" s="1"/>
  <c r="AA2596" i="26"/>
  <c r="AA2597" i="26"/>
  <c r="AA2598" i="26"/>
  <c r="AA2599" i="26"/>
  <c r="AB2599" i="26" s="1"/>
  <c r="AA2600" i="26"/>
  <c r="AB2600" i="26" s="1"/>
  <c r="AA2601" i="26"/>
  <c r="AB2601" i="26" s="1"/>
  <c r="AA2602" i="26"/>
  <c r="AA2603" i="26"/>
  <c r="AB2603" i="26" s="1"/>
  <c r="AA2604" i="26"/>
  <c r="AB2604" i="26" s="1"/>
  <c r="AA2605" i="26"/>
  <c r="AB2605" i="26" s="1"/>
  <c r="AA2606" i="26"/>
  <c r="AA2607" i="26"/>
  <c r="AB2607" i="26" s="1"/>
  <c r="AA2608" i="26"/>
  <c r="AB2608" i="26" s="1"/>
  <c r="AA2609" i="26"/>
  <c r="AB2609" i="26" s="1"/>
  <c r="AA2610" i="26"/>
  <c r="AA2611" i="26"/>
  <c r="AB2611" i="26" s="1"/>
  <c r="AA2612" i="26"/>
  <c r="AB2612" i="26" s="1"/>
  <c r="AA2613" i="26"/>
  <c r="AB2613" i="26" s="1"/>
  <c r="AA2614" i="26"/>
  <c r="AA2615" i="26"/>
  <c r="AB2615" i="26" s="1"/>
  <c r="AA2616" i="26"/>
  <c r="AB2616" i="26" s="1"/>
  <c r="AA2617" i="26"/>
  <c r="AB2617" i="26" s="1"/>
  <c r="AA2618" i="26"/>
  <c r="AA2619" i="26"/>
  <c r="AB2619" i="26" s="1"/>
  <c r="AA2620" i="26"/>
  <c r="AB2620" i="26" s="1"/>
  <c r="AA2621" i="26"/>
  <c r="AB2621" i="26" s="1"/>
  <c r="AA2622" i="26"/>
  <c r="AA2623" i="26"/>
  <c r="AB2623" i="26" s="1"/>
  <c r="AA2624" i="26"/>
  <c r="AB2624" i="26" s="1"/>
  <c r="AA2625" i="26"/>
  <c r="AB2625" i="26" s="1"/>
  <c r="AA2626" i="26"/>
  <c r="AA2627" i="26"/>
  <c r="AB2627" i="26" s="1"/>
  <c r="AA2628" i="26"/>
  <c r="AB2628" i="26" s="1"/>
  <c r="AA2629" i="26"/>
  <c r="AB2629" i="26" s="1"/>
  <c r="AA2630" i="26"/>
  <c r="AA2631" i="26"/>
  <c r="AB2631" i="26" s="1"/>
  <c r="AA2632" i="26"/>
  <c r="AB2632" i="26" s="1"/>
  <c r="AA2633" i="26"/>
  <c r="AB2633" i="26" s="1"/>
  <c r="AA2634" i="26"/>
  <c r="AA2635" i="26"/>
  <c r="AB2635" i="26" s="1"/>
  <c r="AA2636" i="26"/>
  <c r="AB2636" i="26" s="1"/>
  <c r="AA2637" i="26"/>
  <c r="AB2637" i="26" s="1"/>
  <c r="AA2638" i="26"/>
  <c r="AA2639" i="26"/>
  <c r="AB2639" i="26" s="1"/>
  <c r="AA2640" i="26"/>
  <c r="AB2640" i="26" s="1"/>
  <c r="AA2641" i="26"/>
  <c r="AB2641" i="26" s="1"/>
  <c r="AA2642" i="26"/>
  <c r="AA2643" i="26"/>
  <c r="AB2643" i="26" s="1"/>
  <c r="AA2644" i="26"/>
  <c r="AB2644" i="26" s="1"/>
  <c r="AA2645" i="26"/>
  <c r="AB2645" i="26" s="1"/>
  <c r="AA2646" i="26"/>
  <c r="AA2647" i="26"/>
  <c r="AB2647" i="26" s="1"/>
  <c r="AA2648" i="26"/>
  <c r="AB2648" i="26" s="1"/>
  <c r="AA2649" i="26"/>
  <c r="AB2649" i="26" s="1"/>
  <c r="AA2650" i="26"/>
  <c r="AA2651" i="26"/>
  <c r="AB2651" i="26" s="1"/>
  <c r="AA2652" i="26"/>
  <c r="AB2652" i="26" s="1"/>
  <c r="AA2653" i="26"/>
  <c r="AB2653" i="26" s="1"/>
  <c r="AA2654" i="26"/>
  <c r="AA2655" i="26"/>
  <c r="AB2655" i="26" s="1"/>
  <c r="AA2656" i="26"/>
  <c r="AB2656" i="26" s="1"/>
  <c r="AA2657" i="26"/>
  <c r="AB2657" i="26" s="1"/>
  <c r="AA2658" i="26"/>
  <c r="AA2659" i="26"/>
  <c r="AB2659" i="26" s="1"/>
  <c r="AA2660" i="26"/>
  <c r="AB2660" i="26" s="1"/>
  <c r="AA2661" i="26"/>
  <c r="AB2661" i="26" s="1"/>
  <c r="AA2662" i="26"/>
  <c r="AA2663" i="26"/>
  <c r="AB2663" i="26" s="1"/>
  <c r="AA2664" i="26"/>
  <c r="AB2664" i="26" s="1"/>
  <c r="AA2665" i="26"/>
  <c r="AB2665" i="26" s="1"/>
  <c r="AA2666" i="26"/>
  <c r="AA2667" i="26"/>
  <c r="AB2667" i="26" s="1"/>
  <c r="AA2668" i="26"/>
  <c r="AB2668" i="26" s="1"/>
  <c r="AA2669" i="26"/>
  <c r="AB2669" i="26" s="1"/>
  <c r="AA2670" i="26"/>
  <c r="AA2671" i="26"/>
  <c r="AB2671" i="26" s="1"/>
  <c r="AA2672" i="26"/>
  <c r="AB2672" i="26" s="1"/>
  <c r="AA2673" i="26"/>
  <c r="AB2673" i="26" s="1"/>
  <c r="AA2674" i="26"/>
  <c r="AA2675" i="26"/>
  <c r="AB2675" i="26" s="1"/>
  <c r="AA2676" i="26"/>
  <c r="AB2676" i="26" s="1"/>
  <c r="AA2677" i="26"/>
  <c r="AB2677" i="26" s="1"/>
  <c r="AA2678" i="26"/>
  <c r="AA2679" i="26"/>
  <c r="AB2679" i="26" s="1"/>
  <c r="AA2680" i="26"/>
  <c r="AB2680" i="26" s="1"/>
  <c r="AA2681" i="26"/>
  <c r="AB2681" i="26" s="1"/>
  <c r="AA2682" i="26"/>
  <c r="AA2683" i="26"/>
  <c r="AB2683" i="26" s="1"/>
  <c r="AA2684" i="26"/>
  <c r="AB2684" i="26" s="1"/>
  <c r="AA2685" i="26"/>
  <c r="AB2685" i="26" s="1"/>
  <c r="AA2686" i="26"/>
  <c r="AA2687" i="26"/>
  <c r="AB2687" i="26" s="1"/>
  <c r="AA2688" i="26"/>
  <c r="AB2688" i="26" s="1"/>
  <c r="AA2689" i="26"/>
  <c r="AB2689" i="26" s="1"/>
  <c r="AA2690" i="26"/>
  <c r="AA2691" i="26"/>
  <c r="AB2691" i="26" s="1"/>
  <c r="AA2692" i="26"/>
  <c r="AB2692" i="26" s="1"/>
  <c r="AA2693" i="26"/>
  <c r="AB2693" i="26" s="1"/>
  <c r="AA2694" i="26"/>
  <c r="AA2695" i="26"/>
  <c r="AB2695" i="26" s="1"/>
  <c r="AA2696" i="26"/>
  <c r="AB2696" i="26" s="1"/>
  <c r="AA2697" i="26"/>
  <c r="AB2697" i="26" s="1"/>
  <c r="AA2698" i="26"/>
  <c r="AA2699" i="26"/>
  <c r="AB2699" i="26" s="1"/>
  <c r="AA2700" i="26"/>
  <c r="AB2700" i="26" s="1"/>
  <c r="AA2701" i="26"/>
  <c r="AB2701" i="26" s="1"/>
  <c r="AA2702" i="26"/>
  <c r="AA2703" i="26"/>
  <c r="AB2703" i="26" s="1"/>
  <c r="AA2704" i="26"/>
  <c r="AB2704" i="26" s="1"/>
  <c r="AA2705" i="26"/>
  <c r="AB2705" i="26" s="1"/>
  <c r="AA2706" i="26"/>
  <c r="AA2707" i="26"/>
  <c r="AB2707" i="26" s="1"/>
  <c r="AA2708" i="26"/>
  <c r="AB2708" i="26" s="1"/>
  <c r="AA2709" i="26"/>
  <c r="AB2709" i="26" s="1"/>
  <c r="AA2710" i="26"/>
  <c r="AA2711" i="26"/>
  <c r="AB2711" i="26" s="1"/>
  <c r="AA2712" i="26"/>
  <c r="AB2712" i="26" s="1"/>
  <c r="AA2713" i="26"/>
  <c r="AB2713" i="26" s="1"/>
  <c r="AA2714" i="26"/>
  <c r="AA2715" i="26"/>
  <c r="AB2715" i="26" s="1"/>
  <c r="AA2716" i="26"/>
  <c r="AB2716" i="26" s="1"/>
  <c r="AA2717" i="26"/>
  <c r="AB2717" i="26" s="1"/>
  <c r="AA2718" i="26"/>
  <c r="AA2719" i="26"/>
  <c r="AB2719" i="26" s="1"/>
  <c r="AA2720" i="26"/>
  <c r="AB2720" i="26" s="1"/>
  <c r="AA2721" i="26"/>
  <c r="AB2721" i="26" s="1"/>
  <c r="AA2722" i="26"/>
  <c r="AA2723" i="26"/>
  <c r="AB2723" i="26" s="1"/>
  <c r="AA2724" i="26"/>
  <c r="AB2724" i="26" s="1"/>
  <c r="AA2725" i="26"/>
  <c r="AB2725" i="26" s="1"/>
  <c r="AA2726" i="26"/>
  <c r="AA2727" i="26"/>
  <c r="AB2727" i="26" s="1"/>
  <c r="AA2728" i="26"/>
  <c r="AB2728" i="26" s="1"/>
  <c r="AA2729" i="26"/>
  <c r="AB2729" i="26" s="1"/>
  <c r="AA2730" i="26"/>
  <c r="AA2731" i="26"/>
  <c r="AB2731" i="26" s="1"/>
  <c r="AA2732" i="26"/>
  <c r="AB2732" i="26" s="1"/>
  <c r="AA2733" i="26"/>
  <c r="AB2733" i="26" s="1"/>
  <c r="AA2734" i="26"/>
  <c r="AA2735" i="26"/>
  <c r="AB2735" i="26" s="1"/>
  <c r="AA2736" i="26"/>
  <c r="AB2736" i="26" s="1"/>
  <c r="AA2737" i="26"/>
  <c r="AB2737" i="26" s="1"/>
  <c r="AA2738" i="26"/>
  <c r="AA2739" i="26"/>
  <c r="AB2739" i="26" s="1"/>
  <c r="AA2740" i="26"/>
  <c r="AB2740" i="26" s="1"/>
  <c r="AA2741" i="26"/>
  <c r="AB2741" i="26" s="1"/>
  <c r="AA2742" i="26"/>
  <c r="AA2743" i="26"/>
  <c r="AB2743" i="26" s="1"/>
  <c r="AA2744" i="26"/>
  <c r="AB2744" i="26" s="1"/>
  <c r="AA2745" i="26"/>
  <c r="AB2745" i="26" s="1"/>
  <c r="AA2746" i="26"/>
  <c r="AA2747" i="26"/>
  <c r="AB2747" i="26" s="1"/>
  <c r="AA2748" i="26"/>
  <c r="AB2748" i="26" s="1"/>
  <c r="AA2749" i="26"/>
  <c r="AB2749" i="26" s="1"/>
  <c r="AA2750" i="26"/>
  <c r="AA2751" i="26"/>
  <c r="AB2751" i="26" s="1"/>
  <c r="AA2752" i="26"/>
  <c r="AB2752" i="26" s="1"/>
  <c r="AA2753" i="26"/>
  <c r="AB2753" i="26" s="1"/>
  <c r="AA2754" i="26"/>
  <c r="AA2755" i="26"/>
  <c r="AB2755" i="26" s="1"/>
  <c r="AA2756" i="26"/>
  <c r="AB2756" i="26" s="1"/>
  <c r="AA2757" i="26"/>
  <c r="AB2757" i="26" s="1"/>
  <c r="AA2758" i="26"/>
  <c r="AA2759" i="26"/>
  <c r="AB2759" i="26" s="1"/>
  <c r="AA2760" i="26"/>
  <c r="AB2760" i="26" s="1"/>
  <c r="AA2761" i="26"/>
  <c r="AB2761" i="26" s="1"/>
  <c r="AA2762" i="26"/>
  <c r="AA2763" i="26"/>
  <c r="AB2763" i="26" s="1"/>
  <c r="AA2764" i="26"/>
  <c r="AB2764" i="26" s="1"/>
  <c r="AA2765" i="26"/>
  <c r="AB2765" i="26" s="1"/>
  <c r="AA2766" i="26"/>
  <c r="AA2767" i="26"/>
  <c r="AB2767" i="26" s="1"/>
  <c r="AA2768" i="26"/>
  <c r="AB2768" i="26" s="1"/>
  <c r="AA2769" i="26"/>
  <c r="AB2769" i="26" s="1"/>
  <c r="AA2770" i="26"/>
  <c r="AA2771" i="26"/>
  <c r="AB2771" i="26" s="1"/>
  <c r="AA2772" i="26"/>
  <c r="AB2772" i="26" s="1"/>
  <c r="AA2773" i="26"/>
  <c r="AB2773" i="26" s="1"/>
  <c r="AA2774" i="26"/>
  <c r="AA2775" i="26"/>
  <c r="AB2775" i="26" s="1"/>
  <c r="AA2776" i="26"/>
  <c r="AB2776" i="26" s="1"/>
  <c r="AA2777" i="26"/>
  <c r="AB2777" i="26" s="1"/>
  <c r="AA2778" i="26"/>
  <c r="AA2779" i="26"/>
  <c r="AB2779" i="26" s="1"/>
  <c r="AA2780" i="26"/>
  <c r="AB2780" i="26" s="1"/>
  <c r="AA2781" i="26"/>
  <c r="AB2781" i="26" s="1"/>
  <c r="AA2782" i="26"/>
  <c r="AA2783" i="26"/>
  <c r="AB2783" i="26" s="1"/>
  <c r="AA2784" i="26"/>
  <c r="AB2784" i="26" s="1"/>
  <c r="AA2785" i="26"/>
  <c r="AB2785" i="26" s="1"/>
  <c r="AA2786" i="26"/>
  <c r="AA2787" i="26"/>
  <c r="AB2787" i="26" s="1"/>
  <c r="AA2788" i="26"/>
  <c r="AB2788" i="26" s="1"/>
  <c r="AA2789" i="26"/>
  <c r="AB2789" i="26" s="1"/>
  <c r="AA2790" i="26"/>
  <c r="AA2791" i="26"/>
  <c r="AB2791" i="26" s="1"/>
  <c r="AA2792" i="26"/>
  <c r="AB2792" i="26" s="1"/>
  <c r="AA2793" i="26"/>
  <c r="AB2793" i="26" s="1"/>
  <c r="AA2794" i="26"/>
  <c r="AA2795" i="26"/>
  <c r="AB2795" i="26" s="1"/>
  <c r="AA2796" i="26"/>
  <c r="AB2796" i="26" s="1"/>
  <c r="AA2797" i="26"/>
  <c r="AB2797" i="26" s="1"/>
  <c r="AA2798" i="26"/>
  <c r="AA2799" i="26"/>
  <c r="AB2799" i="26" s="1"/>
  <c r="AA2800" i="26"/>
  <c r="AB2800" i="26" s="1"/>
  <c r="AA2801" i="26"/>
  <c r="AB2801" i="26" s="1"/>
  <c r="AA2802" i="26"/>
  <c r="AA2803" i="26"/>
  <c r="AB2803" i="26" s="1"/>
  <c r="AA2804" i="26"/>
  <c r="AB2804" i="26" s="1"/>
  <c r="AA2805" i="26"/>
  <c r="AB2805" i="26" s="1"/>
  <c r="AA2806" i="26"/>
  <c r="AA2807" i="26"/>
  <c r="AB2807" i="26" s="1"/>
  <c r="AA2808" i="26"/>
  <c r="AB2808" i="26" s="1"/>
  <c r="AA2809" i="26"/>
  <c r="AB2809" i="26" s="1"/>
  <c r="AA2810" i="26"/>
  <c r="AA2811" i="26"/>
  <c r="AB2811" i="26" s="1"/>
  <c r="AA2812" i="26"/>
  <c r="AB2812" i="26" s="1"/>
  <c r="AA2813" i="26"/>
  <c r="AB2813" i="26" s="1"/>
  <c r="AA2814" i="26"/>
  <c r="AA2815" i="26"/>
  <c r="AB2815" i="26" s="1"/>
  <c r="AA2816" i="26"/>
  <c r="AB2816" i="26" s="1"/>
  <c r="AA2817" i="26"/>
  <c r="AB2817" i="26" s="1"/>
  <c r="AA2818" i="26"/>
  <c r="AA2819" i="26"/>
  <c r="AB2819" i="26" s="1"/>
  <c r="AA2820" i="26"/>
  <c r="AB2820" i="26" s="1"/>
  <c r="AA2821" i="26"/>
  <c r="AB2821" i="26" s="1"/>
  <c r="AA2822" i="26"/>
  <c r="AA2823" i="26"/>
  <c r="AB2823" i="26" s="1"/>
  <c r="AA2824" i="26"/>
  <c r="AB2824" i="26" s="1"/>
  <c r="AA2825" i="26"/>
  <c r="AB2825" i="26" s="1"/>
  <c r="AA2826" i="26"/>
  <c r="AA2827" i="26"/>
  <c r="AB2827" i="26" s="1"/>
  <c r="AA2828" i="26"/>
  <c r="AB2828" i="26" s="1"/>
  <c r="AA2829" i="26"/>
  <c r="AB2829" i="26" s="1"/>
  <c r="AA2830" i="26"/>
  <c r="AA2831" i="26"/>
  <c r="AB2831" i="26" s="1"/>
  <c r="AA2832" i="26"/>
  <c r="AB2832" i="26" s="1"/>
  <c r="AA2833" i="26"/>
  <c r="AB2833" i="26" s="1"/>
  <c r="AA2834" i="26"/>
  <c r="AA2835" i="26"/>
  <c r="AB2835" i="26" s="1"/>
  <c r="AA2836" i="26"/>
  <c r="AB2836" i="26" s="1"/>
  <c r="AA2837" i="26"/>
  <c r="AB2837" i="26" s="1"/>
  <c r="AA2838" i="26"/>
  <c r="AA2839" i="26"/>
  <c r="AB2839" i="26" s="1"/>
  <c r="AA2840" i="26"/>
  <c r="AB2840" i="26" s="1"/>
  <c r="AA2841" i="26"/>
  <c r="AB2841" i="26" s="1"/>
  <c r="AA2842" i="26"/>
  <c r="AA2843" i="26"/>
  <c r="AB2843" i="26" s="1"/>
  <c r="AA2844" i="26"/>
  <c r="AB2844" i="26" s="1"/>
  <c r="AA2845" i="26"/>
  <c r="AB2845" i="26" s="1"/>
  <c r="AA2846" i="26"/>
  <c r="AA2847" i="26"/>
  <c r="AB2847" i="26" s="1"/>
  <c r="AA2848" i="26"/>
  <c r="AB2848" i="26" s="1"/>
  <c r="AA2849" i="26"/>
  <c r="AB2849" i="26" s="1"/>
  <c r="AA2850" i="26"/>
  <c r="AA2851" i="26"/>
  <c r="AB2851" i="26" s="1"/>
  <c r="AA2852" i="26"/>
  <c r="AB2852" i="26" s="1"/>
  <c r="AA2853" i="26"/>
  <c r="AB2853" i="26" s="1"/>
  <c r="AA2854" i="26"/>
  <c r="AA2855" i="26"/>
  <c r="AB2855" i="26" s="1"/>
  <c r="AA2856" i="26"/>
  <c r="AB2856" i="26" s="1"/>
  <c r="AA2857" i="26"/>
  <c r="AB2857" i="26" s="1"/>
  <c r="AA2858" i="26"/>
  <c r="AA2859" i="26"/>
  <c r="AB2859" i="26" s="1"/>
  <c r="AA2860" i="26"/>
  <c r="AB2860" i="26" s="1"/>
  <c r="AA2861" i="26"/>
  <c r="AB2861" i="26" s="1"/>
  <c r="AA2862" i="26"/>
  <c r="AA2863" i="26"/>
  <c r="AB2863" i="26" s="1"/>
  <c r="AA2864" i="26"/>
  <c r="AB2864" i="26" s="1"/>
  <c r="AA2865" i="26"/>
  <c r="AB2865" i="26" s="1"/>
  <c r="AA2866" i="26"/>
  <c r="AA2867" i="26"/>
  <c r="AB2867" i="26" s="1"/>
  <c r="AA2868" i="26"/>
  <c r="AB2868" i="26" s="1"/>
  <c r="AA2869" i="26"/>
  <c r="AB2869" i="26" s="1"/>
  <c r="AA2870" i="26"/>
  <c r="AA2871" i="26"/>
  <c r="AB2871" i="26" s="1"/>
  <c r="AA2872" i="26"/>
  <c r="AB2872" i="26" s="1"/>
  <c r="AA2873" i="26"/>
  <c r="AB2873" i="26" s="1"/>
  <c r="AA2874" i="26"/>
  <c r="AA2875" i="26"/>
  <c r="AB2875" i="26" s="1"/>
  <c r="AA2876" i="26"/>
  <c r="AB2876" i="26" s="1"/>
  <c r="AA2877" i="26"/>
  <c r="AB2877" i="26" s="1"/>
  <c r="AA2878" i="26"/>
  <c r="AA2879" i="26"/>
  <c r="AB2879" i="26" s="1"/>
  <c r="AA2880" i="26"/>
  <c r="AB2880" i="26" s="1"/>
  <c r="AA2881" i="26"/>
  <c r="AB2881" i="26" s="1"/>
  <c r="AA2882" i="26"/>
  <c r="AA2883" i="26"/>
  <c r="AB2883" i="26" s="1"/>
  <c r="AA2884" i="26"/>
  <c r="AB2884" i="26" s="1"/>
  <c r="AA2885" i="26"/>
  <c r="AB2885" i="26" s="1"/>
  <c r="AA2886" i="26"/>
  <c r="AA2887" i="26"/>
  <c r="AB2887" i="26" s="1"/>
  <c r="AA2888" i="26"/>
  <c r="AB2888" i="26" s="1"/>
  <c r="AA2889" i="26"/>
  <c r="AB2889" i="26" s="1"/>
  <c r="AA2890" i="26"/>
  <c r="AA2891" i="26"/>
  <c r="AB2891" i="26" s="1"/>
  <c r="AA2892" i="26"/>
  <c r="AB2892" i="26" s="1"/>
  <c r="AA2893" i="26"/>
  <c r="AB2893" i="26" s="1"/>
  <c r="AA2894" i="26"/>
  <c r="AA2895" i="26"/>
  <c r="AB2895" i="26" s="1"/>
  <c r="AA2896" i="26"/>
  <c r="AB2896" i="26" s="1"/>
  <c r="AA2897" i="26"/>
  <c r="AB2897" i="26" s="1"/>
  <c r="AA2898" i="26"/>
  <c r="AA2899" i="26"/>
  <c r="AB2899" i="26" s="1"/>
  <c r="AA2900" i="26"/>
  <c r="AB2900" i="26" s="1"/>
  <c r="AA2901" i="26"/>
  <c r="AB2901" i="26" s="1"/>
  <c r="AA2902" i="26"/>
  <c r="AA2903" i="26"/>
  <c r="AB2903" i="26" s="1"/>
  <c r="AA2904" i="26"/>
  <c r="AB2904" i="26" s="1"/>
  <c r="AA2905" i="26"/>
  <c r="AB2905" i="26" s="1"/>
  <c r="AA2906" i="26"/>
  <c r="AA2907" i="26"/>
  <c r="AB2907" i="26" s="1"/>
  <c r="AA2908" i="26"/>
  <c r="AB2908" i="26" s="1"/>
  <c r="AA2909" i="26"/>
  <c r="AB2909" i="26" s="1"/>
  <c r="AA2910" i="26"/>
  <c r="AA2911" i="26"/>
  <c r="AB2911" i="26" s="1"/>
  <c r="AA2912" i="26"/>
  <c r="AB2912" i="26" s="1"/>
  <c r="AA2913" i="26"/>
  <c r="AB2913" i="26" s="1"/>
  <c r="AA2914" i="26"/>
  <c r="AA2915" i="26"/>
  <c r="AB2915" i="26" s="1"/>
  <c r="AA2916" i="26"/>
  <c r="AB2916" i="26" s="1"/>
  <c r="AA2917" i="26"/>
  <c r="AB2917" i="26" s="1"/>
  <c r="AA2918" i="26"/>
  <c r="AA2919" i="26"/>
  <c r="AB2919" i="26" s="1"/>
  <c r="AA2920" i="26"/>
  <c r="AB2920" i="26" s="1"/>
  <c r="AA2921" i="26"/>
  <c r="AB2921" i="26" s="1"/>
  <c r="AA2922" i="26"/>
  <c r="AA2923" i="26"/>
  <c r="AB2923" i="26" s="1"/>
  <c r="AA2924" i="26"/>
  <c r="AB2924" i="26" s="1"/>
  <c r="AA2925" i="26"/>
  <c r="AB2925" i="26" s="1"/>
  <c r="AA2926" i="26"/>
  <c r="AA2927" i="26"/>
  <c r="AB2927" i="26" s="1"/>
  <c r="AA2928" i="26"/>
  <c r="AB2928" i="26" s="1"/>
  <c r="AA2929" i="26"/>
  <c r="AB2929" i="26" s="1"/>
  <c r="AA2930" i="26"/>
  <c r="AA2931" i="26"/>
  <c r="AB2931" i="26" s="1"/>
  <c r="AA2932" i="26"/>
  <c r="AB2932" i="26" s="1"/>
  <c r="AA2933" i="26"/>
  <c r="AB2933" i="26" s="1"/>
  <c r="AA2934" i="26"/>
  <c r="AA2935" i="26"/>
  <c r="AB2935" i="26" s="1"/>
  <c r="AA2936" i="26"/>
  <c r="AB2936" i="26" s="1"/>
  <c r="AA2937" i="26"/>
  <c r="AB2937" i="26" s="1"/>
  <c r="AA2938" i="26"/>
  <c r="AA2939" i="26"/>
  <c r="AB2939" i="26" s="1"/>
  <c r="AA2940" i="26"/>
  <c r="AB2940" i="26" s="1"/>
  <c r="AA2941" i="26"/>
  <c r="AB2941" i="26" s="1"/>
  <c r="AA2942" i="26"/>
  <c r="AA2943" i="26"/>
  <c r="AB2943" i="26" s="1"/>
  <c r="AA2944" i="26"/>
  <c r="AB2944" i="26" s="1"/>
  <c r="AA2945" i="26"/>
  <c r="AB2945" i="26" s="1"/>
  <c r="AA2946" i="26"/>
  <c r="AA2947" i="26"/>
  <c r="AB2947" i="26" s="1"/>
  <c r="AA2948" i="26"/>
  <c r="AB2948" i="26" s="1"/>
  <c r="AA2949" i="26"/>
  <c r="AB2949" i="26" s="1"/>
  <c r="AA2950" i="26"/>
  <c r="AA2951" i="26"/>
  <c r="AB2951" i="26" s="1"/>
  <c r="AA2952" i="26"/>
  <c r="AB2952" i="26" s="1"/>
  <c r="AA2953" i="26"/>
  <c r="AB2953" i="26" s="1"/>
  <c r="AA2954" i="26"/>
  <c r="AA2955" i="26"/>
  <c r="AB2955" i="26" s="1"/>
  <c r="AA2956" i="26"/>
  <c r="AB2956" i="26" s="1"/>
  <c r="AA2957" i="26"/>
  <c r="AB2957" i="26" s="1"/>
  <c r="AA2958" i="26"/>
  <c r="AA2959" i="26"/>
  <c r="AB2959" i="26" s="1"/>
  <c r="AA2960" i="26"/>
  <c r="AB2960" i="26" s="1"/>
  <c r="AA2961" i="26"/>
  <c r="AB2961" i="26" s="1"/>
  <c r="AA2962" i="26"/>
  <c r="AA2963" i="26"/>
  <c r="AB2963" i="26" s="1"/>
  <c r="AA2964" i="26"/>
  <c r="AB2964" i="26" s="1"/>
  <c r="AA2965" i="26"/>
  <c r="AB2965" i="26" s="1"/>
  <c r="AA2966" i="26"/>
  <c r="AA2967" i="26"/>
  <c r="AB2967" i="26" s="1"/>
  <c r="AA2968" i="26"/>
  <c r="AB2968" i="26" s="1"/>
  <c r="AA2969" i="26"/>
  <c r="AB2969" i="26" s="1"/>
  <c r="AA2970" i="26"/>
  <c r="AA2971" i="26"/>
  <c r="AB2971" i="26" s="1"/>
  <c r="AA2972" i="26"/>
  <c r="AB2972" i="26" s="1"/>
  <c r="AA2973" i="26"/>
  <c r="AB2973" i="26" s="1"/>
  <c r="AA2974" i="26"/>
  <c r="AA2975" i="26"/>
  <c r="AB2975" i="26" s="1"/>
  <c r="AA2976" i="26"/>
  <c r="AB2976" i="26" s="1"/>
  <c r="AA2977" i="26"/>
  <c r="AB2977" i="26" s="1"/>
  <c r="AA2978" i="26"/>
  <c r="AA2979" i="26"/>
  <c r="AB2979" i="26" s="1"/>
  <c r="AA2980" i="26"/>
  <c r="AB2980" i="26" s="1"/>
  <c r="AA2981" i="26"/>
  <c r="AB2981" i="26" s="1"/>
  <c r="AA2982" i="26"/>
  <c r="AA2983" i="26"/>
  <c r="AB2983" i="26" s="1"/>
  <c r="AA2984" i="26"/>
  <c r="AB2984" i="26" s="1"/>
  <c r="AA2985" i="26"/>
  <c r="AB2985" i="26" s="1"/>
  <c r="AA2986" i="26"/>
  <c r="AA2987" i="26"/>
  <c r="AB2987" i="26" s="1"/>
  <c r="AA2988" i="26"/>
  <c r="AB2988" i="26" s="1"/>
  <c r="AA2989" i="26"/>
  <c r="AB2989" i="26" s="1"/>
  <c r="AA2990" i="26"/>
  <c r="AA2991" i="26"/>
  <c r="AB2991" i="26" s="1"/>
  <c r="AA2992" i="26"/>
  <c r="AB2992" i="26" s="1"/>
  <c r="AA2993" i="26"/>
  <c r="AB2993" i="26" s="1"/>
  <c r="AA2994" i="26"/>
  <c r="AA2995" i="26"/>
  <c r="AB2995" i="26" s="1"/>
  <c r="AA2996" i="26"/>
  <c r="AB2996" i="26" s="1"/>
  <c r="AA2997" i="26"/>
  <c r="AB2997" i="26" s="1"/>
  <c r="AA2998" i="26"/>
  <c r="AA2999" i="26"/>
  <c r="AB2999" i="26" s="1"/>
  <c r="AA3000" i="26"/>
  <c r="AB3000" i="26" s="1"/>
  <c r="AA3001" i="26"/>
  <c r="AB3001" i="26" s="1"/>
  <c r="AA3002" i="26"/>
  <c r="AA3003" i="26"/>
  <c r="AB3003" i="26" s="1"/>
  <c r="AA3004" i="26"/>
  <c r="AB3004" i="26" s="1"/>
  <c r="AA3005" i="26"/>
  <c r="AB3005" i="26" s="1"/>
  <c r="AA3006" i="26"/>
  <c r="AA3007" i="26"/>
  <c r="AB3007" i="26" s="1"/>
  <c r="AA3008" i="26"/>
  <c r="AB3008" i="26" s="1"/>
  <c r="AA3009" i="26"/>
  <c r="AB3009" i="26" s="1"/>
  <c r="AA3010" i="26"/>
  <c r="AA3011" i="26"/>
  <c r="AB3011" i="26" s="1"/>
  <c r="AA3012" i="26"/>
  <c r="AB3012" i="26" s="1"/>
  <c r="AA3013" i="26"/>
  <c r="AB3013" i="26" s="1"/>
  <c r="AA3014" i="26"/>
  <c r="AA3015" i="26"/>
  <c r="AB3015" i="26" s="1"/>
  <c r="AA3016" i="26"/>
  <c r="AB3016" i="26" s="1"/>
  <c r="AA3017" i="26"/>
  <c r="AB3017" i="26" s="1"/>
  <c r="AA3018" i="26"/>
  <c r="AA3019" i="26"/>
  <c r="AB3019" i="26" s="1"/>
  <c r="AA3020" i="26"/>
  <c r="AB3020" i="26" s="1"/>
  <c r="AA3021" i="26"/>
  <c r="AB3021" i="26" s="1"/>
  <c r="AA3022" i="26"/>
  <c r="AA3023" i="26"/>
  <c r="AB3023" i="26" s="1"/>
  <c r="AA3024" i="26"/>
  <c r="AB3024" i="26" s="1"/>
  <c r="AA3025" i="26"/>
  <c r="AB3025" i="26" s="1"/>
  <c r="AA3026" i="26"/>
  <c r="AA3027" i="26"/>
  <c r="AB3027" i="26" s="1"/>
  <c r="AA3028" i="26"/>
  <c r="AB3028" i="26" s="1"/>
  <c r="AA3029" i="26"/>
  <c r="AB3029" i="26" s="1"/>
  <c r="AA3030" i="26"/>
  <c r="AA3031" i="26"/>
  <c r="AB3031" i="26" s="1"/>
  <c r="AA3032" i="26"/>
  <c r="AB3032" i="26" s="1"/>
  <c r="AA3033" i="26"/>
  <c r="AB3033" i="26" s="1"/>
  <c r="AA3034" i="26"/>
  <c r="AA3035" i="26"/>
  <c r="AB3035" i="26" s="1"/>
  <c r="AA3036" i="26"/>
  <c r="AB3036" i="26" s="1"/>
  <c r="AA3037" i="26"/>
  <c r="AB3037" i="26" s="1"/>
  <c r="AA3038" i="26"/>
  <c r="AA3039" i="26"/>
  <c r="AB3039" i="26" s="1"/>
  <c r="AA3040" i="26"/>
  <c r="AB3040" i="26" s="1"/>
  <c r="AA3041" i="26"/>
  <c r="AB3041" i="26" s="1"/>
  <c r="AA3042" i="26"/>
  <c r="AA3043" i="26"/>
  <c r="AB3043" i="26" s="1"/>
  <c r="AA3044" i="26"/>
  <c r="AB3044" i="26" s="1"/>
  <c r="AA3045" i="26"/>
  <c r="AB3045" i="26" s="1"/>
  <c r="AA3046" i="26"/>
  <c r="AA3047" i="26"/>
  <c r="AB3047" i="26" s="1"/>
  <c r="AA3048" i="26"/>
  <c r="AB3048" i="26" s="1"/>
  <c r="AA3049" i="26"/>
  <c r="AB3049" i="26" s="1"/>
  <c r="AA3050" i="26"/>
  <c r="AA3051" i="26"/>
  <c r="AB3051" i="26" s="1"/>
  <c r="AA3052" i="26"/>
  <c r="AB3052" i="26" s="1"/>
  <c r="AA3053" i="26"/>
  <c r="AB3053" i="26" s="1"/>
  <c r="AA3054" i="26"/>
  <c r="AA3055" i="26"/>
  <c r="AB3055" i="26" s="1"/>
  <c r="AA3056" i="26"/>
  <c r="AB3056" i="26" s="1"/>
  <c r="AA3057" i="26"/>
  <c r="AB3057" i="26" s="1"/>
  <c r="AA3058" i="26"/>
  <c r="AA3059" i="26"/>
  <c r="AB3059" i="26" s="1"/>
  <c r="AA3060" i="26"/>
  <c r="AB3060" i="26" s="1"/>
  <c r="AA3061" i="26"/>
  <c r="AB3061" i="26" s="1"/>
  <c r="AA3062" i="26"/>
  <c r="AA3063" i="26"/>
  <c r="AB3063" i="26" s="1"/>
  <c r="AA3064" i="26"/>
  <c r="AB3064" i="26" s="1"/>
  <c r="AA3065" i="26"/>
  <c r="AB3065" i="26" s="1"/>
  <c r="AA3066" i="26"/>
  <c r="AA3067" i="26"/>
  <c r="AB3067" i="26" s="1"/>
  <c r="AA3068" i="26"/>
  <c r="AB3068" i="26" s="1"/>
  <c r="AA3069" i="26"/>
  <c r="AB3069" i="26" s="1"/>
  <c r="AA3070" i="26"/>
  <c r="AA3071" i="26"/>
  <c r="AB3071" i="26" s="1"/>
  <c r="AA3072" i="26"/>
  <c r="AB3072" i="26" s="1"/>
  <c r="AA3073" i="26"/>
  <c r="AB3073" i="26" s="1"/>
  <c r="AA3074" i="26"/>
  <c r="AA3075" i="26"/>
  <c r="AB3075" i="26" s="1"/>
  <c r="AA3076" i="26"/>
  <c r="AB3076" i="26" s="1"/>
  <c r="AA3077" i="26"/>
  <c r="AB3077" i="26" s="1"/>
  <c r="AA3078" i="26"/>
  <c r="AA3079" i="26"/>
  <c r="AB3079" i="26" s="1"/>
  <c r="AA3080" i="26"/>
  <c r="AB3080" i="26" s="1"/>
  <c r="AA3081" i="26"/>
  <c r="AB3081" i="26" s="1"/>
  <c r="AA3082" i="26"/>
  <c r="AA3083" i="26"/>
  <c r="AB3083" i="26" s="1"/>
  <c r="AA3084" i="26"/>
  <c r="AB3084" i="26" s="1"/>
  <c r="AA3085" i="26"/>
  <c r="AB3085" i="26" s="1"/>
  <c r="AA3086" i="26"/>
  <c r="AA3087" i="26"/>
  <c r="AB3087" i="26" s="1"/>
  <c r="AA3088" i="26"/>
  <c r="AB3088" i="26" s="1"/>
  <c r="AA3089" i="26"/>
  <c r="AB3089" i="26" s="1"/>
  <c r="AA3090" i="26"/>
  <c r="AA3091" i="26"/>
  <c r="AB3091" i="26" s="1"/>
  <c r="AA3092" i="26"/>
  <c r="AB3092" i="26" s="1"/>
  <c r="AA3093" i="26"/>
  <c r="AB3093" i="26" s="1"/>
  <c r="AA3094" i="26"/>
  <c r="AA3095" i="26"/>
  <c r="AB3095" i="26" s="1"/>
  <c r="AA3096" i="26"/>
  <c r="AB3096" i="26" s="1"/>
  <c r="AA3097" i="26"/>
  <c r="AB3097" i="26" s="1"/>
  <c r="AA3098" i="26"/>
  <c r="AA3099" i="26"/>
  <c r="AB3099" i="26" s="1"/>
  <c r="AA3100" i="26"/>
  <c r="AB3100" i="26" s="1"/>
  <c r="AA3101" i="26"/>
  <c r="AB3101" i="26" s="1"/>
  <c r="AA3102" i="26"/>
  <c r="AA3103" i="26"/>
  <c r="AB3103" i="26" s="1"/>
  <c r="AA3104" i="26"/>
  <c r="AB3104" i="26" s="1"/>
  <c r="AA3105" i="26"/>
  <c r="AB3105" i="26" s="1"/>
  <c r="AA3106" i="26"/>
  <c r="AA3107" i="26"/>
  <c r="AB3107" i="26" s="1"/>
  <c r="AA3108" i="26"/>
  <c r="AB3108" i="26" s="1"/>
  <c r="AA3109" i="26"/>
  <c r="AB3109" i="26" s="1"/>
  <c r="AA3110" i="26"/>
  <c r="AA3111" i="26"/>
  <c r="AB3111" i="26" s="1"/>
  <c r="AA3112" i="26"/>
  <c r="AB3112" i="26" s="1"/>
  <c r="AA3113" i="26"/>
  <c r="AB3113" i="26" s="1"/>
  <c r="AA3114" i="26"/>
  <c r="AA3115" i="26"/>
  <c r="AB3115" i="26" s="1"/>
  <c r="AA3116" i="26"/>
  <c r="AB3116" i="26" s="1"/>
  <c r="AA3117" i="26"/>
  <c r="AB3117" i="26" s="1"/>
  <c r="AA3118" i="26"/>
  <c r="AA3119" i="26"/>
  <c r="AB3119" i="26" s="1"/>
  <c r="AA3120" i="26"/>
  <c r="AB3120" i="26" s="1"/>
  <c r="AA3121" i="26"/>
  <c r="AB3121" i="26" s="1"/>
  <c r="AA3122" i="26"/>
  <c r="AA3123" i="26"/>
  <c r="AB3123" i="26" s="1"/>
  <c r="AA3124" i="26"/>
  <c r="AB3124" i="26" s="1"/>
  <c r="AA3125" i="26"/>
  <c r="AB3125" i="26" s="1"/>
  <c r="AA3126" i="26"/>
  <c r="AA3127" i="26"/>
  <c r="AB3127" i="26" s="1"/>
  <c r="AA3128" i="26"/>
  <c r="AB3128" i="26" s="1"/>
  <c r="AA3129" i="26"/>
  <c r="AB3129" i="26" s="1"/>
  <c r="AA3130" i="26"/>
  <c r="AA3131" i="26"/>
  <c r="AB3131" i="26" s="1"/>
  <c r="AA3132" i="26"/>
  <c r="AB3132" i="26" s="1"/>
  <c r="AA3133" i="26"/>
  <c r="AB3133" i="26" s="1"/>
  <c r="AA3134" i="26"/>
  <c r="AA3135" i="26"/>
  <c r="AB3135" i="26" s="1"/>
  <c r="AA3136" i="26"/>
  <c r="AB3136" i="26" s="1"/>
  <c r="AA3137" i="26"/>
  <c r="AB3137" i="26" s="1"/>
  <c r="AA3138" i="26"/>
  <c r="AA3139" i="26"/>
  <c r="AB3139" i="26" s="1"/>
  <c r="AA3140" i="26"/>
  <c r="AB3140" i="26" s="1"/>
  <c r="AA3141" i="26"/>
  <c r="AB3141" i="26" s="1"/>
  <c r="AA3142" i="26"/>
  <c r="AA3143" i="26"/>
  <c r="AB3143" i="26" s="1"/>
  <c r="AA3144" i="26"/>
  <c r="AB3144" i="26" s="1"/>
  <c r="AA3145" i="26"/>
  <c r="AB3145" i="26" s="1"/>
  <c r="AA3146" i="26"/>
  <c r="AA3147" i="26"/>
  <c r="AB3147" i="26" s="1"/>
  <c r="AA3148" i="26"/>
  <c r="AB3148" i="26" s="1"/>
  <c r="AA3149" i="26"/>
  <c r="AB3149" i="26" s="1"/>
  <c r="AA3150" i="26"/>
  <c r="AA3151" i="26"/>
  <c r="AB3151" i="26" s="1"/>
  <c r="AA3152" i="26"/>
  <c r="AB3152" i="26" s="1"/>
  <c r="AA3153" i="26"/>
  <c r="AB3153" i="26" s="1"/>
  <c r="AA3154" i="26"/>
  <c r="AA3155" i="26"/>
  <c r="AB3155" i="26" s="1"/>
  <c r="AA3156" i="26"/>
  <c r="AB3156" i="26" s="1"/>
  <c r="AA3157" i="26"/>
  <c r="AB3157" i="26" s="1"/>
  <c r="AA3158" i="26"/>
  <c r="AA3159" i="26"/>
  <c r="AB3159" i="26" s="1"/>
  <c r="AA3160" i="26"/>
  <c r="AB3160" i="26" s="1"/>
  <c r="AA3161" i="26"/>
  <c r="AB3161" i="26" s="1"/>
  <c r="AA3162" i="26"/>
  <c r="AA3163" i="26"/>
  <c r="AB3163" i="26" s="1"/>
  <c r="AA3164" i="26"/>
  <c r="AB3164" i="26" s="1"/>
  <c r="AA3165" i="26"/>
  <c r="AB3165" i="26" s="1"/>
  <c r="AA3166" i="26"/>
  <c r="AA3167" i="26"/>
  <c r="AB3167" i="26" s="1"/>
  <c r="AA3168" i="26"/>
  <c r="AB3168" i="26" s="1"/>
  <c r="AA3169" i="26"/>
  <c r="AB3169" i="26" s="1"/>
  <c r="AA3170" i="26"/>
  <c r="AA3171" i="26"/>
  <c r="AB3171" i="26" s="1"/>
  <c r="AA3172" i="26"/>
  <c r="AB3172" i="26" s="1"/>
  <c r="AA3173" i="26"/>
  <c r="AB3173" i="26" s="1"/>
  <c r="AA3174" i="26"/>
  <c r="AA3175" i="26"/>
  <c r="AB3175" i="26" s="1"/>
  <c r="AA3176" i="26"/>
  <c r="AB3176" i="26" s="1"/>
  <c r="AA3177" i="26"/>
  <c r="AB3177" i="26" s="1"/>
  <c r="AA3178" i="26"/>
  <c r="AA3179" i="26"/>
  <c r="AB3179" i="26" s="1"/>
  <c r="AA3180" i="26"/>
  <c r="AB3180" i="26" s="1"/>
  <c r="AA3181" i="26"/>
  <c r="AB3181" i="26" s="1"/>
  <c r="AA3182" i="26"/>
  <c r="AA3183" i="26"/>
  <c r="AB3183" i="26" s="1"/>
  <c r="AA3184" i="26"/>
  <c r="AB3184" i="26" s="1"/>
  <c r="AA3185" i="26"/>
  <c r="AB3185" i="26" s="1"/>
  <c r="AA3186" i="26"/>
  <c r="AA3187" i="26"/>
  <c r="AB3187" i="26" s="1"/>
  <c r="AA3188" i="26"/>
  <c r="AB3188" i="26" s="1"/>
  <c r="AA3189" i="26"/>
  <c r="AB3189" i="26" s="1"/>
  <c r="AA3190" i="26"/>
  <c r="AA3191" i="26"/>
  <c r="AB3191" i="26" s="1"/>
  <c r="AA3192" i="26"/>
  <c r="AB3192" i="26" s="1"/>
  <c r="AA3193" i="26"/>
  <c r="AB3193" i="26" s="1"/>
  <c r="AA3194" i="26"/>
  <c r="AA3195" i="26"/>
  <c r="AB3195" i="26" s="1"/>
  <c r="AA3196" i="26"/>
  <c r="AB3196" i="26" s="1"/>
  <c r="AA3197" i="26"/>
  <c r="AB3197" i="26" s="1"/>
  <c r="AA3198" i="26"/>
  <c r="AA3199" i="26"/>
  <c r="AB3199" i="26" s="1"/>
  <c r="AA3200" i="26"/>
  <c r="AB3200" i="26" s="1"/>
  <c r="AA3201" i="26"/>
  <c r="AB3201" i="26" s="1"/>
  <c r="AA3202" i="26"/>
  <c r="AA3203" i="26"/>
  <c r="AB3203" i="26" s="1"/>
  <c r="AA3204" i="26"/>
  <c r="AB3204" i="26" s="1"/>
  <c r="AA3205" i="26"/>
  <c r="AB3205" i="26" s="1"/>
  <c r="AA3206" i="26"/>
  <c r="AA3207" i="26"/>
  <c r="AB3207" i="26" s="1"/>
  <c r="AA3208" i="26"/>
  <c r="AB3208" i="26" s="1"/>
  <c r="AA3209" i="26"/>
  <c r="AB3209" i="26" s="1"/>
  <c r="AA3210" i="26"/>
  <c r="AA3211" i="26"/>
  <c r="AB3211" i="26" s="1"/>
  <c r="AA3212" i="26"/>
  <c r="AB3212" i="26" s="1"/>
  <c r="AA3213" i="26"/>
  <c r="AB3213" i="26" s="1"/>
  <c r="AA3214" i="26"/>
  <c r="AA3215" i="26"/>
  <c r="AB3215" i="26" s="1"/>
  <c r="AA3216" i="26"/>
  <c r="AB3216" i="26" s="1"/>
  <c r="AA3217" i="26"/>
  <c r="AB3217" i="26" s="1"/>
  <c r="AA3218" i="26"/>
  <c r="AA3219" i="26"/>
  <c r="AB3219" i="26" s="1"/>
  <c r="AA3220" i="26"/>
  <c r="AB3220" i="26" s="1"/>
  <c r="AA3221" i="26"/>
  <c r="AB3221" i="26" s="1"/>
  <c r="AA3222" i="26"/>
  <c r="AA3223" i="26"/>
  <c r="AB3223" i="26" s="1"/>
  <c r="AA3224" i="26"/>
  <c r="AB3224" i="26" s="1"/>
  <c r="AA3225" i="26"/>
  <c r="AB3225" i="26" s="1"/>
  <c r="AA3226" i="26"/>
  <c r="AA3227" i="26"/>
  <c r="AB3227" i="26" s="1"/>
  <c r="AA3228" i="26"/>
  <c r="AB3228" i="26" s="1"/>
  <c r="AA3229" i="26"/>
  <c r="AB3229" i="26" s="1"/>
  <c r="AA3230" i="26"/>
  <c r="AA3231" i="26"/>
  <c r="AB3231" i="26" s="1"/>
  <c r="AA3232" i="26"/>
  <c r="AB3232" i="26" s="1"/>
  <c r="AA3233" i="26"/>
  <c r="AB3233" i="26" s="1"/>
  <c r="AA3234" i="26"/>
  <c r="AA3235" i="26"/>
  <c r="AB3235" i="26" s="1"/>
  <c r="AA3236" i="26"/>
  <c r="AB3236" i="26" s="1"/>
  <c r="AA3237" i="26"/>
  <c r="AB3237" i="26" s="1"/>
  <c r="AA3238" i="26"/>
  <c r="AA3239" i="26"/>
  <c r="AB3239" i="26" s="1"/>
  <c r="AA3240" i="26"/>
  <c r="AB3240" i="26" s="1"/>
  <c r="AA3241" i="26"/>
  <c r="AB3241" i="26" s="1"/>
  <c r="AA3242" i="26"/>
  <c r="AA3243" i="26"/>
  <c r="AB3243" i="26" s="1"/>
  <c r="AA3244" i="26"/>
  <c r="AB3244" i="26" s="1"/>
  <c r="AA3245" i="26"/>
  <c r="AB3245" i="26" s="1"/>
  <c r="AA3246" i="26"/>
  <c r="AA3247" i="26"/>
  <c r="AB3247" i="26" s="1"/>
  <c r="AA3248" i="26"/>
  <c r="AB3248" i="26" s="1"/>
  <c r="AA3249" i="26"/>
  <c r="AB3249" i="26" s="1"/>
  <c r="AA3250" i="26"/>
  <c r="AA3251" i="26"/>
  <c r="AB3251" i="26" s="1"/>
  <c r="AA3252" i="26"/>
  <c r="AB3252" i="26" s="1"/>
  <c r="AA3253" i="26"/>
  <c r="AB3253" i="26" s="1"/>
  <c r="AA3254" i="26"/>
  <c r="AA3255" i="26"/>
  <c r="AB3255" i="26" s="1"/>
  <c r="AA3256" i="26"/>
  <c r="AB3256" i="26" s="1"/>
  <c r="AA3257" i="26"/>
  <c r="AB3257" i="26" s="1"/>
  <c r="AA3258" i="26"/>
  <c r="AA3259" i="26"/>
  <c r="AB3259" i="26" s="1"/>
  <c r="AA3260" i="26"/>
  <c r="AB3260" i="26" s="1"/>
  <c r="AA3261" i="26"/>
  <c r="AB3261" i="26" s="1"/>
  <c r="AA3262" i="26"/>
  <c r="AA3263" i="26"/>
  <c r="AB3263" i="26" s="1"/>
  <c r="AA3264" i="26"/>
  <c r="AB3264" i="26" s="1"/>
  <c r="AA3265" i="26"/>
  <c r="AB3265" i="26" s="1"/>
  <c r="AA3266" i="26"/>
  <c r="AA3267" i="26"/>
  <c r="AB3267" i="26" s="1"/>
  <c r="AA3268" i="26"/>
  <c r="AB3268" i="26" s="1"/>
  <c r="AA3269" i="26"/>
  <c r="AB3269" i="26" s="1"/>
  <c r="AA3270" i="26"/>
  <c r="AA3271" i="26"/>
  <c r="AB3271" i="26" s="1"/>
  <c r="AA3272" i="26"/>
  <c r="AB3272" i="26" s="1"/>
  <c r="AA3273" i="26"/>
  <c r="AB3273" i="26" s="1"/>
  <c r="AA3274" i="26"/>
  <c r="AA3275" i="26"/>
  <c r="AB3275" i="26" s="1"/>
  <c r="AA3276" i="26"/>
  <c r="AB3276" i="26" s="1"/>
  <c r="AA3277" i="26"/>
  <c r="AB3277" i="26" s="1"/>
  <c r="AA3278" i="26"/>
  <c r="AA3279" i="26"/>
  <c r="AB3279" i="26" s="1"/>
  <c r="AA3280" i="26"/>
  <c r="AB3280" i="26" s="1"/>
  <c r="AA3281" i="26"/>
  <c r="AB3281" i="26" s="1"/>
  <c r="AA3282" i="26"/>
  <c r="AA3283" i="26"/>
  <c r="AB3283" i="26" s="1"/>
  <c r="AA3284" i="26"/>
  <c r="AB3284" i="26" s="1"/>
  <c r="AA3285" i="26"/>
  <c r="AB3285" i="26" s="1"/>
  <c r="AA3286" i="26"/>
  <c r="AA3287" i="26"/>
  <c r="AB3287" i="26" s="1"/>
  <c r="AA3288" i="26"/>
  <c r="AB3288" i="26" s="1"/>
  <c r="AA3289" i="26"/>
  <c r="AB3289" i="26" s="1"/>
  <c r="AA3290" i="26"/>
  <c r="AA3291" i="26"/>
  <c r="AB3291" i="26" s="1"/>
  <c r="AA3292" i="26"/>
  <c r="AB3292" i="26" s="1"/>
  <c r="AA3293" i="26"/>
  <c r="AB3293" i="26" s="1"/>
  <c r="AA3294" i="26"/>
  <c r="AA3295" i="26"/>
  <c r="AB3295" i="26" s="1"/>
  <c r="AA3296" i="26"/>
  <c r="AB3296" i="26" s="1"/>
  <c r="AA3297" i="26"/>
  <c r="AB3297" i="26" s="1"/>
  <c r="AA3298" i="26"/>
  <c r="AA3299" i="26"/>
  <c r="AB3299" i="26" s="1"/>
  <c r="AA3300" i="26"/>
  <c r="AB3300" i="26" s="1"/>
  <c r="AA3301" i="26"/>
  <c r="AB3301" i="26" s="1"/>
  <c r="AA3302" i="26"/>
  <c r="AA3303" i="26"/>
  <c r="AB3303" i="26" s="1"/>
  <c r="AA3304" i="26"/>
  <c r="AB3304" i="26" s="1"/>
  <c r="AA3305" i="26"/>
  <c r="AB3305" i="26" s="1"/>
  <c r="AA3306" i="26"/>
  <c r="AA3307" i="26"/>
  <c r="AB3307" i="26" s="1"/>
  <c r="AA3308" i="26"/>
  <c r="AB3308" i="26" s="1"/>
  <c r="AA3309" i="26"/>
  <c r="AB3309" i="26" s="1"/>
  <c r="AA3310" i="26"/>
  <c r="AA3311" i="26"/>
  <c r="AB3311" i="26" s="1"/>
  <c r="AA3312" i="26"/>
  <c r="AB3312" i="26" s="1"/>
  <c r="AA3313" i="26"/>
  <c r="AB3313" i="26" s="1"/>
  <c r="AA3314" i="26"/>
  <c r="AA3315" i="26"/>
  <c r="AB3315" i="26" s="1"/>
  <c r="AA3316" i="26"/>
  <c r="AB3316" i="26" s="1"/>
  <c r="AA3317" i="26"/>
  <c r="AB3317" i="26" s="1"/>
  <c r="AA3318" i="26"/>
  <c r="AA3319" i="26"/>
  <c r="AB3319" i="26" s="1"/>
  <c r="AA3320" i="26"/>
  <c r="AB3320" i="26" s="1"/>
  <c r="AA3321" i="26"/>
  <c r="AB3321" i="26" s="1"/>
  <c r="AA3322" i="26"/>
  <c r="AA3323" i="26"/>
  <c r="AB3323" i="26" s="1"/>
  <c r="AA3324" i="26"/>
  <c r="AB3324" i="26" s="1"/>
  <c r="AA3325" i="26"/>
  <c r="AB3325" i="26" s="1"/>
  <c r="AA3326" i="26"/>
  <c r="AA3327" i="26"/>
  <c r="AB3327" i="26" s="1"/>
  <c r="AA3328" i="26"/>
  <c r="AB3328" i="26" s="1"/>
  <c r="AA3329" i="26"/>
  <c r="AB3329" i="26" s="1"/>
  <c r="AA3330" i="26"/>
  <c r="AA3331" i="26"/>
  <c r="AB3331" i="26" s="1"/>
  <c r="AA3332" i="26"/>
  <c r="AB3332" i="26" s="1"/>
  <c r="AA3333" i="26"/>
  <c r="AB3333" i="26" s="1"/>
  <c r="AA3334" i="26"/>
  <c r="AA3335" i="26"/>
  <c r="AB3335" i="26" s="1"/>
  <c r="AA3336" i="26"/>
  <c r="AB3336" i="26" s="1"/>
  <c r="AA3337" i="26"/>
  <c r="AB3337" i="26" s="1"/>
  <c r="AA3338" i="26"/>
  <c r="AA3339" i="26"/>
  <c r="AB3339" i="26" s="1"/>
  <c r="AA3340" i="26"/>
  <c r="AB3340" i="26" s="1"/>
  <c r="AA3341" i="26"/>
  <c r="AB3341" i="26" s="1"/>
  <c r="AA3342" i="26"/>
  <c r="AA3343" i="26"/>
  <c r="AB3343" i="26" s="1"/>
  <c r="AA3344" i="26"/>
  <c r="AB3344" i="26" s="1"/>
  <c r="AA3345" i="26"/>
  <c r="AB3345" i="26" s="1"/>
  <c r="AA3346" i="26"/>
  <c r="AA3347" i="26"/>
  <c r="AB3347" i="26" s="1"/>
  <c r="AA3348" i="26"/>
  <c r="AB3348" i="26" s="1"/>
  <c r="AA3349" i="26"/>
  <c r="AB3349" i="26" s="1"/>
  <c r="AA3350" i="26"/>
  <c r="AA3351" i="26"/>
  <c r="AB3351" i="26" s="1"/>
  <c r="AA3352" i="26"/>
  <c r="AB3352" i="26" s="1"/>
  <c r="AA3353" i="26"/>
  <c r="AB3353" i="26" s="1"/>
  <c r="AA3354" i="26"/>
  <c r="AA3355" i="26"/>
  <c r="AB3355" i="26" s="1"/>
  <c r="AA3356" i="26"/>
  <c r="AB3356" i="26" s="1"/>
  <c r="AA3357" i="26"/>
  <c r="AB3357" i="26" s="1"/>
  <c r="AA3358" i="26"/>
  <c r="AA3359" i="26"/>
  <c r="AB3359" i="26" s="1"/>
  <c r="AA3360" i="26"/>
  <c r="AB3360" i="26" s="1"/>
  <c r="AA3361" i="26"/>
  <c r="AB3361" i="26" s="1"/>
  <c r="AA3362" i="26"/>
  <c r="AA3363" i="26"/>
  <c r="AB3363" i="26" s="1"/>
  <c r="AA3364" i="26"/>
  <c r="AB3364" i="26" s="1"/>
  <c r="AA3365" i="26"/>
  <c r="AB3365" i="26" s="1"/>
  <c r="AA3366" i="26"/>
  <c r="AA3367" i="26"/>
  <c r="AB3367" i="26" s="1"/>
  <c r="AA3368" i="26"/>
  <c r="AB3368" i="26" s="1"/>
  <c r="AA3369" i="26"/>
  <c r="AB3369" i="26" s="1"/>
  <c r="AA3370" i="26"/>
  <c r="AA3371" i="26"/>
  <c r="AB3371" i="26" s="1"/>
  <c r="AA3372" i="26"/>
  <c r="AB3372" i="26" s="1"/>
  <c r="AA3373" i="26"/>
  <c r="AB3373" i="26" s="1"/>
  <c r="AA3374" i="26"/>
  <c r="AA3375" i="26"/>
  <c r="AB3375" i="26" s="1"/>
  <c r="AA3376" i="26"/>
  <c r="AB3376" i="26" s="1"/>
  <c r="AA3377" i="26"/>
  <c r="AB3377" i="26" s="1"/>
  <c r="AA3378" i="26"/>
  <c r="AA3379" i="26"/>
  <c r="AB3379" i="26" s="1"/>
  <c r="AA3380" i="26"/>
  <c r="AB3380" i="26" s="1"/>
  <c r="AA3381" i="26"/>
  <c r="AB3381" i="26" s="1"/>
  <c r="AA3382" i="26"/>
  <c r="AA3383" i="26"/>
  <c r="AB3383" i="26" s="1"/>
  <c r="AA3384" i="26"/>
  <c r="AB3384" i="26" s="1"/>
  <c r="AA3385" i="26"/>
  <c r="AB3385" i="26" s="1"/>
  <c r="AA3386" i="26"/>
  <c r="AA3387" i="26"/>
  <c r="AB3387" i="26" s="1"/>
  <c r="AA3388" i="26"/>
  <c r="AB3388" i="26" s="1"/>
  <c r="AA3389" i="26"/>
  <c r="AB3389" i="26" s="1"/>
  <c r="AA3390" i="26"/>
  <c r="AA3391" i="26"/>
  <c r="AB3391" i="26" s="1"/>
  <c r="AA3392" i="26"/>
  <c r="AB3392" i="26" s="1"/>
  <c r="AA3393" i="26"/>
  <c r="AB3393" i="26" s="1"/>
  <c r="AA3394" i="26"/>
  <c r="AA3395" i="26"/>
  <c r="AB3395" i="26" s="1"/>
  <c r="AA3396" i="26"/>
  <c r="AB3396" i="26" s="1"/>
  <c r="AA3397" i="26"/>
  <c r="AB3397" i="26" s="1"/>
  <c r="AA3398" i="26"/>
  <c r="AA3399" i="26"/>
  <c r="AB3399" i="26" s="1"/>
  <c r="AA3400" i="26"/>
  <c r="AB3400" i="26" s="1"/>
  <c r="AA3401" i="26"/>
  <c r="AB3401" i="26" s="1"/>
  <c r="AA3402" i="26"/>
  <c r="AA3403" i="26"/>
  <c r="AB3403" i="26" s="1"/>
  <c r="AA3404" i="26"/>
  <c r="AB3404" i="26" s="1"/>
  <c r="AA3405" i="26"/>
  <c r="AB3405" i="26" s="1"/>
  <c r="AA3406" i="26"/>
  <c r="AA3407" i="26"/>
  <c r="AB3407" i="26" s="1"/>
  <c r="AA3408" i="26"/>
  <c r="AB3408" i="26" s="1"/>
  <c r="AA3409" i="26"/>
  <c r="AB3409" i="26" s="1"/>
  <c r="AA3410" i="26"/>
  <c r="AA3411" i="26"/>
  <c r="AB3411" i="26" s="1"/>
  <c r="AA3412" i="26"/>
  <c r="AB3412" i="26" s="1"/>
  <c r="AA3413" i="26"/>
  <c r="AB3413" i="26" s="1"/>
  <c r="AA3414" i="26"/>
  <c r="AA3415" i="26"/>
  <c r="AB3415" i="26" s="1"/>
  <c r="AA3416" i="26"/>
  <c r="AB3416" i="26" s="1"/>
  <c r="AA3417" i="26"/>
  <c r="AB3417" i="26" s="1"/>
  <c r="AA3418" i="26"/>
  <c r="AA3419" i="26"/>
  <c r="AB3419" i="26" s="1"/>
  <c r="AA3420" i="26"/>
  <c r="AB3420" i="26" s="1"/>
  <c r="AA3421" i="26"/>
  <c r="AB3421" i="26" s="1"/>
  <c r="AA3422" i="26"/>
  <c r="AA3423" i="26"/>
  <c r="AB3423" i="26" s="1"/>
  <c r="AA3424" i="26"/>
  <c r="AB3424" i="26" s="1"/>
  <c r="AA3425" i="26"/>
  <c r="AB3425" i="26" s="1"/>
  <c r="AA3426" i="26"/>
  <c r="AA3427" i="26"/>
  <c r="AB3427" i="26" s="1"/>
  <c r="AA3428" i="26"/>
  <c r="AB3428" i="26" s="1"/>
  <c r="AA3429" i="26"/>
  <c r="AB3429" i="26" s="1"/>
  <c r="AA3430" i="26"/>
  <c r="AA3431" i="26"/>
  <c r="AB3431" i="26" s="1"/>
  <c r="AA3432" i="26"/>
  <c r="AB3432" i="26" s="1"/>
  <c r="AA3433" i="26"/>
  <c r="AB3433" i="26" s="1"/>
  <c r="AA3434" i="26"/>
  <c r="AA3435" i="26"/>
  <c r="AB3435" i="26" s="1"/>
  <c r="AA3436" i="26"/>
  <c r="AB3436" i="26" s="1"/>
  <c r="AA3437" i="26"/>
  <c r="AB3437" i="26" s="1"/>
  <c r="AA3438" i="26"/>
  <c r="AA3439" i="26"/>
  <c r="AB3439" i="26" s="1"/>
  <c r="AA3440" i="26"/>
  <c r="AB3440" i="26" s="1"/>
  <c r="AA3441" i="26"/>
  <c r="AB3441" i="26" s="1"/>
  <c r="AA3442" i="26"/>
  <c r="AA3443" i="26"/>
  <c r="AB3443" i="26" s="1"/>
  <c r="AA3444" i="26"/>
  <c r="AB3444" i="26" s="1"/>
  <c r="AA3445" i="26"/>
  <c r="AB3445" i="26" s="1"/>
  <c r="AA3446" i="26"/>
  <c r="AA3447" i="26"/>
  <c r="AB3447" i="26" s="1"/>
  <c r="AA3448" i="26"/>
  <c r="AB3448" i="26" s="1"/>
  <c r="AA3449" i="26"/>
  <c r="AB3449" i="26" s="1"/>
  <c r="AA3450" i="26"/>
  <c r="AA3451" i="26"/>
  <c r="AB3451" i="26" s="1"/>
  <c r="AA3452" i="26"/>
  <c r="AB3452" i="26" s="1"/>
  <c r="AA3453" i="26"/>
  <c r="AB3453" i="26" s="1"/>
  <c r="AA3454" i="26"/>
  <c r="AA3455" i="26"/>
  <c r="AB3455" i="26" s="1"/>
  <c r="AA3456" i="26"/>
  <c r="AB3456" i="26" s="1"/>
  <c r="AA3457" i="26"/>
  <c r="AB3457" i="26" s="1"/>
  <c r="AA3458" i="26"/>
  <c r="AA3459" i="26"/>
  <c r="AB3459" i="26" s="1"/>
  <c r="AA3460" i="26"/>
  <c r="AB3460" i="26" s="1"/>
  <c r="AA3461" i="26"/>
  <c r="AB3461" i="26" s="1"/>
  <c r="AA3462" i="26"/>
  <c r="AA3463" i="26"/>
  <c r="AB3463" i="26" s="1"/>
  <c r="AA3464" i="26"/>
  <c r="AB3464" i="26" s="1"/>
  <c r="AA3465" i="26"/>
  <c r="AB3465" i="26" s="1"/>
  <c r="AA3466" i="26"/>
  <c r="AA3467" i="26"/>
  <c r="AB3467" i="26" s="1"/>
  <c r="AA3468" i="26"/>
  <c r="AB3468" i="26" s="1"/>
  <c r="AA3469" i="26"/>
  <c r="AB3469" i="26" s="1"/>
  <c r="AA3470" i="26"/>
  <c r="AA3471" i="26"/>
  <c r="AB3471" i="26" s="1"/>
  <c r="AA3472" i="26"/>
  <c r="AB3472" i="26" s="1"/>
  <c r="AA3473" i="26"/>
  <c r="AB3473" i="26" s="1"/>
  <c r="AA3474" i="26"/>
  <c r="AA3475" i="26"/>
  <c r="AB3475" i="26" s="1"/>
  <c r="AA3476" i="26"/>
  <c r="AB3476" i="26" s="1"/>
  <c r="AA3477" i="26"/>
  <c r="AB3477" i="26" s="1"/>
  <c r="AA3478" i="26"/>
  <c r="AA3479" i="26"/>
  <c r="AB3479" i="26" s="1"/>
  <c r="AA3480" i="26"/>
  <c r="AB3480" i="26" s="1"/>
  <c r="AA3481" i="26"/>
  <c r="AB3481" i="26" s="1"/>
  <c r="AA3482" i="26"/>
  <c r="AA3483" i="26"/>
  <c r="AB3483" i="26" s="1"/>
  <c r="AA3484" i="26"/>
  <c r="AB3484" i="26" s="1"/>
  <c r="AA3485" i="26"/>
  <c r="AB3485" i="26" s="1"/>
  <c r="AA3486" i="26"/>
  <c r="AA3487" i="26"/>
  <c r="AB3487" i="26" s="1"/>
  <c r="AA3488" i="26"/>
  <c r="AB3488" i="26" s="1"/>
  <c r="AA3489" i="26"/>
  <c r="AB3489" i="26" s="1"/>
  <c r="AA3490" i="26"/>
  <c r="AA3491" i="26"/>
  <c r="AB3491" i="26" s="1"/>
  <c r="AA3492" i="26"/>
  <c r="AB3492" i="26" s="1"/>
  <c r="AA3493" i="26"/>
  <c r="AB3493" i="26" s="1"/>
  <c r="AA3494" i="26"/>
  <c r="AA3495" i="26"/>
  <c r="AB3495" i="26" s="1"/>
  <c r="AA3496" i="26"/>
  <c r="AB3496" i="26" s="1"/>
  <c r="AA3497" i="26"/>
  <c r="AB3497" i="26" s="1"/>
  <c r="AA3498" i="26"/>
  <c r="AA3499" i="26"/>
  <c r="AB3499" i="26" s="1"/>
  <c r="AA3500" i="26"/>
  <c r="AB3500" i="26" s="1"/>
  <c r="AA3501" i="26"/>
  <c r="AB3501" i="26" s="1"/>
  <c r="AA3502" i="26"/>
  <c r="AA3503" i="26"/>
  <c r="AB3503" i="26" s="1"/>
  <c r="AA3504" i="26"/>
  <c r="AB3504" i="26" s="1"/>
  <c r="AA3505" i="26"/>
  <c r="AB3505" i="26" s="1"/>
  <c r="AA3506" i="26"/>
  <c r="AA3507" i="26"/>
  <c r="AB3507" i="26" s="1"/>
  <c r="AA3508" i="26"/>
  <c r="AB3508" i="26" s="1"/>
  <c r="AA3509" i="26"/>
  <c r="AB3509" i="26" s="1"/>
  <c r="AA3510" i="26"/>
  <c r="AA3511" i="26"/>
  <c r="AB3511" i="26" s="1"/>
  <c r="AA3512" i="26"/>
  <c r="AB3512" i="26" s="1"/>
  <c r="AA3513" i="26"/>
  <c r="AB3513" i="26" s="1"/>
  <c r="AA3514" i="26"/>
  <c r="AA3515" i="26"/>
  <c r="AB3515" i="26" s="1"/>
  <c r="AA3516" i="26"/>
  <c r="AB3516" i="26" s="1"/>
  <c r="AA3517" i="26"/>
  <c r="AB3517" i="26" s="1"/>
  <c r="AA3518" i="26"/>
  <c r="AA3519" i="26"/>
  <c r="AB3519" i="26" s="1"/>
  <c r="AA3520" i="26"/>
  <c r="AB3520" i="26" s="1"/>
  <c r="AA3521" i="26"/>
  <c r="AB3521" i="26" s="1"/>
  <c r="AA3522" i="26"/>
  <c r="AA3523" i="26"/>
  <c r="AB3523" i="26" s="1"/>
  <c r="AA3524" i="26"/>
  <c r="AB3524" i="26" s="1"/>
  <c r="AA3525" i="26"/>
  <c r="AB3525" i="26" s="1"/>
  <c r="AA3526" i="26"/>
  <c r="AA3527" i="26"/>
  <c r="AB3527" i="26" s="1"/>
  <c r="AA3528" i="26"/>
  <c r="AB3528" i="26" s="1"/>
  <c r="AA3529" i="26"/>
  <c r="AB3529" i="26" s="1"/>
  <c r="AA3530" i="26"/>
  <c r="AA3531" i="26"/>
  <c r="AB3531" i="26" s="1"/>
  <c r="AA3532" i="26"/>
  <c r="AB3532" i="26" s="1"/>
  <c r="AA3533" i="26"/>
  <c r="AB3533" i="26" s="1"/>
  <c r="AA3534" i="26"/>
  <c r="AA3535" i="26"/>
  <c r="AB3535" i="26" s="1"/>
  <c r="AA3536" i="26"/>
  <c r="AB3536" i="26" s="1"/>
  <c r="AA3537" i="26"/>
  <c r="AB3537" i="26" s="1"/>
  <c r="AA3538" i="26"/>
  <c r="AA3539" i="26"/>
  <c r="AB3539" i="26" s="1"/>
  <c r="AA3540" i="26"/>
  <c r="AB3540" i="26" s="1"/>
  <c r="AA3541" i="26"/>
  <c r="AB3541" i="26" s="1"/>
  <c r="AA3542" i="26"/>
  <c r="AA3543" i="26"/>
  <c r="AB3543" i="26" s="1"/>
  <c r="AA3544" i="26"/>
  <c r="AB3544" i="26" s="1"/>
  <c r="AA3545" i="26"/>
  <c r="AB3545" i="26" s="1"/>
  <c r="AA3546" i="26"/>
  <c r="AA3547" i="26"/>
  <c r="AB3547" i="26" s="1"/>
  <c r="AA3548" i="26"/>
  <c r="AB3548" i="26" s="1"/>
  <c r="AA3549" i="26"/>
  <c r="AB3549" i="26" s="1"/>
  <c r="AA3550" i="26"/>
  <c r="AA3551" i="26"/>
  <c r="AB3551" i="26" s="1"/>
  <c r="AA3552" i="26"/>
  <c r="AB3552" i="26" s="1"/>
  <c r="AA3553" i="26"/>
  <c r="AB3553" i="26" s="1"/>
  <c r="AA3554" i="26"/>
  <c r="AA3555" i="26"/>
  <c r="AB3555" i="26" s="1"/>
  <c r="AA3556" i="26"/>
  <c r="AB3556" i="26" s="1"/>
  <c r="AA3557" i="26"/>
  <c r="AB3557" i="26" s="1"/>
  <c r="AA3558" i="26"/>
  <c r="AA3559" i="26"/>
  <c r="AB3559" i="26" s="1"/>
  <c r="AA3560" i="26"/>
  <c r="AB3560" i="26" s="1"/>
  <c r="AA3561" i="26"/>
  <c r="AB3561" i="26" s="1"/>
  <c r="AA3562" i="26"/>
  <c r="AA3563" i="26"/>
  <c r="AB3563" i="26" s="1"/>
  <c r="AA3564" i="26"/>
  <c r="AB3564" i="26" s="1"/>
  <c r="AA3565" i="26"/>
  <c r="AB3565" i="26" s="1"/>
  <c r="AA3566" i="26"/>
  <c r="AA3567" i="26"/>
  <c r="AB3567" i="26" s="1"/>
  <c r="AA3568" i="26"/>
  <c r="AB3568" i="26" s="1"/>
  <c r="AA3569" i="26"/>
  <c r="AB3569" i="26" s="1"/>
  <c r="AA3570" i="26"/>
  <c r="AA3571" i="26"/>
  <c r="AB3571" i="26" s="1"/>
  <c r="AA3572" i="26"/>
  <c r="AB3572" i="26" s="1"/>
  <c r="AA3573" i="26"/>
  <c r="AB3573" i="26" s="1"/>
  <c r="AA3574" i="26"/>
  <c r="AA3575" i="26"/>
  <c r="AB3575" i="26" s="1"/>
  <c r="AA3576" i="26"/>
  <c r="AB3576" i="26" s="1"/>
  <c r="AA3577" i="26"/>
  <c r="AB3577" i="26" s="1"/>
  <c r="AA3578" i="26"/>
  <c r="AA3579" i="26"/>
  <c r="AB3579" i="26" s="1"/>
  <c r="AA3580" i="26"/>
  <c r="AB3580" i="26" s="1"/>
  <c r="AA3581" i="26"/>
  <c r="AB3581" i="26" s="1"/>
  <c r="AA3582" i="26"/>
  <c r="AA3583" i="26"/>
  <c r="AB3583" i="26" s="1"/>
  <c r="AA3584" i="26"/>
  <c r="AB3584" i="26" s="1"/>
  <c r="AA3585" i="26"/>
  <c r="AB3585" i="26" s="1"/>
  <c r="AA3586" i="26"/>
  <c r="AA3587" i="26"/>
  <c r="AB3587" i="26" s="1"/>
  <c r="AA3588" i="26"/>
  <c r="AB3588" i="26" s="1"/>
  <c r="AA3589" i="26"/>
  <c r="AB3589" i="26" s="1"/>
  <c r="AA3590" i="26"/>
  <c r="AA3591" i="26"/>
  <c r="AB3591" i="26" s="1"/>
  <c r="AA3592" i="26"/>
  <c r="AB3592" i="26" s="1"/>
  <c r="AA3593" i="26"/>
  <c r="AB3593" i="26" s="1"/>
  <c r="AA3594" i="26"/>
  <c r="AA3595" i="26"/>
  <c r="AB3595" i="26" s="1"/>
  <c r="AA3596" i="26"/>
  <c r="AB3596" i="26" s="1"/>
  <c r="AA3597" i="26"/>
  <c r="AB3597" i="26" s="1"/>
  <c r="AA3598" i="26"/>
  <c r="AA3599" i="26"/>
  <c r="AB3599" i="26" s="1"/>
  <c r="AA3600" i="26"/>
  <c r="AB3600" i="26" s="1"/>
  <c r="AA3601" i="26"/>
  <c r="AB3601" i="26" s="1"/>
  <c r="AA3602" i="26"/>
  <c r="AA3603" i="26"/>
  <c r="AB3603" i="26" s="1"/>
  <c r="AA3604" i="26"/>
  <c r="AB3604" i="26" s="1"/>
  <c r="AA3605" i="26"/>
  <c r="AB3605" i="26" s="1"/>
  <c r="AA3606" i="26"/>
  <c r="AA3607" i="26"/>
  <c r="AB3607" i="26" s="1"/>
  <c r="AA3608" i="26"/>
  <c r="AB3608" i="26" s="1"/>
  <c r="AA3609" i="26"/>
  <c r="AB3609" i="26" s="1"/>
  <c r="AA3610" i="26"/>
  <c r="AA3611" i="26"/>
  <c r="AB3611" i="26" s="1"/>
  <c r="AA3612" i="26"/>
  <c r="AB3612" i="26" s="1"/>
  <c r="AA3613" i="26"/>
  <c r="AB3613" i="26" s="1"/>
  <c r="AA3614" i="26"/>
  <c r="AA3615" i="26"/>
  <c r="AB3615" i="26" s="1"/>
  <c r="AA3616" i="26"/>
  <c r="AB3616" i="26" s="1"/>
  <c r="AA3617" i="26"/>
  <c r="AB3617" i="26" s="1"/>
  <c r="AA3618" i="26"/>
  <c r="AA3619" i="26"/>
  <c r="AB3619" i="26" s="1"/>
  <c r="AA3620" i="26"/>
  <c r="AB3620" i="26" s="1"/>
  <c r="AA3621" i="26"/>
  <c r="AB3621" i="26" s="1"/>
  <c r="AA3622" i="26"/>
  <c r="AA3623" i="26"/>
  <c r="AB3623" i="26" s="1"/>
  <c r="AA3624" i="26"/>
  <c r="AB3624" i="26" s="1"/>
  <c r="AA3625" i="26"/>
  <c r="AB3625" i="26" s="1"/>
  <c r="AA3626" i="26"/>
  <c r="AA3627" i="26"/>
  <c r="AB3627" i="26" s="1"/>
  <c r="AA3628" i="26"/>
  <c r="AB3628" i="26" s="1"/>
  <c r="AA3629" i="26"/>
  <c r="AB3629" i="26" s="1"/>
  <c r="AA3630" i="26"/>
  <c r="AA3631" i="26"/>
  <c r="AB3631" i="26" s="1"/>
  <c r="AA3632" i="26"/>
  <c r="AB3632" i="26" s="1"/>
  <c r="AA3633" i="26"/>
  <c r="AB3633" i="26" s="1"/>
  <c r="AA3634" i="26"/>
  <c r="AA3635" i="26"/>
  <c r="AB3635" i="26" s="1"/>
  <c r="AA3636" i="26"/>
  <c r="AB3636" i="26" s="1"/>
  <c r="AA3637" i="26"/>
  <c r="AB3637" i="26" s="1"/>
  <c r="AA3638" i="26"/>
  <c r="AA3639" i="26"/>
  <c r="AB3639" i="26" s="1"/>
  <c r="AA3640" i="26"/>
  <c r="AB3640" i="26" s="1"/>
  <c r="AA3641" i="26"/>
  <c r="AB3641" i="26" s="1"/>
  <c r="AA3642" i="26"/>
  <c r="AA3643" i="26"/>
  <c r="AB3643" i="26" s="1"/>
  <c r="AA3644" i="26"/>
  <c r="AB3644" i="26" s="1"/>
  <c r="AA3645" i="26"/>
  <c r="AB3645" i="26" s="1"/>
  <c r="AA3646" i="26"/>
  <c r="AA3647" i="26"/>
  <c r="AB3647" i="26" s="1"/>
  <c r="AA3648" i="26"/>
  <c r="AB3648" i="26" s="1"/>
  <c r="AA3649" i="26"/>
  <c r="AB3649" i="26" s="1"/>
  <c r="AA3650" i="26"/>
  <c r="AA3651" i="26"/>
  <c r="AB3651" i="26" s="1"/>
  <c r="AA3652" i="26"/>
  <c r="AB3652" i="26" s="1"/>
  <c r="AA3653" i="26"/>
  <c r="AB3653" i="26" s="1"/>
  <c r="AA3654" i="26"/>
  <c r="AA3655" i="26"/>
  <c r="AB3655" i="26" s="1"/>
  <c r="AA3656" i="26"/>
  <c r="AB3656" i="26" s="1"/>
  <c r="AA3657" i="26"/>
  <c r="AB3657" i="26" s="1"/>
  <c r="AA3658" i="26"/>
  <c r="AA3659" i="26"/>
  <c r="AB3659" i="26" s="1"/>
  <c r="AA3660" i="26"/>
  <c r="AB3660" i="26" s="1"/>
  <c r="AA3661" i="26"/>
  <c r="AB3661" i="26" s="1"/>
  <c r="AA3662" i="26"/>
  <c r="AA3663" i="26"/>
  <c r="AB3663" i="26" s="1"/>
  <c r="AA3664" i="26"/>
  <c r="AB3664" i="26" s="1"/>
  <c r="AA3665" i="26"/>
  <c r="AB3665" i="26" s="1"/>
  <c r="AA3666" i="26"/>
  <c r="AA3667" i="26"/>
  <c r="AB3667" i="26" s="1"/>
  <c r="AA3668" i="26"/>
  <c r="AB3668" i="26" s="1"/>
  <c r="AA3669" i="26"/>
  <c r="AB3669" i="26" s="1"/>
  <c r="AA3670" i="26"/>
  <c r="AA3671" i="26"/>
  <c r="AB3671" i="26" s="1"/>
  <c r="AA3672" i="26"/>
  <c r="AB3672" i="26" s="1"/>
  <c r="AA3673" i="26"/>
  <c r="AB3673" i="26" s="1"/>
  <c r="AA3674" i="26"/>
  <c r="AA3675" i="26"/>
  <c r="AB3675" i="26" s="1"/>
  <c r="AA3676" i="26"/>
  <c r="AB3676" i="26" s="1"/>
  <c r="AA3677" i="26"/>
  <c r="AB3677" i="26" s="1"/>
  <c r="AA3678" i="26"/>
  <c r="AA3679" i="26"/>
  <c r="AB3679" i="26" s="1"/>
  <c r="AA3680" i="26"/>
  <c r="AB3680" i="26" s="1"/>
  <c r="AA3681" i="26"/>
  <c r="AB3681" i="26" s="1"/>
  <c r="AA3682" i="26"/>
  <c r="AA3683" i="26"/>
  <c r="AB3683" i="26" s="1"/>
  <c r="AA3684" i="26"/>
  <c r="AB3684" i="26" s="1"/>
  <c r="AA3685" i="26"/>
  <c r="AB3685" i="26" s="1"/>
  <c r="AA3686" i="26"/>
  <c r="AA3687" i="26"/>
  <c r="AB3687" i="26" s="1"/>
  <c r="AA3688" i="26"/>
  <c r="AB3688" i="26" s="1"/>
  <c r="AA3689" i="26"/>
  <c r="AB3689" i="26" s="1"/>
  <c r="AA3690" i="26"/>
  <c r="AA3691" i="26"/>
  <c r="AB3691" i="26" s="1"/>
  <c r="AA3692" i="26"/>
  <c r="AB3692" i="26" s="1"/>
  <c r="AA3693" i="26"/>
  <c r="AB3693" i="26" s="1"/>
  <c r="AA3694" i="26"/>
  <c r="AA3695" i="26"/>
  <c r="AB3695" i="26" s="1"/>
  <c r="AA3696" i="26"/>
  <c r="AB3696" i="26" s="1"/>
  <c r="AA3697" i="26"/>
  <c r="AB3697" i="26" s="1"/>
  <c r="AA3698" i="26"/>
  <c r="AA3699" i="26"/>
  <c r="AB3699" i="26" s="1"/>
  <c r="AA3700" i="26"/>
  <c r="AB3700" i="26" s="1"/>
  <c r="AA3701" i="26"/>
  <c r="AB3701" i="26" s="1"/>
  <c r="AA3702" i="26"/>
  <c r="AA3703" i="26"/>
  <c r="AB3703" i="26" s="1"/>
  <c r="AA3704" i="26"/>
  <c r="AB3704" i="26" s="1"/>
  <c r="AA3705" i="26"/>
  <c r="AB3705" i="26" s="1"/>
  <c r="AA3706" i="26"/>
  <c r="AA3707" i="26"/>
  <c r="AB3707" i="26" s="1"/>
  <c r="AA3708" i="26"/>
  <c r="AB3708" i="26" s="1"/>
  <c r="AA3709" i="26"/>
  <c r="AB3709" i="26" s="1"/>
  <c r="AA3710" i="26"/>
  <c r="AA3711" i="26"/>
  <c r="AB3711" i="26" s="1"/>
  <c r="AA3712" i="26"/>
  <c r="AB3712" i="26" s="1"/>
  <c r="AA3713" i="26"/>
  <c r="AB3713" i="26" s="1"/>
  <c r="AA3714" i="26"/>
  <c r="AA3715" i="26"/>
  <c r="AB3715" i="26" s="1"/>
  <c r="AA3716" i="26"/>
  <c r="AB3716" i="26" s="1"/>
  <c r="AA3717" i="26"/>
  <c r="AB3717" i="26" s="1"/>
  <c r="AA3718" i="26"/>
  <c r="AA3719" i="26"/>
  <c r="AB3719" i="26" s="1"/>
  <c r="AA3720" i="26"/>
  <c r="AB3720" i="26" s="1"/>
  <c r="AA3721" i="26"/>
  <c r="AB3721" i="26" s="1"/>
  <c r="AA3722" i="26"/>
  <c r="AA3723" i="26"/>
  <c r="AB3723" i="26" s="1"/>
  <c r="AA3724" i="26"/>
  <c r="AB3724" i="26" s="1"/>
  <c r="AA3725" i="26"/>
  <c r="AB3725" i="26" s="1"/>
  <c r="AA3726" i="26"/>
  <c r="AA3727" i="26"/>
  <c r="AB3727" i="26" s="1"/>
  <c r="AA3728" i="26"/>
  <c r="AB3728" i="26" s="1"/>
  <c r="AA3729" i="26"/>
  <c r="AB3729" i="26" s="1"/>
  <c r="AA3730" i="26"/>
  <c r="AA3731" i="26"/>
  <c r="AB3731" i="26" s="1"/>
  <c r="AA3732" i="26"/>
  <c r="AB3732" i="26" s="1"/>
  <c r="AA3733" i="26"/>
  <c r="AB3733" i="26" s="1"/>
  <c r="AA3734" i="26"/>
  <c r="AA3735" i="26"/>
  <c r="AB3735" i="26" s="1"/>
  <c r="AA3736" i="26"/>
  <c r="AB3736" i="26" s="1"/>
  <c r="AA3737" i="26"/>
  <c r="AB3737" i="26" s="1"/>
  <c r="AA3738" i="26"/>
  <c r="AA3739" i="26"/>
  <c r="AB3739" i="26" s="1"/>
  <c r="AA3740" i="26"/>
  <c r="AB3740" i="26" s="1"/>
  <c r="AA3741" i="26"/>
  <c r="AB3741" i="26" s="1"/>
  <c r="AA3742" i="26"/>
  <c r="AA3743" i="26"/>
  <c r="AB3743" i="26" s="1"/>
  <c r="AA3744" i="26"/>
  <c r="AB3744" i="26" s="1"/>
  <c r="AA3745" i="26"/>
  <c r="AB3745" i="26" s="1"/>
  <c r="AA3746" i="26"/>
  <c r="AA3747" i="26"/>
  <c r="AB3747" i="26" s="1"/>
  <c r="AA3748" i="26"/>
  <c r="AB3748" i="26" s="1"/>
  <c r="AA3749" i="26"/>
  <c r="AB3749" i="26" s="1"/>
  <c r="AA3750" i="26"/>
  <c r="AA3751" i="26"/>
  <c r="AB3751" i="26" s="1"/>
  <c r="AA3752" i="26"/>
  <c r="AB3752" i="26" s="1"/>
  <c r="AA3753" i="26"/>
  <c r="AB3753" i="26" s="1"/>
  <c r="AA3754" i="26"/>
  <c r="AA3755" i="26"/>
  <c r="AB3755" i="26" s="1"/>
  <c r="AA3756" i="26"/>
  <c r="AB3756" i="26" s="1"/>
  <c r="AA3757" i="26"/>
  <c r="AB3757" i="26" s="1"/>
  <c r="AA3758" i="26"/>
  <c r="AA3759" i="26"/>
  <c r="AB3759" i="26" s="1"/>
  <c r="AA3760" i="26"/>
  <c r="AB3760" i="26" s="1"/>
  <c r="AA3761" i="26"/>
  <c r="AB3761" i="26" s="1"/>
  <c r="AA3762" i="26"/>
  <c r="AA3763" i="26"/>
  <c r="AB3763" i="26" s="1"/>
  <c r="AA3764" i="26"/>
  <c r="AB3764" i="26" s="1"/>
  <c r="AA3765" i="26"/>
  <c r="AB3765" i="26" s="1"/>
  <c r="AA3766" i="26"/>
  <c r="AA3767" i="26"/>
  <c r="AB3767" i="26" s="1"/>
  <c r="AA3768" i="26"/>
  <c r="AB3768" i="26" s="1"/>
  <c r="AA3769" i="26"/>
  <c r="AB3769" i="26" s="1"/>
  <c r="AA3770" i="26"/>
  <c r="AA3771" i="26"/>
  <c r="AB3771" i="26" s="1"/>
  <c r="AA3772" i="26"/>
  <c r="AB3772" i="26" s="1"/>
  <c r="AA3773" i="26"/>
  <c r="AB3773" i="26" s="1"/>
  <c r="AA3774" i="26"/>
  <c r="AA3775" i="26"/>
  <c r="AB3775" i="26" s="1"/>
  <c r="AA3776" i="26"/>
  <c r="AB3776" i="26" s="1"/>
  <c r="AA3777" i="26"/>
  <c r="AB3777" i="26" s="1"/>
  <c r="AA3778" i="26"/>
  <c r="AA3779" i="26"/>
  <c r="AB3779" i="26" s="1"/>
  <c r="AA3780" i="26"/>
  <c r="AB3780" i="26" s="1"/>
  <c r="AA3781" i="26"/>
  <c r="AB3781" i="26" s="1"/>
  <c r="AA3782" i="26"/>
  <c r="AA3783" i="26"/>
  <c r="AB3783" i="26" s="1"/>
  <c r="AA3784" i="26"/>
  <c r="AB3784" i="26" s="1"/>
  <c r="AA3785" i="26"/>
  <c r="AB3785" i="26" s="1"/>
  <c r="AA3786" i="26"/>
  <c r="AA3787" i="26"/>
  <c r="AB3787" i="26" s="1"/>
  <c r="AA3788" i="26"/>
  <c r="AB3788" i="26" s="1"/>
  <c r="AA3789" i="26"/>
  <c r="AB3789" i="26" s="1"/>
  <c r="AA3790" i="26"/>
  <c r="AA3791" i="26"/>
  <c r="AB3791" i="26" s="1"/>
  <c r="AA3792" i="26"/>
  <c r="AB3792" i="26" s="1"/>
  <c r="AA3793" i="26"/>
  <c r="AB3793" i="26" s="1"/>
  <c r="AA3794" i="26"/>
  <c r="AA3795" i="26"/>
  <c r="AB3795" i="26" s="1"/>
  <c r="AA3796" i="26"/>
  <c r="AB3796" i="26" s="1"/>
  <c r="AA3797" i="26"/>
  <c r="AB3797" i="26" s="1"/>
  <c r="AA3798" i="26"/>
  <c r="AA3799" i="26"/>
  <c r="AB3799" i="26" s="1"/>
  <c r="AA3800" i="26"/>
  <c r="AB3800" i="26" s="1"/>
  <c r="AA3801" i="26"/>
  <c r="AB3801" i="26" s="1"/>
  <c r="AA3802" i="26"/>
  <c r="AA3803" i="26"/>
  <c r="AB3803" i="26" s="1"/>
  <c r="AA3804" i="26"/>
  <c r="AB3804" i="26" s="1"/>
  <c r="AA3805" i="26"/>
  <c r="AB3805" i="26" s="1"/>
  <c r="AA3806" i="26"/>
  <c r="AA3807" i="26"/>
  <c r="AB3807" i="26" s="1"/>
  <c r="AA3808" i="26"/>
  <c r="AA3809" i="26"/>
  <c r="AB3809" i="26" s="1"/>
  <c r="AA3810" i="26"/>
  <c r="AA3811" i="26"/>
  <c r="AB3811" i="26" s="1"/>
  <c r="AA3812" i="26"/>
  <c r="AA3813" i="26"/>
  <c r="AB3813" i="26" s="1"/>
  <c r="AA3814" i="26"/>
  <c r="AA3815" i="26"/>
  <c r="AB3815" i="26" s="1"/>
  <c r="AA3816" i="26"/>
  <c r="AA3817" i="26"/>
  <c r="AB3817" i="26" s="1"/>
  <c r="AA3818" i="26"/>
  <c r="AA3819" i="26"/>
  <c r="AB3819" i="26" s="1"/>
  <c r="AA3820" i="26"/>
  <c r="AA3821" i="26"/>
  <c r="AB3821" i="26" s="1"/>
  <c r="AA3822" i="26"/>
  <c r="AA3823" i="26"/>
  <c r="AB3823" i="26" s="1"/>
  <c r="AA3824" i="26"/>
  <c r="AA3825" i="26"/>
  <c r="AB3825" i="26" s="1"/>
  <c r="AA3826" i="26"/>
  <c r="AA3827" i="26"/>
  <c r="AB3827" i="26" s="1"/>
  <c r="AA3828" i="26"/>
  <c r="AA3829" i="26"/>
  <c r="AB3829" i="26" s="1"/>
  <c r="AA3830" i="26"/>
  <c r="AA3831" i="26"/>
  <c r="AB3831" i="26" s="1"/>
  <c r="AA3832" i="26"/>
  <c r="AA3833" i="26"/>
  <c r="AA3834" i="26"/>
  <c r="AA3835" i="26"/>
  <c r="AB3835" i="26" s="1"/>
  <c r="AA3836" i="26"/>
  <c r="AA3837" i="26"/>
  <c r="AA3838" i="26"/>
  <c r="AA3839" i="26"/>
  <c r="AB3839" i="26" s="1"/>
  <c r="AA3840" i="26"/>
  <c r="AA3841" i="26"/>
  <c r="AA3842" i="26"/>
  <c r="AA3843" i="26"/>
  <c r="AB3843" i="26" s="1"/>
  <c r="AA3844" i="26"/>
  <c r="AA3845" i="26"/>
  <c r="AA3846" i="26"/>
  <c r="AA3847" i="26"/>
  <c r="AB3847" i="26" s="1"/>
  <c r="AA3848" i="26"/>
  <c r="AA3849" i="26"/>
  <c r="AA3850" i="26"/>
  <c r="AA3851" i="26"/>
  <c r="AB3851" i="26" s="1"/>
  <c r="AA3852" i="26"/>
  <c r="AA3853" i="26"/>
  <c r="AA3854" i="26"/>
  <c r="AA3855" i="26"/>
  <c r="AB3855" i="26" s="1"/>
  <c r="AA3856" i="26"/>
  <c r="AA3857" i="26"/>
  <c r="AA3858" i="26"/>
  <c r="AA3859" i="26"/>
  <c r="AB3859" i="26" s="1"/>
  <c r="AA3860" i="26"/>
  <c r="AA3861" i="26"/>
  <c r="AA3862" i="26"/>
  <c r="AA3863" i="26"/>
  <c r="AB3863" i="26" s="1"/>
  <c r="AA3864" i="26"/>
  <c r="AA3865" i="26"/>
  <c r="AA3866" i="26"/>
  <c r="AA3867" i="26"/>
  <c r="AB3867" i="26" s="1"/>
  <c r="AA3868" i="26"/>
  <c r="AA3869" i="26"/>
  <c r="AA3870" i="26"/>
  <c r="AA3871" i="26"/>
  <c r="AB3871" i="26" s="1"/>
  <c r="AA3872" i="26"/>
  <c r="AA3873" i="26"/>
  <c r="AA3874" i="26"/>
  <c r="AA3875" i="26"/>
  <c r="AB3875" i="26" s="1"/>
  <c r="AA3876" i="26"/>
  <c r="AA3877" i="26"/>
  <c r="AA3878" i="26"/>
  <c r="AA3879" i="26"/>
  <c r="AB3879" i="26" s="1"/>
  <c r="AA3880" i="26"/>
  <c r="AA3881" i="26"/>
  <c r="AA3882" i="26"/>
  <c r="AA3883" i="26"/>
  <c r="AB3883" i="26" s="1"/>
  <c r="AA3884" i="26"/>
  <c r="AA3885" i="26"/>
  <c r="AA3886" i="26"/>
  <c r="AA3887" i="26"/>
  <c r="AB3887" i="26" s="1"/>
  <c r="AA3888" i="26"/>
  <c r="AA3889" i="26"/>
  <c r="AA3890" i="26"/>
  <c r="AA3891" i="26"/>
  <c r="AB3891" i="26" s="1"/>
  <c r="AA3892" i="26"/>
  <c r="AA3893" i="26"/>
  <c r="AA3894" i="26"/>
  <c r="AA3895" i="26"/>
  <c r="AB3895" i="26" s="1"/>
  <c r="AA3896" i="26"/>
  <c r="AA3897" i="26"/>
  <c r="AA3898" i="26"/>
  <c r="AA3899" i="26"/>
  <c r="AB3899" i="26" s="1"/>
  <c r="AA3900" i="26"/>
  <c r="AA3901" i="26"/>
  <c r="AA3902" i="26"/>
  <c r="AA3903" i="26"/>
  <c r="AB3903" i="26" s="1"/>
  <c r="AA3904" i="26"/>
  <c r="AA3905" i="26"/>
  <c r="AA3906" i="26"/>
  <c r="AA3907" i="26"/>
  <c r="AB3907" i="26" s="1"/>
  <c r="AA3908" i="26"/>
  <c r="AA3909" i="26"/>
  <c r="AA3910" i="26"/>
  <c r="AA3911" i="26"/>
  <c r="AB3911" i="26" s="1"/>
  <c r="AA3912" i="26"/>
  <c r="AA3913" i="26"/>
  <c r="AA3914" i="26"/>
  <c r="AA3915" i="26"/>
  <c r="AB3915" i="26" s="1"/>
  <c r="AA3916" i="26"/>
  <c r="AA3917" i="26"/>
  <c r="AA3918" i="26"/>
  <c r="AA3919" i="26"/>
  <c r="AB3919" i="26" s="1"/>
  <c r="AA3920" i="26"/>
  <c r="AA3921" i="26"/>
  <c r="AA3922" i="26"/>
  <c r="AA3923" i="26"/>
  <c r="AB3923" i="26" s="1"/>
  <c r="AA3924" i="26"/>
  <c r="AA3925" i="26"/>
  <c r="AA3926" i="26"/>
  <c r="AA3927" i="26"/>
  <c r="AB3927" i="26" s="1"/>
  <c r="AA3928" i="26"/>
  <c r="AA3929" i="26"/>
  <c r="AA3930" i="26"/>
  <c r="AA3931" i="26"/>
  <c r="AB3931" i="26" s="1"/>
  <c r="AA3932" i="26"/>
  <c r="AA3933" i="26"/>
  <c r="AA3934" i="26"/>
  <c r="AA3935" i="26"/>
  <c r="AB3935" i="26" s="1"/>
  <c r="AA3936" i="26"/>
  <c r="AA3937" i="26"/>
  <c r="AA3938" i="26"/>
  <c r="AA3939" i="26"/>
  <c r="AB3939" i="26" s="1"/>
  <c r="AA3940" i="26"/>
  <c r="AA3941" i="26"/>
  <c r="AA3942" i="26"/>
  <c r="AA3943" i="26"/>
  <c r="AB3943" i="26" s="1"/>
  <c r="AA3944" i="26"/>
  <c r="AA3945" i="26"/>
  <c r="AA3946" i="26"/>
  <c r="AA3947" i="26"/>
  <c r="AB3947" i="26" s="1"/>
  <c r="AA3948" i="26"/>
  <c r="AA3949" i="26"/>
  <c r="AA3950" i="26"/>
  <c r="AA3951" i="26"/>
  <c r="AB3951" i="26" s="1"/>
  <c r="AA3952" i="26"/>
  <c r="AA3953" i="26"/>
  <c r="AA3954" i="26"/>
  <c r="AA3955" i="26"/>
  <c r="AB3955" i="26" s="1"/>
  <c r="AA3956" i="26"/>
  <c r="AA3957" i="26"/>
  <c r="AA3958" i="26"/>
  <c r="AA3959" i="26"/>
  <c r="AB3959" i="26" s="1"/>
  <c r="AA3960" i="26"/>
  <c r="AA3961" i="26"/>
  <c r="AA3962" i="26"/>
  <c r="AA3963" i="26"/>
  <c r="AA3964" i="26"/>
  <c r="AA3965" i="26"/>
  <c r="AA3966" i="26"/>
  <c r="AA3967" i="26"/>
  <c r="AA3968" i="26"/>
  <c r="AA3969" i="26"/>
  <c r="AA3970" i="26"/>
  <c r="AA3971" i="26"/>
  <c r="AA3972" i="26"/>
  <c r="AA3973" i="26"/>
  <c r="AA3974" i="26"/>
  <c r="AA3975" i="26"/>
  <c r="AA4" i="26"/>
  <c r="AC4" i="26" s="1"/>
  <c r="AD4" i="26" l="1"/>
  <c r="AD3972" i="26"/>
  <c r="AC3972" i="26"/>
  <c r="AB3972" i="26"/>
  <c r="AD3968" i="26"/>
  <c r="AC3968" i="26"/>
  <c r="AB3968" i="26"/>
  <c r="AD3964" i="26"/>
  <c r="AC3964" i="26"/>
  <c r="AB3964" i="26"/>
  <c r="AD3960" i="26"/>
  <c r="AC3960" i="26"/>
  <c r="AB3960" i="26"/>
  <c r="AD3956" i="26"/>
  <c r="AC3956" i="26"/>
  <c r="AB3956" i="26"/>
  <c r="AD3952" i="26"/>
  <c r="AC3952" i="26"/>
  <c r="AB3952" i="26"/>
  <c r="AD3948" i="26"/>
  <c r="AC3948" i="26"/>
  <c r="AB3948" i="26"/>
  <c r="AD3944" i="26"/>
  <c r="AC3944" i="26"/>
  <c r="AB3944" i="26"/>
  <c r="AD3940" i="26"/>
  <c r="AC3940" i="26"/>
  <c r="AB3940" i="26"/>
  <c r="AD3936" i="26"/>
  <c r="AC3936" i="26"/>
  <c r="AB3936" i="26"/>
  <c r="AD3932" i="26"/>
  <c r="AC3932" i="26"/>
  <c r="AB3932" i="26"/>
  <c r="AD3928" i="26"/>
  <c r="AC3928" i="26"/>
  <c r="AB3928" i="26"/>
  <c r="AD3924" i="26"/>
  <c r="AC3924" i="26"/>
  <c r="AB3924" i="26"/>
  <c r="AD3920" i="26"/>
  <c r="AC3920" i="26"/>
  <c r="AB3920" i="26"/>
  <c r="AD3916" i="26"/>
  <c r="AC3916" i="26"/>
  <c r="AB3916" i="26"/>
  <c r="AD3912" i="26"/>
  <c r="AC3912" i="26"/>
  <c r="AB3912" i="26"/>
  <c r="AD3908" i="26"/>
  <c r="AC3908" i="26"/>
  <c r="AB3908" i="26"/>
  <c r="AD3904" i="26"/>
  <c r="AC3904" i="26"/>
  <c r="AB3904" i="26"/>
  <c r="AD3900" i="26"/>
  <c r="AC3900" i="26"/>
  <c r="AB3900" i="26"/>
  <c r="AD3896" i="26"/>
  <c r="AC3896" i="26"/>
  <c r="AB3896" i="26"/>
  <c r="AD3892" i="26"/>
  <c r="AC3892" i="26"/>
  <c r="AB3892" i="26"/>
  <c r="AD3888" i="26"/>
  <c r="AC3888" i="26"/>
  <c r="AB3888" i="26"/>
  <c r="AD3884" i="26"/>
  <c r="AC3884" i="26"/>
  <c r="AB3884" i="26"/>
  <c r="AD3880" i="26"/>
  <c r="AC3880" i="26"/>
  <c r="AB3880" i="26"/>
  <c r="AD3876" i="26"/>
  <c r="AC3876" i="26"/>
  <c r="AB3876" i="26"/>
  <c r="AD3872" i="26"/>
  <c r="AC3872" i="26"/>
  <c r="AB3872" i="26"/>
  <c r="AD3868" i="26"/>
  <c r="AC3868" i="26"/>
  <c r="AB3868" i="26"/>
  <c r="AD3864" i="26"/>
  <c r="AC3864" i="26"/>
  <c r="AB3864" i="26"/>
  <c r="AD3860" i="26"/>
  <c r="AC3860" i="26"/>
  <c r="AB3860" i="26"/>
  <c r="AD3856" i="26"/>
  <c r="AC3856" i="26"/>
  <c r="AB3856" i="26"/>
  <c r="AD3852" i="26"/>
  <c r="AC3852" i="26"/>
  <c r="AB3852" i="26"/>
  <c r="AD3848" i="26"/>
  <c r="AC3848" i="26"/>
  <c r="AB3848" i="26"/>
  <c r="AD3844" i="26"/>
  <c r="AC3844" i="26"/>
  <c r="AB3844" i="26"/>
  <c r="AD3840" i="26"/>
  <c r="AC3840" i="26"/>
  <c r="AB3840" i="26"/>
  <c r="AD3836" i="26"/>
  <c r="AC3836" i="26"/>
  <c r="AB3836" i="26"/>
  <c r="AD3832" i="26"/>
  <c r="AC3832" i="26"/>
  <c r="AB3832" i="26"/>
  <c r="AD3828" i="26"/>
  <c r="AC3828" i="26"/>
  <c r="AB3828" i="26"/>
  <c r="AD3824" i="26"/>
  <c r="AC3824" i="26"/>
  <c r="AB3824" i="26"/>
  <c r="AD3820" i="26"/>
  <c r="AC3820" i="26"/>
  <c r="AB3820" i="26"/>
  <c r="AD3816" i="26"/>
  <c r="AC3816" i="26"/>
  <c r="AB3816" i="26"/>
  <c r="AD3812" i="26"/>
  <c r="AC3812" i="26"/>
  <c r="AB3812" i="26"/>
  <c r="AD3808" i="26"/>
  <c r="AC3808" i="26"/>
  <c r="AB3808" i="26"/>
  <c r="AD3975" i="26"/>
  <c r="AC3975" i="26"/>
  <c r="AB3975" i="26"/>
  <c r="AD3971" i="26"/>
  <c r="AC3971" i="26"/>
  <c r="AB3971" i="26"/>
  <c r="AD3967" i="26"/>
  <c r="AC3967" i="26"/>
  <c r="AB3967" i="26"/>
  <c r="AD3963" i="26"/>
  <c r="AC3963" i="26"/>
  <c r="AB3963" i="26"/>
  <c r="AB4" i="26"/>
  <c r="AD3974" i="26"/>
  <c r="AC3974" i="26"/>
  <c r="AB3974" i="26"/>
  <c r="AD3970" i="26"/>
  <c r="AC3970" i="26"/>
  <c r="AB3970" i="26"/>
  <c r="AD3966" i="26"/>
  <c r="AC3966" i="26"/>
  <c r="AB3966" i="26"/>
  <c r="AD3962" i="26"/>
  <c r="AC3962" i="26"/>
  <c r="AB3962" i="26"/>
  <c r="AD3958" i="26"/>
  <c r="AC3958" i="26"/>
  <c r="AB3958" i="26"/>
  <c r="AD3954" i="26"/>
  <c r="AC3954" i="26"/>
  <c r="AB3954" i="26"/>
  <c r="AD3950" i="26"/>
  <c r="AC3950" i="26"/>
  <c r="AB3950" i="26"/>
  <c r="AD3946" i="26"/>
  <c r="AC3946" i="26"/>
  <c r="AB3946" i="26"/>
  <c r="AD3942" i="26"/>
  <c r="AC3942" i="26"/>
  <c r="AB3942" i="26"/>
  <c r="AD3938" i="26"/>
  <c r="AC3938" i="26"/>
  <c r="AB3938" i="26"/>
  <c r="AD3934" i="26"/>
  <c r="AC3934" i="26"/>
  <c r="AB3934" i="26"/>
  <c r="AD3930" i="26"/>
  <c r="AC3930" i="26"/>
  <c r="AB3930" i="26"/>
  <c r="AD3926" i="26"/>
  <c r="AC3926" i="26"/>
  <c r="AB3926" i="26"/>
  <c r="AD3922" i="26"/>
  <c r="AC3922" i="26"/>
  <c r="AB3922" i="26"/>
  <c r="AD3918" i="26"/>
  <c r="AC3918" i="26"/>
  <c r="AB3918" i="26"/>
  <c r="AD3914" i="26"/>
  <c r="AC3914" i="26"/>
  <c r="AB3914" i="26"/>
  <c r="AD3910" i="26"/>
  <c r="AC3910" i="26"/>
  <c r="AB3910" i="26"/>
  <c r="AD3906" i="26"/>
  <c r="AC3906" i="26"/>
  <c r="AB3906" i="26"/>
  <c r="AD3902" i="26"/>
  <c r="AC3902" i="26"/>
  <c r="AB3902" i="26"/>
  <c r="AD3898" i="26"/>
  <c r="AC3898" i="26"/>
  <c r="AB3898" i="26"/>
  <c r="AD3894" i="26"/>
  <c r="AC3894" i="26"/>
  <c r="AB3894" i="26"/>
  <c r="AD3890" i="26"/>
  <c r="AC3890" i="26"/>
  <c r="AB3890" i="26"/>
  <c r="AD3886" i="26"/>
  <c r="AC3886" i="26"/>
  <c r="AB3886" i="26"/>
  <c r="AD3882" i="26"/>
  <c r="AC3882" i="26"/>
  <c r="AB3882" i="26"/>
  <c r="AD3878" i="26"/>
  <c r="AC3878" i="26"/>
  <c r="AB3878" i="26"/>
  <c r="AD3874" i="26"/>
  <c r="AC3874" i="26"/>
  <c r="AB3874" i="26"/>
  <c r="AD3870" i="26"/>
  <c r="AC3870" i="26"/>
  <c r="AB3870" i="26"/>
  <c r="AD3866" i="26"/>
  <c r="AC3866" i="26"/>
  <c r="AB3866" i="26"/>
  <c r="AD3862" i="26"/>
  <c r="AC3862" i="26"/>
  <c r="AB3862" i="26"/>
  <c r="AD3858" i="26"/>
  <c r="AC3858" i="26"/>
  <c r="AB3858" i="26"/>
  <c r="AD3854" i="26"/>
  <c r="AC3854" i="26"/>
  <c r="AB3854" i="26"/>
  <c r="AD3850" i="26"/>
  <c r="AC3850" i="26"/>
  <c r="AB3850" i="26"/>
  <c r="AD3846" i="26"/>
  <c r="AC3846" i="26"/>
  <c r="AB3846" i="26"/>
  <c r="AD3842" i="26"/>
  <c r="AC3842" i="26"/>
  <c r="AB3842" i="26"/>
  <c r="AD3838" i="26"/>
  <c r="AC3838" i="26"/>
  <c r="AB3838" i="26"/>
  <c r="AD3834" i="26"/>
  <c r="AC3834" i="26"/>
  <c r="AB3834" i="26"/>
  <c r="AD3973" i="26"/>
  <c r="AC3973" i="26"/>
  <c r="AB3973" i="26"/>
  <c r="AD3969" i="26"/>
  <c r="AC3969" i="26"/>
  <c r="AB3969" i="26"/>
  <c r="AD3965" i="26"/>
  <c r="AC3965" i="26"/>
  <c r="AB3965" i="26"/>
  <c r="AD3961" i="26"/>
  <c r="AC3961" i="26"/>
  <c r="AB3961" i="26"/>
  <c r="AD3957" i="26"/>
  <c r="AC3957" i="26"/>
  <c r="AB3957" i="26"/>
  <c r="AD3953" i="26"/>
  <c r="AC3953" i="26"/>
  <c r="AB3953" i="26"/>
  <c r="AD3949" i="26"/>
  <c r="AC3949" i="26"/>
  <c r="AB3949" i="26"/>
  <c r="AD3945" i="26"/>
  <c r="AC3945" i="26"/>
  <c r="AB3945" i="26"/>
  <c r="AD3941" i="26"/>
  <c r="AC3941" i="26"/>
  <c r="AB3941" i="26"/>
  <c r="AD3937" i="26"/>
  <c r="AC3937" i="26"/>
  <c r="AB3937" i="26"/>
  <c r="AD3933" i="26"/>
  <c r="AC3933" i="26"/>
  <c r="AB3933" i="26"/>
  <c r="AD3929" i="26"/>
  <c r="AC3929" i="26"/>
  <c r="AB3929" i="26"/>
  <c r="AD3925" i="26"/>
  <c r="AC3925" i="26"/>
  <c r="AB3925" i="26"/>
  <c r="AD3921" i="26"/>
  <c r="AC3921" i="26"/>
  <c r="AB3921" i="26"/>
  <c r="AD3917" i="26"/>
  <c r="AC3917" i="26"/>
  <c r="AB3917" i="26"/>
  <c r="AD3913" i="26"/>
  <c r="AC3913" i="26"/>
  <c r="AB3913" i="26"/>
  <c r="AD3909" i="26"/>
  <c r="AC3909" i="26"/>
  <c r="AB3909" i="26"/>
  <c r="AD3905" i="26"/>
  <c r="AC3905" i="26"/>
  <c r="AB3905" i="26"/>
  <c r="AD3901" i="26"/>
  <c r="AC3901" i="26"/>
  <c r="AB3901" i="26"/>
  <c r="AD3897" i="26"/>
  <c r="AC3897" i="26"/>
  <c r="AB3897" i="26"/>
  <c r="AD3893" i="26"/>
  <c r="AC3893" i="26"/>
  <c r="AB3893" i="26"/>
  <c r="AD3889" i="26"/>
  <c r="AC3889" i="26"/>
  <c r="AB3889" i="26"/>
  <c r="AD3885" i="26"/>
  <c r="AC3885" i="26"/>
  <c r="AB3885" i="26"/>
  <c r="AD3881" i="26"/>
  <c r="AC3881" i="26"/>
  <c r="AB3881" i="26"/>
  <c r="AD3877" i="26"/>
  <c r="AC3877" i="26"/>
  <c r="AB3877" i="26"/>
  <c r="AD3873" i="26"/>
  <c r="AC3873" i="26"/>
  <c r="AB3873" i="26"/>
  <c r="AD3869" i="26"/>
  <c r="AC3869" i="26"/>
  <c r="AB3869" i="26"/>
  <c r="AD3865" i="26"/>
  <c r="AC3865" i="26"/>
  <c r="AB3865" i="26"/>
  <c r="AD3861" i="26"/>
  <c r="AC3861" i="26"/>
  <c r="AB3861" i="26"/>
  <c r="AD3857" i="26"/>
  <c r="AC3857" i="26"/>
  <c r="AB3857" i="26"/>
  <c r="AD3853" i="26"/>
  <c r="AC3853" i="26"/>
  <c r="AB3853" i="26"/>
  <c r="AD3849" i="26"/>
  <c r="AC3849" i="26"/>
  <c r="AB3849" i="26"/>
  <c r="AD3845" i="26"/>
  <c r="AC3845" i="26"/>
  <c r="AB3845" i="26"/>
  <c r="AD3841" i="26"/>
  <c r="AC3841" i="26"/>
  <c r="AB3841" i="26"/>
  <c r="AD3837" i="26"/>
  <c r="AC3837" i="26"/>
  <c r="AB3837" i="26"/>
  <c r="AD3833" i="26"/>
  <c r="AC3833" i="26"/>
  <c r="AB3833" i="26"/>
  <c r="AD3830" i="26"/>
  <c r="AC3830" i="26"/>
  <c r="AD3826" i="26"/>
  <c r="AC3826" i="26"/>
  <c r="AD3822" i="26"/>
  <c r="AC3822" i="26"/>
  <c r="AD3818" i="26"/>
  <c r="AC3818" i="26"/>
  <c r="AD3814" i="26"/>
  <c r="AC3814" i="26"/>
  <c r="AD3810" i="26"/>
  <c r="AC3810" i="26"/>
  <c r="AD3806" i="26"/>
  <c r="AC3806" i="26"/>
  <c r="AD3802" i="26"/>
  <c r="AC3802" i="26"/>
  <c r="AD3798" i="26"/>
  <c r="AC3798" i="26"/>
  <c r="AD3794" i="26"/>
  <c r="AC3794" i="26"/>
  <c r="AD3790" i="26"/>
  <c r="AC3790" i="26"/>
  <c r="AD3786" i="26"/>
  <c r="AC3786" i="26"/>
  <c r="AD3782" i="26"/>
  <c r="AC3782" i="26"/>
  <c r="AD3778" i="26"/>
  <c r="AC3778" i="26"/>
  <c r="AD3774" i="26"/>
  <c r="AC3774" i="26"/>
  <c r="AD3770" i="26"/>
  <c r="AC3770" i="26"/>
  <c r="AD3766" i="26"/>
  <c r="AC3766" i="26"/>
  <c r="AD3762" i="26"/>
  <c r="AC3762" i="26"/>
  <c r="AD3758" i="26"/>
  <c r="AC3758" i="26"/>
  <c r="AD3754" i="26"/>
  <c r="AC3754" i="26"/>
  <c r="AD3750" i="26"/>
  <c r="AC3750" i="26"/>
  <c r="AD3746" i="26"/>
  <c r="AC3746" i="26"/>
  <c r="AD3742" i="26"/>
  <c r="AC3742" i="26"/>
  <c r="AD3738" i="26"/>
  <c r="AC3738" i="26"/>
  <c r="AD3734" i="26"/>
  <c r="AC3734" i="26"/>
  <c r="AD3730" i="26"/>
  <c r="AC3730" i="26"/>
  <c r="AD3726" i="26"/>
  <c r="AC3726" i="26"/>
  <c r="AD3722" i="26"/>
  <c r="AC3722" i="26"/>
  <c r="AD3718" i="26"/>
  <c r="AC3718" i="26"/>
  <c r="AD3714" i="26"/>
  <c r="AC3714" i="26"/>
  <c r="AD3710" i="26"/>
  <c r="AC3710" i="26"/>
  <c r="AD3706" i="26"/>
  <c r="AC3706" i="26"/>
  <c r="AD3702" i="26"/>
  <c r="AC3702" i="26"/>
  <c r="AD3698" i="26"/>
  <c r="AC3698" i="26"/>
  <c r="AD3694" i="26"/>
  <c r="AC3694" i="26"/>
  <c r="AD3690" i="26"/>
  <c r="AC3690" i="26"/>
  <c r="AD3686" i="26"/>
  <c r="AC3686" i="26"/>
  <c r="AD3682" i="26"/>
  <c r="AC3682" i="26"/>
  <c r="AD3678" i="26"/>
  <c r="AC3678" i="26"/>
  <c r="AD3674" i="26"/>
  <c r="AC3674" i="26"/>
  <c r="AD3670" i="26"/>
  <c r="AC3670" i="26"/>
  <c r="AD3666" i="26"/>
  <c r="AC3666" i="26"/>
  <c r="AD3662" i="26"/>
  <c r="AC3662" i="26"/>
  <c r="AD3658" i="26"/>
  <c r="AC3658" i="26"/>
  <c r="AD3654" i="26"/>
  <c r="AC3654" i="26"/>
  <c r="AD3650" i="26"/>
  <c r="AC3650" i="26"/>
  <c r="AD3646" i="26"/>
  <c r="AC3646" i="26"/>
  <c r="AD3642" i="26"/>
  <c r="AC3642" i="26"/>
  <c r="AD3638" i="26"/>
  <c r="AC3638" i="26"/>
  <c r="AD3634" i="26"/>
  <c r="AC3634" i="26"/>
  <c r="AD3630" i="26"/>
  <c r="AC3630" i="26"/>
  <c r="AD3626" i="26"/>
  <c r="AC3626" i="26"/>
  <c r="AD3622" i="26"/>
  <c r="AC3622" i="26"/>
  <c r="AD3618" i="26"/>
  <c r="AC3618" i="26"/>
  <c r="AD3614" i="26"/>
  <c r="AC3614" i="26"/>
  <c r="AD3610" i="26"/>
  <c r="AC3610" i="26"/>
  <c r="AD3606" i="26"/>
  <c r="AC3606" i="26"/>
  <c r="AD3602" i="26"/>
  <c r="AC3602" i="26"/>
  <c r="AD3598" i="26"/>
  <c r="AC3598" i="26"/>
  <c r="AD3594" i="26"/>
  <c r="AC3594" i="26"/>
  <c r="AD3590" i="26"/>
  <c r="AC3590" i="26"/>
  <c r="AD3586" i="26"/>
  <c r="AC3586" i="26"/>
  <c r="AD3582" i="26"/>
  <c r="AC3582" i="26"/>
  <c r="AD3578" i="26"/>
  <c r="AC3578" i="26"/>
  <c r="AD3574" i="26"/>
  <c r="AC3574" i="26"/>
  <c r="AD3570" i="26"/>
  <c r="AC3570" i="26"/>
  <c r="AD3566" i="26"/>
  <c r="AC3566" i="26"/>
  <c r="AD3562" i="26"/>
  <c r="AC3562" i="26"/>
  <c r="AD3558" i="26"/>
  <c r="AC3558" i="26"/>
  <c r="AD3554" i="26"/>
  <c r="AC3554" i="26"/>
  <c r="AD3550" i="26"/>
  <c r="AC3550" i="26"/>
  <c r="AD3546" i="26"/>
  <c r="AC3546" i="26"/>
  <c r="AD3542" i="26"/>
  <c r="AC3542" i="26"/>
  <c r="AD3538" i="26"/>
  <c r="AC3538" i="26"/>
  <c r="AD3534" i="26"/>
  <c r="AC3534" i="26"/>
  <c r="AD3530" i="26"/>
  <c r="AC3530" i="26"/>
  <c r="AD3526" i="26"/>
  <c r="AC3526" i="26"/>
  <c r="AD3522" i="26"/>
  <c r="AC3522" i="26"/>
  <c r="AD3518" i="26"/>
  <c r="AC3518" i="26"/>
  <c r="AD3514" i="26"/>
  <c r="AC3514" i="26"/>
  <c r="AD3510" i="26"/>
  <c r="AC3510" i="26"/>
  <c r="AD3506" i="26"/>
  <c r="AC3506" i="26"/>
  <c r="AD3502" i="26"/>
  <c r="AC3502" i="26"/>
  <c r="AD3498" i="26"/>
  <c r="AC3498" i="26"/>
  <c r="AD3494" i="26"/>
  <c r="AC3494" i="26"/>
  <c r="AD3490" i="26"/>
  <c r="AC3490" i="26"/>
  <c r="AD3486" i="26"/>
  <c r="AC3486" i="26"/>
  <c r="AD3482" i="26"/>
  <c r="AC3482" i="26"/>
  <c r="AD3478" i="26"/>
  <c r="AC3478" i="26"/>
  <c r="AD3474" i="26"/>
  <c r="AC3474" i="26"/>
  <c r="AD3470" i="26"/>
  <c r="AC3470" i="26"/>
  <c r="AD3466" i="26"/>
  <c r="AC3466" i="26"/>
  <c r="AD3462" i="26"/>
  <c r="AC3462" i="26"/>
  <c r="AD3458" i="26"/>
  <c r="AC3458" i="26"/>
  <c r="AD3454" i="26"/>
  <c r="AC3454" i="26"/>
  <c r="AD3450" i="26"/>
  <c r="AC3450" i="26"/>
  <c r="AD3446" i="26"/>
  <c r="AC3446" i="26"/>
  <c r="AD3442" i="26"/>
  <c r="AC3442" i="26"/>
  <c r="AD3438" i="26"/>
  <c r="AC3438" i="26"/>
  <c r="AD3434" i="26"/>
  <c r="AC3434" i="26"/>
  <c r="AD3430" i="26"/>
  <c r="AC3430" i="26"/>
  <c r="AD3426" i="26"/>
  <c r="AC3426" i="26"/>
  <c r="AD3422" i="26"/>
  <c r="AC3422" i="26"/>
  <c r="AD3418" i="26"/>
  <c r="AC3418" i="26"/>
  <c r="AD3414" i="26"/>
  <c r="AC3414" i="26"/>
  <c r="AD3410" i="26"/>
  <c r="AC3410" i="26"/>
  <c r="AD3406" i="26"/>
  <c r="AC3406" i="26"/>
  <c r="AD3402" i="26"/>
  <c r="AC3402" i="26"/>
  <c r="AD3398" i="26"/>
  <c r="AC3398" i="26"/>
  <c r="AD3394" i="26"/>
  <c r="AC3394" i="26"/>
  <c r="AD3390" i="26"/>
  <c r="AC3390" i="26"/>
  <c r="AD3386" i="26"/>
  <c r="AC3386" i="26"/>
  <c r="AD3382" i="26"/>
  <c r="AC3382" i="26"/>
  <c r="AD3378" i="26"/>
  <c r="AC3378" i="26"/>
  <c r="AD3374" i="26"/>
  <c r="AC3374" i="26"/>
  <c r="AD3370" i="26"/>
  <c r="AC3370" i="26"/>
  <c r="AD3366" i="26"/>
  <c r="AC3366" i="26"/>
  <c r="AD3362" i="26"/>
  <c r="AC3362" i="26"/>
  <c r="AD3358" i="26"/>
  <c r="AC3358" i="26"/>
  <c r="AD3354" i="26"/>
  <c r="AC3354" i="26"/>
  <c r="AD3350" i="26"/>
  <c r="AC3350" i="26"/>
  <c r="AD3346" i="26"/>
  <c r="AC3346" i="26"/>
  <c r="AD3342" i="26"/>
  <c r="AC3342" i="26"/>
  <c r="AD3338" i="26"/>
  <c r="AC3338" i="26"/>
  <c r="AD3334" i="26"/>
  <c r="AC3334" i="26"/>
  <c r="AD3330" i="26"/>
  <c r="AC3330" i="26"/>
  <c r="AD3326" i="26"/>
  <c r="AC3326" i="26"/>
  <c r="AD3322" i="26"/>
  <c r="AC3322" i="26"/>
  <c r="AD3318" i="26"/>
  <c r="AC3318" i="26"/>
  <c r="AD3314" i="26"/>
  <c r="AC3314" i="26"/>
  <c r="AD3310" i="26"/>
  <c r="AC3310" i="26"/>
  <c r="AD3306" i="26"/>
  <c r="AC3306" i="26"/>
  <c r="AD3302" i="26"/>
  <c r="AC3302" i="26"/>
  <c r="AD3298" i="26"/>
  <c r="AC3298" i="26"/>
  <c r="AD3294" i="26"/>
  <c r="AC3294" i="26"/>
  <c r="AD3290" i="26"/>
  <c r="AC3290" i="26"/>
  <c r="AD3286" i="26"/>
  <c r="AC3286" i="26"/>
  <c r="AD3282" i="26"/>
  <c r="AC3282" i="26"/>
  <c r="AD3278" i="26"/>
  <c r="AC3278" i="26"/>
  <c r="AD3274" i="26"/>
  <c r="AC3274" i="26"/>
  <c r="AD3270" i="26"/>
  <c r="AC3270" i="26"/>
  <c r="AD3266" i="26"/>
  <c r="AC3266" i="26"/>
  <c r="AD3262" i="26"/>
  <c r="AC3262" i="26"/>
  <c r="AD3258" i="26"/>
  <c r="AC3258" i="26"/>
  <c r="AD3254" i="26"/>
  <c r="AC3254" i="26"/>
  <c r="AD3250" i="26"/>
  <c r="AC3250" i="26"/>
  <c r="AD3246" i="26"/>
  <c r="AC3246" i="26"/>
  <c r="AD3242" i="26"/>
  <c r="AC3242" i="26"/>
  <c r="AD3238" i="26"/>
  <c r="AC3238" i="26"/>
  <c r="AD3234" i="26"/>
  <c r="AC3234" i="26"/>
  <c r="AD3230" i="26"/>
  <c r="AC3230" i="26"/>
  <c r="AD3226" i="26"/>
  <c r="AC3226" i="26"/>
  <c r="AD3222" i="26"/>
  <c r="AC3222" i="26"/>
  <c r="AD3218" i="26"/>
  <c r="AC3218" i="26"/>
  <c r="AD3214" i="26"/>
  <c r="AC3214" i="26"/>
  <c r="AD3210" i="26"/>
  <c r="AC3210" i="26"/>
  <c r="AD3206" i="26"/>
  <c r="AC3206" i="26"/>
  <c r="AD3202" i="26"/>
  <c r="AC3202" i="26"/>
  <c r="AD3198" i="26"/>
  <c r="AC3198" i="26"/>
  <c r="AD3194" i="26"/>
  <c r="AC3194" i="26"/>
  <c r="AD3190" i="26"/>
  <c r="AC3190" i="26"/>
  <c r="AD3186" i="26"/>
  <c r="AC3186" i="26"/>
  <c r="AD3182" i="26"/>
  <c r="AC3182" i="26"/>
  <c r="AD3178" i="26"/>
  <c r="AC3178" i="26"/>
  <c r="AD3174" i="26"/>
  <c r="AC3174" i="26"/>
  <c r="AD3170" i="26"/>
  <c r="AC3170" i="26"/>
  <c r="AD3166" i="26"/>
  <c r="AC3166" i="26"/>
  <c r="AD3162" i="26"/>
  <c r="AC3162" i="26"/>
  <c r="AD3158" i="26"/>
  <c r="AC3158" i="26"/>
  <c r="AD3154" i="26"/>
  <c r="AC3154" i="26"/>
  <c r="AD3150" i="26"/>
  <c r="AC3150" i="26"/>
  <c r="AD3146" i="26"/>
  <c r="AC3146" i="26"/>
  <c r="AD3142" i="26"/>
  <c r="AC3142" i="26"/>
  <c r="AD3138" i="26"/>
  <c r="AC3138" i="26"/>
  <c r="AD3134" i="26"/>
  <c r="AC3134" i="26"/>
  <c r="AD3130" i="26"/>
  <c r="AC3130" i="26"/>
  <c r="AD3126" i="26"/>
  <c r="AC3126" i="26"/>
  <c r="AD3122" i="26"/>
  <c r="AC3122" i="26"/>
  <c r="AD3118" i="26"/>
  <c r="AC3118" i="26"/>
  <c r="AD3114" i="26"/>
  <c r="AC3114" i="26"/>
  <c r="AD3110" i="26"/>
  <c r="AC3110" i="26"/>
  <c r="AD3106" i="26"/>
  <c r="AC3106" i="26"/>
  <c r="AD3102" i="26"/>
  <c r="AC3102" i="26"/>
  <c r="AD3098" i="26"/>
  <c r="AC3098" i="26"/>
  <c r="AD3094" i="26"/>
  <c r="AC3094" i="26"/>
  <c r="AD3090" i="26"/>
  <c r="AC3090" i="26"/>
  <c r="AD3086" i="26"/>
  <c r="AC3086" i="26"/>
  <c r="AD3082" i="26"/>
  <c r="AC3082" i="26"/>
  <c r="AD3078" i="26"/>
  <c r="AC3078" i="26"/>
  <c r="AD3074" i="26"/>
  <c r="AC3074" i="26"/>
  <c r="AD3070" i="26"/>
  <c r="AC3070" i="26"/>
  <c r="AD3066" i="26"/>
  <c r="AC3066" i="26"/>
  <c r="AD3062" i="26"/>
  <c r="AC3062" i="26"/>
  <c r="AD3058" i="26"/>
  <c r="AC3058" i="26"/>
  <c r="AD3054" i="26"/>
  <c r="AC3054" i="26"/>
  <c r="AD3050" i="26"/>
  <c r="AC3050" i="26"/>
  <c r="AD3046" i="26"/>
  <c r="AC3046" i="26"/>
  <c r="AD3042" i="26"/>
  <c r="AC3042" i="26"/>
  <c r="AD3038" i="26"/>
  <c r="AC3038" i="26"/>
  <c r="AD3034" i="26"/>
  <c r="AC3034" i="26"/>
  <c r="AD3030" i="26"/>
  <c r="AC3030" i="26"/>
  <c r="AD3026" i="26"/>
  <c r="AC3026" i="26"/>
  <c r="AD3022" i="26"/>
  <c r="AC3022" i="26"/>
  <c r="AD3018" i="26"/>
  <c r="AC3018" i="26"/>
  <c r="AD3014" i="26"/>
  <c r="AC3014" i="26"/>
  <c r="AD3010" i="26"/>
  <c r="AC3010" i="26"/>
  <c r="AD3006" i="26"/>
  <c r="AC3006" i="26"/>
  <c r="AD3002" i="26"/>
  <c r="AC3002" i="26"/>
  <c r="AD2998" i="26"/>
  <c r="AC2998" i="26"/>
  <c r="AD2994" i="26"/>
  <c r="AC2994" i="26"/>
  <c r="AD2990" i="26"/>
  <c r="AC2990" i="26"/>
  <c r="AD2986" i="26"/>
  <c r="AC2986" i="26"/>
  <c r="AD2982" i="26"/>
  <c r="AC2982" i="26"/>
  <c r="AD2978" i="26"/>
  <c r="AC2978" i="26"/>
  <c r="AD2974" i="26"/>
  <c r="AC2974" i="26"/>
  <c r="AD2970" i="26"/>
  <c r="AC2970" i="26"/>
  <c r="AD2966" i="26"/>
  <c r="AC2966" i="26"/>
  <c r="AD2962" i="26"/>
  <c r="AC2962" i="26"/>
  <c r="AD2958" i="26"/>
  <c r="AC2958" i="26"/>
  <c r="AD2954" i="26"/>
  <c r="AC2954" i="26"/>
  <c r="AD2950" i="26"/>
  <c r="AC2950" i="26"/>
  <c r="AD2946" i="26"/>
  <c r="AC2946" i="26"/>
  <c r="AD2942" i="26"/>
  <c r="AC2942" i="26"/>
  <c r="AD2938" i="26"/>
  <c r="AC2938" i="26"/>
  <c r="AD2934" i="26"/>
  <c r="AC2934" i="26"/>
  <c r="AD2930" i="26"/>
  <c r="AC2930" i="26"/>
  <c r="AD2926" i="26"/>
  <c r="AC2926" i="26"/>
  <c r="AD2922" i="26"/>
  <c r="AC2922" i="26"/>
  <c r="AD2918" i="26"/>
  <c r="AC2918" i="26"/>
  <c r="AD2914" i="26"/>
  <c r="AC2914" i="26"/>
  <c r="AD2910" i="26"/>
  <c r="AC2910" i="26"/>
  <c r="AD2906" i="26"/>
  <c r="AC2906" i="26"/>
  <c r="AD2902" i="26"/>
  <c r="AC2902" i="26"/>
  <c r="AD2898" i="26"/>
  <c r="AC2898" i="26"/>
  <c r="AD2894" i="26"/>
  <c r="AC2894" i="26"/>
  <c r="AD2890" i="26"/>
  <c r="AC2890" i="26"/>
  <c r="AD2886" i="26"/>
  <c r="AC2886" i="26"/>
  <c r="AD2882" i="26"/>
  <c r="AC2882" i="26"/>
  <c r="AD2878" i="26"/>
  <c r="AC2878" i="26"/>
  <c r="AD2874" i="26"/>
  <c r="AC2874" i="26"/>
  <c r="AD2870" i="26"/>
  <c r="AC2870" i="26"/>
  <c r="AD2866" i="26"/>
  <c r="AC2866" i="26"/>
  <c r="AD2862" i="26"/>
  <c r="AC2862" i="26"/>
  <c r="AD2858" i="26"/>
  <c r="AC2858" i="26"/>
  <c r="AD2854" i="26"/>
  <c r="AC2854" i="26"/>
  <c r="AD2850" i="26"/>
  <c r="AC2850" i="26"/>
  <c r="AD2846" i="26"/>
  <c r="AC2846" i="26"/>
  <c r="AD2842" i="26"/>
  <c r="AC2842" i="26"/>
  <c r="AD2838" i="26"/>
  <c r="AC2838" i="26"/>
  <c r="AD2834" i="26"/>
  <c r="AC2834" i="26"/>
  <c r="AD2830" i="26"/>
  <c r="AC2830" i="26"/>
  <c r="AD2826" i="26"/>
  <c r="AC2826" i="26"/>
  <c r="AD2822" i="26"/>
  <c r="AC2822" i="26"/>
  <c r="AD2818" i="26"/>
  <c r="AC2818" i="26"/>
  <c r="AD2814" i="26"/>
  <c r="AC2814" i="26"/>
  <c r="AD2810" i="26"/>
  <c r="AC2810" i="26"/>
  <c r="AD2806" i="26"/>
  <c r="AC2806" i="26"/>
  <c r="AD2802" i="26"/>
  <c r="AC2802" i="26"/>
  <c r="AD2798" i="26"/>
  <c r="AC2798" i="26"/>
  <c r="AD2794" i="26"/>
  <c r="AC2794" i="26"/>
  <c r="AD2790" i="26"/>
  <c r="AC2790" i="26"/>
  <c r="AD2786" i="26"/>
  <c r="AC2786" i="26"/>
  <c r="AD2782" i="26"/>
  <c r="AC2782" i="26"/>
  <c r="AD2778" i="26"/>
  <c r="AC2778" i="26"/>
  <c r="AD2774" i="26"/>
  <c r="AC2774" i="26"/>
  <c r="AD2770" i="26"/>
  <c r="AC2770" i="26"/>
  <c r="AD2766" i="26"/>
  <c r="AC2766" i="26"/>
  <c r="AD2762" i="26"/>
  <c r="AC2762" i="26"/>
  <c r="AD2758" i="26"/>
  <c r="AC2758" i="26"/>
  <c r="AD2754" i="26"/>
  <c r="AC2754" i="26"/>
  <c r="AD2750" i="26"/>
  <c r="AC2750" i="26"/>
  <c r="AD2746" i="26"/>
  <c r="AC2746" i="26"/>
  <c r="AD2742" i="26"/>
  <c r="AC2742" i="26"/>
  <c r="AD2738" i="26"/>
  <c r="AC2738" i="26"/>
  <c r="AD2734" i="26"/>
  <c r="AC2734" i="26"/>
  <c r="AD2730" i="26"/>
  <c r="AC2730" i="26"/>
  <c r="AD2726" i="26"/>
  <c r="AC2726" i="26"/>
  <c r="AD2722" i="26"/>
  <c r="AC2722" i="26"/>
  <c r="AD2718" i="26"/>
  <c r="AC2718" i="26"/>
  <c r="AD2714" i="26"/>
  <c r="AC2714" i="26"/>
  <c r="AD2710" i="26"/>
  <c r="AC2710" i="26"/>
  <c r="AD2706" i="26"/>
  <c r="AC2706" i="26"/>
  <c r="AD2702" i="26"/>
  <c r="AC2702" i="26"/>
  <c r="AD2698" i="26"/>
  <c r="AC2698" i="26"/>
  <c r="AD2694" i="26"/>
  <c r="AC2694" i="26"/>
  <c r="AD2690" i="26"/>
  <c r="AC2690" i="26"/>
  <c r="AD2686" i="26"/>
  <c r="AC2686" i="26"/>
  <c r="AD2682" i="26"/>
  <c r="AC2682" i="26"/>
  <c r="AD2678" i="26"/>
  <c r="AC2678" i="26"/>
  <c r="AD2674" i="26"/>
  <c r="AC2674" i="26"/>
  <c r="AD2670" i="26"/>
  <c r="AC2670" i="26"/>
  <c r="AD2666" i="26"/>
  <c r="AC2666" i="26"/>
  <c r="AD2662" i="26"/>
  <c r="AC2662" i="26"/>
  <c r="AD2658" i="26"/>
  <c r="AC2658" i="26"/>
  <c r="AD2654" i="26"/>
  <c r="AC2654" i="26"/>
  <c r="AD2650" i="26"/>
  <c r="AC2650" i="26"/>
  <c r="AD2646" i="26"/>
  <c r="AC2646" i="26"/>
  <c r="AD2642" i="26"/>
  <c r="AC2642" i="26"/>
  <c r="AD2638" i="26"/>
  <c r="AC2638" i="26"/>
  <c r="AD2634" i="26"/>
  <c r="AC2634" i="26"/>
  <c r="AD2630" i="26"/>
  <c r="AC2630" i="26"/>
  <c r="AD2626" i="26"/>
  <c r="AC2626" i="26"/>
  <c r="AD2622" i="26"/>
  <c r="AC2622" i="26"/>
  <c r="AD2618" i="26"/>
  <c r="AC2618" i="26"/>
  <c r="AD2614" i="26"/>
  <c r="AC2614" i="26"/>
  <c r="AD2610" i="26"/>
  <c r="AC2610" i="26"/>
  <c r="AD2606" i="26"/>
  <c r="AC2606" i="26"/>
  <c r="AD2602" i="26"/>
  <c r="AC2602" i="26"/>
  <c r="AD2598" i="26"/>
  <c r="AC2598" i="26"/>
  <c r="AB2598" i="26"/>
  <c r="AD2594" i="26"/>
  <c r="AC2594" i="26"/>
  <c r="AB2594" i="26"/>
  <c r="AD2590" i="26"/>
  <c r="AC2590" i="26"/>
  <c r="AB2590" i="26"/>
  <c r="AD2586" i="26"/>
  <c r="AC2586" i="26"/>
  <c r="AB2586" i="26"/>
  <c r="AD2582" i="26"/>
  <c r="AC2582" i="26"/>
  <c r="AB2582" i="26"/>
  <c r="AD2578" i="26"/>
  <c r="AC2578" i="26"/>
  <c r="AB2578" i="26"/>
  <c r="AD2574" i="26"/>
  <c r="AC2574" i="26"/>
  <c r="AB2574" i="26"/>
  <c r="AD2570" i="26"/>
  <c r="AC2570" i="26"/>
  <c r="AB2570" i="26"/>
  <c r="AD2566" i="26"/>
  <c r="AC2566" i="26"/>
  <c r="AB2566" i="26"/>
  <c r="AD2562" i="26"/>
  <c r="AC2562" i="26"/>
  <c r="AB2562" i="26"/>
  <c r="AD2558" i="26"/>
  <c r="AC2558" i="26"/>
  <c r="AB2558" i="26"/>
  <c r="AD2554" i="26"/>
  <c r="AC2554" i="26"/>
  <c r="AB2554" i="26"/>
  <c r="AD2550" i="26"/>
  <c r="AC2550" i="26"/>
  <c r="AB2550" i="26"/>
  <c r="AD2546" i="26"/>
  <c r="AC2546" i="26"/>
  <c r="AB2546" i="26"/>
  <c r="AD2542" i="26"/>
  <c r="AC2542" i="26"/>
  <c r="AB2542" i="26"/>
  <c r="AD2538" i="26"/>
  <c r="AC2538" i="26"/>
  <c r="AB2538" i="26"/>
  <c r="AD2534" i="26"/>
  <c r="AC2534" i="26"/>
  <c r="AB2534" i="26"/>
  <c r="AD2530" i="26"/>
  <c r="AC2530" i="26"/>
  <c r="AB2530" i="26"/>
  <c r="AD2526" i="26"/>
  <c r="AC2526" i="26"/>
  <c r="AB2526" i="26"/>
  <c r="AD2522" i="26"/>
  <c r="AC2522" i="26"/>
  <c r="AB2522" i="26"/>
  <c r="AD2518" i="26"/>
  <c r="AC2518" i="26"/>
  <c r="AB2518" i="26"/>
  <c r="AD2514" i="26"/>
  <c r="AC2514" i="26"/>
  <c r="AB2514" i="26"/>
  <c r="AD2510" i="26"/>
  <c r="AC2510" i="26"/>
  <c r="AB2510" i="26"/>
  <c r="AD2506" i="26"/>
  <c r="AC2506" i="26"/>
  <c r="AB2506" i="26"/>
  <c r="AD2502" i="26"/>
  <c r="AC2502" i="26"/>
  <c r="AB2502" i="26"/>
  <c r="AD2498" i="26"/>
  <c r="AC2498" i="26"/>
  <c r="AB2498" i="26"/>
  <c r="AD2494" i="26"/>
  <c r="AC2494" i="26"/>
  <c r="AB2494" i="26"/>
  <c r="AD2490" i="26"/>
  <c r="AC2490" i="26"/>
  <c r="AB2490" i="26"/>
  <c r="AD2486" i="26"/>
  <c r="AC2486" i="26"/>
  <c r="AB2486" i="26"/>
  <c r="AD2482" i="26"/>
  <c r="AC2482" i="26"/>
  <c r="AB2482" i="26"/>
  <c r="AD2478" i="26"/>
  <c r="AC2478" i="26"/>
  <c r="AB2478" i="26"/>
  <c r="AD2474" i="26"/>
  <c r="AC2474" i="26"/>
  <c r="AB2474" i="26"/>
  <c r="AD2470" i="26"/>
  <c r="AC2470" i="26"/>
  <c r="AB2470" i="26"/>
  <c r="AD2466" i="26"/>
  <c r="AC2466" i="26"/>
  <c r="AB2466" i="26"/>
  <c r="AD2462" i="26"/>
  <c r="AC2462" i="26"/>
  <c r="AB2462" i="26"/>
  <c r="AD2458" i="26"/>
  <c r="AC2458" i="26"/>
  <c r="AB2458" i="26"/>
  <c r="AD2454" i="26"/>
  <c r="AC2454" i="26"/>
  <c r="AB2454" i="26"/>
  <c r="AD2450" i="26"/>
  <c r="AC2450" i="26"/>
  <c r="AB2450" i="26"/>
  <c r="AD2446" i="26"/>
  <c r="AC2446" i="26"/>
  <c r="AB2446" i="26"/>
  <c r="AD2442" i="26"/>
  <c r="AC2442" i="26"/>
  <c r="AB2442" i="26"/>
  <c r="AD2438" i="26"/>
  <c r="AC2438" i="26"/>
  <c r="AB2438" i="26"/>
  <c r="AD2434" i="26"/>
  <c r="AC2434" i="26"/>
  <c r="AB2434" i="26"/>
  <c r="AD2430" i="26"/>
  <c r="AC2430" i="26"/>
  <c r="AB2430" i="26"/>
  <c r="AD2426" i="26"/>
  <c r="AC2426" i="26"/>
  <c r="AB2426" i="26"/>
  <c r="AD2422" i="26"/>
  <c r="AC2422" i="26"/>
  <c r="AB2422" i="26"/>
  <c r="AD2418" i="26"/>
  <c r="AC2418" i="26"/>
  <c r="AB2418" i="26"/>
  <c r="AD2414" i="26"/>
  <c r="AC2414" i="26"/>
  <c r="AB2414" i="26"/>
  <c r="AD2410" i="26"/>
  <c r="AC2410" i="26"/>
  <c r="AB2410" i="26"/>
  <c r="AD2406" i="26"/>
  <c r="AC2406" i="26"/>
  <c r="AB2406" i="26"/>
  <c r="AD2402" i="26"/>
  <c r="AC2402" i="26"/>
  <c r="AB2402" i="26"/>
  <c r="AD2398" i="26"/>
  <c r="AC2398" i="26"/>
  <c r="AB2398" i="26"/>
  <c r="AD2394" i="26"/>
  <c r="AC2394" i="26"/>
  <c r="AB2394" i="26"/>
  <c r="AD2390" i="26"/>
  <c r="AC2390" i="26"/>
  <c r="AB2390" i="26"/>
  <c r="AD2386" i="26"/>
  <c r="AC2386" i="26"/>
  <c r="AB2386" i="26"/>
  <c r="AD2382" i="26"/>
  <c r="AC2382" i="26"/>
  <c r="AB2382" i="26"/>
  <c r="AD2378" i="26"/>
  <c r="AC2378" i="26"/>
  <c r="AB2378" i="26"/>
  <c r="AD2374" i="26"/>
  <c r="AC2374" i="26"/>
  <c r="AB2374" i="26"/>
  <c r="AD2370" i="26"/>
  <c r="AC2370" i="26"/>
  <c r="AB2370" i="26"/>
  <c r="AD2366" i="26"/>
  <c r="AC2366" i="26"/>
  <c r="AB2366" i="26"/>
  <c r="AD2362" i="26"/>
  <c r="AC2362" i="26"/>
  <c r="AB2362" i="26"/>
  <c r="AD2358" i="26"/>
  <c r="AC2358" i="26"/>
  <c r="AB2358" i="26"/>
  <c r="AD2354" i="26"/>
  <c r="AC2354" i="26"/>
  <c r="AB2354" i="26"/>
  <c r="AD2350" i="26"/>
  <c r="AC2350" i="26"/>
  <c r="AB2350" i="26"/>
  <c r="AD2346" i="26"/>
  <c r="AC2346" i="26"/>
  <c r="AB2346" i="26"/>
  <c r="AD2342" i="26"/>
  <c r="AC2342" i="26"/>
  <c r="AB2342" i="26"/>
  <c r="AD2338" i="26"/>
  <c r="AC2338" i="26"/>
  <c r="AB2338" i="26"/>
  <c r="AD2334" i="26"/>
  <c r="AC2334" i="26"/>
  <c r="AB2334" i="26"/>
  <c r="AD2330" i="26"/>
  <c r="AC2330" i="26"/>
  <c r="AB2330" i="26"/>
  <c r="AD2326" i="26"/>
  <c r="AC2326" i="26"/>
  <c r="AB2326" i="26"/>
  <c r="AD2322" i="26"/>
  <c r="AC2322" i="26"/>
  <c r="AB2322" i="26"/>
  <c r="AD2318" i="26"/>
  <c r="AC2318" i="26"/>
  <c r="AB2318" i="26"/>
  <c r="AD2314" i="26"/>
  <c r="AC2314" i="26"/>
  <c r="AB2314" i="26"/>
  <c r="AD2310" i="26"/>
  <c r="AC2310" i="26"/>
  <c r="AB2310" i="26"/>
  <c r="AD2306" i="26"/>
  <c r="AC2306" i="26"/>
  <c r="AB2306" i="26"/>
  <c r="AD2302" i="26"/>
  <c r="AC2302" i="26"/>
  <c r="AB2302" i="26"/>
  <c r="AD2298" i="26"/>
  <c r="AC2298" i="26"/>
  <c r="AB2298" i="26"/>
  <c r="AD2294" i="26"/>
  <c r="AC2294" i="26"/>
  <c r="AB2294" i="26"/>
  <c r="AD2290" i="26"/>
  <c r="AC2290" i="26"/>
  <c r="AB2290" i="26"/>
  <c r="AD2286" i="26"/>
  <c r="AC2286" i="26"/>
  <c r="AB2286" i="26"/>
  <c r="AD2282" i="26"/>
  <c r="AC2282" i="26"/>
  <c r="AB2282" i="26"/>
  <c r="AD2278" i="26"/>
  <c r="AC2278" i="26"/>
  <c r="AB2278" i="26"/>
  <c r="AD2274" i="26"/>
  <c r="AC2274" i="26"/>
  <c r="AB2274" i="26"/>
  <c r="AD2270" i="26"/>
  <c r="AC2270" i="26"/>
  <c r="AB2270" i="26"/>
  <c r="AD2266" i="26"/>
  <c r="AC2266" i="26"/>
  <c r="AB2266" i="26"/>
  <c r="AD2262" i="26"/>
  <c r="AC2262" i="26"/>
  <c r="AB2262" i="26"/>
  <c r="AD2258" i="26"/>
  <c r="AC2258" i="26"/>
  <c r="AB2258" i="26"/>
  <c r="AD2254" i="26"/>
  <c r="AC2254" i="26"/>
  <c r="AB2254" i="26"/>
  <c r="AD2250" i="26"/>
  <c r="AC2250" i="26"/>
  <c r="AB2250" i="26"/>
  <c r="AD2246" i="26"/>
  <c r="AC2246" i="26"/>
  <c r="AB2246" i="26"/>
  <c r="AD2242" i="26"/>
  <c r="AC2242" i="26"/>
  <c r="AB2242" i="26"/>
  <c r="AD2238" i="26"/>
  <c r="AC2238" i="26"/>
  <c r="AB2238" i="26"/>
  <c r="AD2234" i="26"/>
  <c r="AC2234" i="26"/>
  <c r="AB2234" i="26"/>
  <c r="AD2230" i="26"/>
  <c r="AC2230" i="26"/>
  <c r="AB2230" i="26"/>
  <c r="AD2226" i="26"/>
  <c r="AC2226" i="26"/>
  <c r="AB2226" i="26"/>
  <c r="AD2222" i="26"/>
  <c r="AC2222" i="26"/>
  <c r="AB2222" i="26"/>
  <c r="AD2218" i="26"/>
  <c r="AC2218" i="26"/>
  <c r="AB2218" i="26"/>
  <c r="AD2214" i="26"/>
  <c r="AC2214" i="26"/>
  <c r="AB2214" i="26"/>
  <c r="AD2210" i="26"/>
  <c r="AC2210" i="26"/>
  <c r="AB2210" i="26"/>
  <c r="AD2206" i="26"/>
  <c r="AC2206" i="26"/>
  <c r="AB2206" i="26"/>
  <c r="AD2202" i="26"/>
  <c r="AC2202" i="26"/>
  <c r="AB2202" i="26"/>
  <c r="AD2198" i="26"/>
  <c r="AC2198" i="26"/>
  <c r="AB2198" i="26"/>
  <c r="AD2194" i="26"/>
  <c r="AC2194" i="26"/>
  <c r="AB2194" i="26"/>
  <c r="AD2190" i="26"/>
  <c r="AC2190" i="26"/>
  <c r="AB2190" i="26"/>
  <c r="AD2186" i="26"/>
  <c r="AC2186" i="26"/>
  <c r="AB2186" i="26"/>
  <c r="AD2182" i="26"/>
  <c r="AC2182" i="26"/>
  <c r="AB2182" i="26"/>
  <c r="AD2178" i="26"/>
  <c r="AC2178" i="26"/>
  <c r="AB2178" i="26"/>
  <c r="AD2174" i="26"/>
  <c r="AC2174" i="26"/>
  <c r="AB2174" i="26"/>
  <c r="AD2170" i="26"/>
  <c r="AC2170" i="26"/>
  <c r="AB2170" i="26"/>
  <c r="AD2166" i="26"/>
  <c r="AC2166" i="26"/>
  <c r="AB2166" i="26"/>
  <c r="AD2162" i="26"/>
  <c r="AC2162" i="26"/>
  <c r="AB2162" i="26"/>
  <c r="AD2158" i="26"/>
  <c r="AC2158" i="26"/>
  <c r="AB2158" i="26"/>
  <c r="AD2154" i="26"/>
  <c r="AC2154" i="26"/>
  <c r="AB2154" i="26"/>
  <c r="AD2150" i="26"/>
  <c r="AC2150" i="26"/>
  <c r="AB2150" i="26"/>
  <c r="AD2146" i="26"/>
  <c r="AC2146" i="26"/>
  <c r="AB2146" i="26"/>
  <c r="AD2142" i="26"/>
  <c r="AC2142" i="26"/>
  <c r="AB2142" i="26"/>
  <c r="AD2138" i="26"/>
  <c r="AC2138" i="26"/>
  <c r="AB2138" i="26"/>
  <c r="AD2134" i="26"/>
  <c r="AC2134" i="26"/>
  <c r="AB2134" i="26"/>
  <c r="AD2130" i="26"/>
  <c r="AC2130" i="26"/>
  <c r="AB2130" i="26"/>
  <c r="AD2126" i="26"/>
  <c r="AC2126" i="26"/>
  <c r="AB2126" i="26"/>
  <c r="AD2122" i="26"/>
  <c r="AC2122" i="26"/>
  <c r="AB2122" i="26"/>
  <c r="AD2118" i="26"/>
  <c r="AC2118" i="26"/>
  <c r="AB2118" i="26"/>
  <c r="AD2114" i="26"/>
  <c r="AC2114" i="26"/>
  <c r="AB2114" i="26"/>
  <c r="AD2110" i="26"/>
  <c r="AC2110" i="26"/>
  <c r="AB2110" i="26"/>
  <c r="AD2106" i="26"/>
  <c r="AC2106" i="26"/>
  <c r="AB2106" i="26"/>
  <c r="AD2102" i="26"/>
  <c r="AC2102" i="26"/>
  <c r="AB2102" i="26"/>
  <c r="AD2098" i="26"/>
  <c r="AC2098" i="26"/>
  <c r="AB2098" i="26"/>
  <c r="AD2094" i="26"/>
  <c r="AC2094" i="26"/>
  <c r="AB2094" i="26"/>
  <c r="AD2090" i="26"/>
  <c r="AC2090" i="26"/>
  <c r="AB2090" i="26"/>
  <c r="AD2086" i="26"/>
  <c r="AC2086" i="26"/>
  <c r="AB2086" i="26"/>
  <c r="AD2082" i="26"/>
  <c r="AC2082" i="26"/>
  <c r="AB2082" i="26"/>
  <c r="AD2078" i="26"/>
  <c r="AC2078" i="26"/>
  <c r="AB2078" i="26"/>
  <c r="AD2074" i="26"/>
  <c r="AC2074" i="26"/>
  <c r="AB2074" i="26"/>
  <c r="AD2070" i="26"/>
  <c r="AC2070" i="26"/>
  <c r="AB2070" i="26"/>
  <c r="AD2066" i="26"/>
  <c r="AC2066" i="26"/>
  <c r="AB2066" i="26"/>
  <c r="AD2062" i="26"/>
  <c r="AC2062" i="26"/>
  <c r="AB2062" i="26"/>
  <c r="AD2058" i="26"/>
  <c r="AC2058" i="26"/>
  <c r="AB2058" i="26"/>
  <c r="AD2054" i="26"/>
  <c r="AC2054" i="26"/>
  <c r="AB2054" i="26"/>
  <c r="AD2050" i="26"/>
  <c r="AC2050" i="26"/>
  <c r="AB2050" i="26"/>
  <c r="AD2046" i="26"/>
  <c r="AC2046" i="26"/>
  <c r="AB2046" i="26"/>
  <c r="AD2042" i="26"/>
  <c r="AC2042" i="26"/>
  <c r="AB2042" i="26"/>
  <c r="AD2038" i="26"/>
  <c r="AC2038" i="26"/>
  <c r="AB2038" i="26"/>
  <c r="AD2034" i="26"/>
  <c r="AC2034" i="26"/>
  <c r="AB2034" i="26"/>
  <c r="AD2030" i="26"/>
  <c r="AC2030" i="26"/>
  <c r="AB2030" i="26"/>
  <c r="AD2026" i="26"/>
  <c r="AC2026" i="26"/>
  <c r="AB2026" i="26"/>
  <c r="AD2022" i="26"/>
  <c r="AC2022" i="26"/>
  <c r="AB2022" i="26"/>
  <c r="AD2018" i="26"/>
  <c r="AC2018" i="26"/>
  <c r="AB2018" i="26"/>
  <c r="AD2014" i="26"/>
  <c r="AC2014" i="26"/>
  <c r="AB2014" i="26"/>
  <c r="AD2010" i="26"/>
  <c r="AC2010" i="26"/>
  <c r="AB2010" i="26"/>
  <c r="AD2006" i="26"/>
  <c r="AC2006" i="26"/>
  <c r="AB2006" i="26"/>
  <c r="AD2002" i="26"/>
  <c r="AC2002" i="26"/>
  <c r="AB2002" i="26"/>
  <c r="AD1998" i="26"/>
  <c r="AC1998" i="26"/>
  <c r="AB1998" i="26"/>
  <c r="AD1994" i="26"/>
  <c r="AC1994" i="26"/>
  <c r="AB1994" i="26"/>
  <c r="AD1990" i="26"/>
  <c r="AC1990" i="26"/>
  <c r="AB1990" i="26"/>
  <c r="AD1986" i="26"/>
  <c r="AC1986" i="26"/>
  <c r="AB1986" i="26"/>
  <c r="AD1982" i="26"/>
  <c r="AC1982" i="26"/>
  <c r="AB1982" i="26"/>
  <c r="AD1978" i="26"/>
  <c r="AC1978" i="26"/>
  <c r="AB1978" i="26"/>
  <c r="AD1974" i="26"/>
  <c r="AC1974" i="26"/>
  <c r="AB1974" i="26"/>
  <c r="AD1970" i="26"/>
  <c r="AC1970" i="26"/>
  <c r="AB1970" i="26"/>
  <c r="AD1966" i="26"/>
  <c r="AC1966" i="26"/>
  <c r="AB1966" i="26"/>
  <c r="AD1962" i="26"/>
  <c r="AC1962" i="26"/>
  <c r="AB1962" i="26"/>
  <c r="AD1958" i="26"/>
  <c r="AC1958" i="26"/>
  <c r="AB1958" i="26"/>
  <c r="AD1954" i="26"/>
  <c r="AC1954" i="26"/>
  <c r="AB1954" i="26"/>
  <c r="AD1950" i="26"/>
  <c r="AC1950" i="26"/>
  <c r="AB1950" i="26"/>
  <c r="AD1946" i="26"/>
  <c r="AC1946" i="26"/>
  <c r="AB1946" i="26"/>
  <c r="AD1942" i="26"/>
  <c r="AC1942" i="26"/>
  <c r="AB1942" i="26"/>
  <c r="AD1938" i="26"/>
  <c r="AC1938" i="26"/>
  <c r="AB1938" i="26"/>
  <c r="AD1934" i="26"/>
  <c r="AC1934" i="26"/>
  <c r="AB1934" i="26"/>
  <c r="AD1930" i="26"/>
  <c r="AC1930" i="26"/>
  <c r="AB1930" i="26"/>
  <c r="AD1926" i="26"/>
  <c r="AC1926" i="26"/>
  <c r="AB1926" i="26"/>
  <c r="AD1922" i="26"/>
  <c r="AC1922" i="26"/>
  <c r="AB1922" i="26"/>
  <c r="AD1918" i="26"/>
  <c r="AC1918" i="26"/>
  <c r="AB1918" i="26"/>
  <c r="AD1914" i="26"/>
  <c r="AC1914" i="26"/>
  <c r="AB1914" i="26"/>
  <c r="AD1910" i="26"/>
  <c r="AC1910" i="26"/>
  <c r="AB1910" i="26"/>
  <c r="AD1906" i="26"/>
  <c r="AC1906" i="26"/>
  <c r="AB1906" i="26"/>
  <c r="AD1902" i="26"/>
  <c r="AC1902" i="26"/>
  <c r="AB1902" i="26"/>
  <c r="AD1898" i="26"/>
  <c r="AC1898" i="26"/>
  <c r="AB1898" i="26"/>
  <c r="AD1894" i="26"/>
  <c r="AC1894" i="26"/>
  <c r="AB1894" i="26"/>
  <c r="AD1890" i="26"/>
  <c r="AC1890" i="26"/>
  <c r="AB1890" i="26"/>
  <c r="AD1886" i="26"/>
  <c r="AC1886" i="26"/>
  <c r="AB1886" i="26"/>
  <c r="AD1882" i="26"/>
  <c r="AC1882" i="26"/>
  <c r="AB1882" i="26"/>
  <c r="AD1878" i="26"/>
  <c r="AC1878" i="26"/>
  <c r="AB1878" i="26"/>
  <c r="AD1874" i="26"/>
  <c r="AC1874" i="26"/>
  <c r="AB1874" i="26"/>
  <c r="AD1870" i="26"/>
  <c r="AC1870" i="26"/>
  <c r="AB1870" i="26"/>
  <c r="AD1866" i="26"/>
  <c r="AC1866" i="26"/>
  <c r="AB1866" i="26"/>
  <c r="AD1862" i="26"/>
  <c r="AC1862" i="26"/>
  <c r="AB1862" i="26"/>
  <c r="AD1858" i="26"/>
  <c r="AC1858" i="26"/>
  <c r="AB1858" i="26"/>
  <c r="AD1854" i="26"/>
  <c r="AC1854" i="26"/>
  <c r="AB1854" i="26"/>
  <c r="AD1850" i="26"/>
  <c r="AC1850" i="26"/>
  <c r="AB1850" i="26"/>
  <c r="AD1846" i="26"/>
  <c r="AC1846" i="26"/>
  <c r="AB1846" i="26"/>
  <c r="AD1842" i="26"/>
  <c r="AC1842" i="26"/>
  <c r="AB1842" i="26"/>
  <c r="AD1838" i="26"/>
  <c r="AC1838" i="26"/>
  <c r="AB1838" i="26"/>
  <c r="AD1834" i="26"/>
  <c r="AC1834" i="26"/>
  <c r="AB1834" i="26"/>
  <c r="AD1830" i="26"/>
  <c r="AC1830" i="26"/>
  <c r="AB1830" i="26"/>
  <c r="AD1826" i="26"/>
  <c r="AC1826" i="26"/>
  <c r="AB1826" i="26"/>
  <c r="AD1822" i="26"/>
  <c r="AC1822" i="26"/>
  <c r="AB1822" i="26"/>
  <c r="AD1818" i="26"/>
  <c r="AC1818" i="26"/>
  <c r="AB1818" i="26"/>
  <c r="AD1814" i="26"/>
  <c r="AC1814" i="26"/>
  <c r="AB1814" i="26"/>
  <c r="AD1810" i="26"/>
  <c r="AC1810" i="26"/>
  <c r="AB1810" i="26"/>
  <c r="AD1806" i="26"/>
  <c r="AC1806" i="26"/>
  <c r="AB1806" i="26"/>
  <c r="AD1802" i="26"/>
  <c r="AC1802" i="26"/>
  <c r="AB1802" i="26"/>
  <c r="AD1798" i="26"/>
  <c r="AC1798" i="26"/>
  <c r="AB1798" i="26"/>
  <c r="AD1794" i="26"/>
  <c r="AC1794" i="26"/>
  <c r="AB1794" i="26"/>
  <c r="AD1790" i="26"/>
  <c r="AC1790" i="26"/>
  <c r="AB1790" i="26"/>
  <c r="AD1786" i="26"/>
  <c r="AC1786" i="26"/>
  <c r="AB1786" i="26"/>
  <c r="AD1782" i="26"/>
  <c r="AC1782" i="26"/>
  <c r="AB1782" i="26"/>
  <c r="AD1778" i="26"/>
  <c r="AC1778" i="26"/>
  <c r="AB1778" i="26"/>
  <c r="AD1774" i="26"/>
  <c r="AC1774" i="26"/>
  <c r="AB1774" i="26"/>
  <c r="AD1770" i="26"/>
  <c r="AC1770" i="26"/>
  <c r="AB1770" i="26"/>
  <c r="AD1766" i="26"/>
  <c r="AC1766" i="26"/>
  <c r="AB1766" i="26"/>
  <c r="AD1762" i="26"/>
  <c r="AC1762" i="26"/>
  <c r="AB1762" i="26"/>
  <c r="AD1758" i="26"/>
  <c r="AC1758" i="26"/>
  <c r="AB1758" i="26"/>
  <c r="AD1754" i="26"/>
  <c r="AC1754" i="26"/>
  <c r="AB1754" i="26"/>
  <c r="AD1750" i="26"/>
  <c r="AC1750" i="26"/>
  <c r="AB1750" i="26"/>
  <c r="AD1746" i="26"/>
  <c r="AC1746" i="26"/>
  <c r="AB1746" i="26"/>
  <c r="AD1742" i="26"/>
  <c r="AC1742" i="26"/>
  <c r="AB1742" i="26"/>
  <c r="AD1738" i="26"/>
  <c r="AC1738" i="26"/>
  <c r="AB1738" i="26"/>
  <c r="AD1734" i="26"/>
  <c r="AC1734" i="26"/>
  <c r="AB1734" i="26"/>
  <c r="AD1730" i="26"/>
  <c r="AC1730" i="26"/>
  <c r="AB1730" i="26"/>
  <c r="AD1726" i="26"/>
  <c r="AC1726" i="26"/>
  <c r="AB1726" i="26"/>
  <c r="AD1722" i="26"/>
  <c r="AC1722" i="26"/>
  <c r="AB1722" i="26"/>
  <c r="AD1718" i="26"/>
  <c r="AC1718" i="26"/>
  <c r="AB1718" i="26"/>
  <c r="AD1714" i="26"/>
  <c r="AC1714" i="26"/>
  <c r="AB1714" i="26"/>
  <c r="AD1710" i="26"/>
  <c r="AC1710" i="26"/>
  <c r="AB1710" i="26"/>
  <c r="AD1706" i="26"/>
  <c r="AC1706" i="26"/>
  <c r="AB1706" i="26"/>
  <c r="AD1702" i="26"/>
  <c r="AC1702" i="26"/>
  <c r="AB1702" i="26"/>
  <c r="AD1698" i="26"/>
  <c r="AC1698" i="26"/>
  <c r="AB1698" i="26"/>
  <c r="AD1694" i="26"/>
  <c r="AC1694" i="26"/>
  <c r="AB1694" i="26"/>
  <c r="AD1690" i="26"/>
  <c r="AC1690" i="26"/>
  <c r="AB1690" i="26"/>
  <c r="AD1686" i="26"/>
  <c r="AC1686" i="26"/>
  <c r="AB1686" i="26"/>
  <c r="AD1682" i="26"/>
  <c r="AC1682" i="26"/>
  <c r="AB1682" i="26"/>
  <c r="AD1678" i="26"/>
  <c r="AC1678" i="26"/>
  <c r="AB1678" i="26"/>
  <c r="AD1674" i="26"/>
  <c r="AC1674" i="26"/>
  <c r="AB1674" i="26"/>
  <c r="AD1670" i="26"/>
  <c r="AC1670" i="26"/>
  <c r="AB1670" i="26"/>
  <c r="AD1666" i="26"/>
  <c r="AC1666" i="26"/>
  <c r="AB1666" i="26"/>
  <c r="AD1662" i="26"/>
  <c r="AC1662" i="26"/>
  <c r="AB1662" i="26"/>
  <c r="AD1658" i="26"/>
  <c r="AC1658" i="26"/>
  <c r="AB1658" i="26"/>
  <c r="AD1654" i="26"/>
  <c r="AC1654" i="26"/>
  <c r="AB1654" i="26"/>
  <c r="AD1650" i="26"/>
  <c r="AC1650" i="26"/>
  <c r="AB1650" i="26"/>
  <c r="AD1646" i="26"/>
  <c r="AC1646" i="26"/>
  <c r="AB1646" i="26"/>
  <c r="AD1642" i="26"/>
  <c r="AC1642" i="26"/>
  <c r="AB1642" i="26"/>
  <c r="AD1638" i="26"/>
  <c r="AC1638" i="26"/>
  <c r="AB1638" i="26"/>
  <c r="AD1634" i="26"/>
  <c r="AC1634" i="26"/>
  <c r="AB1634" i="26"/>
  <c r="AD1630" i="26"/>
  <c r="AC1630" i="26"/>
  <c r="AB1630" i="26"/>
  <c r="AD1626" i="26"/>
  <c r="AC1626" i="26"/>
  <c r="AB1626" i="26"/>
  <c r="AD1622" i="26"/>
  <c r="AC1622" i="26"/>
  <c r="AB1622" i="26"/>
  <c r="AD1618" i="26"/>
  <c r="AC1618" i="26"/>
  <c r="AB1618" i="26"/>
  <c r="AD1614" i="26"/>
  <c r="AC1614" i="26"/>
  <c r="AB1614" i="26"/>
  <c r="AD1610" i="26"/>
  <c r="AC1610" i="26"/>
  <c r="AB1610" i="26"/>
  <c r="AD1606" i="26"/>
  <c r="AC1606" i="26"/>
  <c r="AB1606" i="26"/>
  <c r="AD1602" i="26"/>
  <c r="AC1602" i="26"/>
  <c r="AB1602" i="26"/>
  <c r="AD1598" i="26"/>
  <c r="AC1598" i="26"/>
  <c r="AB1598" i="26"/>
  <c r="AD1594" i="26"/>
  <c r="AC1594" i="26"/>
  <c r="AB1594" i="26"/>
  <c r="AD1590" i="26"/>
  <c r="AC1590" i="26"/>
  <c r="AB1590" i="26"/>
  <c r="AD1586" i="26"/>
  <c r="AC1586" i="26"/>
  <c r="AB1586" i="26"/>
  <c r="AD1582" i="26"/>
  <c r="AC1582" i="26"/>
  <c r="AB1582" i="26"/>
  <c r="AD1578" i="26"/>
  <c r="AC1578" i="26"/>
  <c r="AB1578" i="26"/>
  <c r="AD1574" i="26"/>
  <c r="AC1574" i="26"/>
  <c r="AB1574" i="26"/>
  <c r="AD1570" i="26"/>
  <c r="AC1570" i="26"/>
  <c r="AB1570" i="26"/>
  <c r="AD1566" i="26"/>
  <c r="AC1566" i="26"/>
  <c r="AB1566" i="26"/>
  <c r="AD1562" i="26"/>
  <c r="AC1562" i="26"/>
  <c r="AB1562" i="26"/>
  <c r="AD1558" i="26"/>
  <c r="AC1558" i="26"/>
  <c r="AB1558" i="26"/>
  <c r="AD1554" i="26"/>
  <c r="AC1554" i="26"/>
  <c r="AB1554" i="26"/>
  <c r="AD1550" i="26"/>
  <c r="AC1550" i="26"/>
  <c r="AB1550" i="26"/>
  <c r="AD1546" i="26"/>
  <c r="AC1546" i="26"/>
  <c r="AB1546" i="26"/>
  <c r="AD1542" i="26"/>
  <c r="AC1542" i="26"/>
  <c r="AB1542" i="26"/>
  <c r="AD1538" i="26"/>
  <c r="AC1538" i="26"/>
  <c r="AB1538" i="26"/>
  <c r="AD1534" i="26"/>
  <c r="AC1534" i="26"/>
  <c r="AB1534" i="26"/>
  <c r="AD1530" i="26"/>
  <c r="AC1530" i="26"/>
  <c r="AB1530" i="26"/>
  <c r="AD1526" i="26"/>
  <c r="AC1526" i="26"/>
  <c r="AB1526" i="26"/>
  <c r="AD1522" i="26"/>
  <c r="AC1522" i="26"/>
  <c r="AB1522" i="26"/>
  <c r="AD1518" i="26"/>
  <c r="AC1518" i="26"/>
  <c r="AB1518" i="26"/>
  <c r="AD1514" i="26"/>
  <c r="AC1514" i="26"/>
  <c r="AB1514" i="26"/>
  <c r="AD1510" i="26"/>
  <c r="AC1510" i="26"/>
  <c r="AB1510" i="26"/>
  <c r="AD1506" i="26"/>
  <c r="AC1506" i="26"/>
  <c r="AB1506" i="26"/>
  <c r="AD1502" i="26"/>
  <c r="AC1502" i="26"/>
  <c r="AB1502" i="26"/>
  <c r="AD1498" i="26"/>
  <c r="AC1498" i="26"/>
  <c r="AB1498" i="26"/>
  <c r="AD1494" i="26"/>
  <c r="AC1494" i="26"/>
  <c r="AB1494" i="26"/>
  <c r="AD1490" i="26"/>
  <c r="AC1490" i="26"/>
  <c r="AB1490" i="26"/>
  <c r="AD1486" i="26"/>
  <c r="AC1486" i="26"/>
  <c r="AB1486" i="26"/>
  <c r="AD1482" i="26"/>
  <c r="AC1482" i="26"/>
  <c r="AB1482" i="26"/>
  <c r="AD1478" i="26"/>
  <c r="AC1478" i="26"/>
  <c r="AB1478" i="26"/>
  <c r="AD1474" i="26"/>
  <c r="AC1474" i="26"/>
  <c r="AB1474" i="26"/>
  <c r="AD1470" i="26"/>
  <c r="AC1470" i="26"/>
  <c r="AB1470" i="26"/>
  <c r="AD1466" i="26"/>
  <c r="AC1466" i="26"/>
  <c r="AB1466" i="26"/>
  <c r="AD1462" i="26"/>
  <c r="AC1462" i="26"/>
  <c r="AB1462" i="26"/>
  <c r="AD1458" i="26"/>
  <c r="AC1458" i="26"/>
  <c r="AB1458" i="26"/>
  <c r="AD1454" i="26"/>
  <c r="AC1454" i="26"/>
  <c r="AB1454" i="26"/>
  <c r="AD1450" i="26"/>
  <c r="AC1450" i="26"/>
  <c r="AB1450" i="26"/>
  <c r="AD1446" i="26"/>
  <c r="AC1446" i="26"/>
  <c r="AB1446" i="26"/>
  <c r="AD1442" i="26"/>
  <c r="AC1442" i="26"/>
  <c r="AB1442" i="26"/>
  <c r="AD1438" i="26"/>
  <c r="AC1438" i="26"/>
  <c r="AB1438" i="26"/>
  <c r="AD1434" i="26"/>
  <c r="AC1434" i="26"/>
  <c r="AB1434" i="26"/>
  <c r="AD1430" i="26"/>
  <c r="AC1430" i="26"/>
  <c r="AB1430" i="26"/>
  <c r="AD1426" i="26"/>
  <c r="AC1426" i="26"/>
  <c r="AB1426" i="26"/>
  <c r="AD1422" i="26"/>
  <c r="AC1422" i="26"/>
  <c r="AB1422" i="26"/>
  <c r="AD1418" i="26"/>
  <c r="AC1418" i="26"/>
  <c r="AB1418" i="26"/>
  <c r="AD1414" i="26"/>
  <c r="AC1414" i="26"/>
  <c r="AB1414" i="26"/>
  <c r="AD1410" i="26"/>
  <c r="AC1410" i="26"/>
  <c r="AB1410" i="26"/>
  <c r="AD1406" i="26"/>
  <c r="AC1406" i="26"/>
  <c r="AB1406" i="26"/>
  <c r="AD1402" i="26"/>
  <c r="AC1402" i="26"/>
  <c r="AB1402" i="26"/>
  <c r="AD1398" i="26"/>
  <c r="AC1398" i="26"/>
  <c r="AB1398" i="26"/>
  <c r="AD1394" i="26"/>
  <c r="AC1394" i="26"/>
  <c r="AB1394" i="26"/>
  <c r="AD1390" i="26"/>
  <c r="AC1390" i="26"/>
  <c r="AB1390" i="26"/>
  <c r="AD1386" i="26"/>
  <c r="AC1386" i="26"/>
  <c r="AB1386" i="26"/>
  <c r="AD1382" i="26"/>
  <c r="AC1382" i="26"/>
  <c r="AB1382" i="26"/>
  <c r="AD1378" i="26"/>
  <c r="AC1378" i="26"/>
  <c r="AB1378" i="26"/>
  <c r="AD1374" i="26"/>
  <c r="AC1374" i="26"/>
  <c r="AB1374" i="26"/>
  <c r="AD1370" i="26"/>
  <c r="AC1370" i="26"/>
  <c r="AB1370" i="26"/>
  <c r="AD1366" i="26"/>
  <c r="AC1366" i="26"/>
  <c r="AB1366" i="26"/>
  <c r="AD1362" i="26"/>
  <c r="AC1362" i="26"/>
  <c r="AB1362" i="26"/>
  <c r="AD1358" i="26"/>
  <c r="AC1358" i="26"/>
  <c r="AB1358" i="26"/>
  <c r="AD1354" i="26"/>
  <c r="AC1354" i="26"/>
  <c r="AB1354" i="26"/>
  <c r="AD1350" i="26"/>
  <c r="AC1350" i="26"/>
  <c r="AB1350" i="26"/>
  <c r="AD1346" i="26"/>
  <c r="AC1346" i="26"/>
  <c r="AB1346" i="26"/>
  <c r="AD1342" i="26"/>
  <c r="AC1342" i="26"/>
  <c r="AB1342" i="26"/>
  <c r="AD1338" i="26"/>
  <c r="AC1338" i="26"/>
  <c r="AB1338" i="26"/>
  <c r="AD1334" i="26"/>
  <c r="AC1334" i="26"/>
  <c r="AB1334" i="26"/>
  <c r="AD1330" i="26"/>
  <c r="AC1330" i="26"/>
  <c r="AB1330" i="26"/>
  <c r="AD1326" i="26"/>
  <c r="AC1326" i="26"/>
  <c r="AB1326" i="26"/>
  <c r="AD1322" i="26"/>
  <c r="AC1322" i="26"/>
  <c r="AB1322" i="26"/>
  <c r="AD1318" i="26"/>
  <c r="AC1318" i="26"/>
  <c r="AB1318" i="26"/>
  <c r="AD1314" i="26"/>
  <c r="AC1314" i="26"/>
  <c r="AB1314" i="26"/>
  <c r="AD1310" i="26"/>
  <c r="AC1310" i="26"/>
  <c r="AB1310" i="26"/>
  <c r="AD1306" i="26"/>
  <c r="AC1306" i="26"/>
  <c r="AB1306" i="26"/>
  <c r="AD1302" i="26"/>
  <c r="AC1302" i="26"/>
  <c r="AB1302" i="26"/>
  <c r="AD1298" i="26"/>
  <c r="AC1298" i="26"/>
  <c r="AB1298" i="26"/>
  <c r="AD1294" i="26"/>
  <c r="AC1294" i="26"/>
  <c r="AB1294" i="26"/>
  <c r="AD1290" i="26"/>
  <c r="AC1290" i="26"/>
  <c r="AB1290" i="26"/>
  <c r="AD1286" i="26"/>
  <c r="AC1286" i="26"/>
  <c r="AB1286" i="26"/>
  <c r="AD1282" i="26"/>
  <c r="AC1282" i="26"/>
  <c r="AB1282" i="26"/>
  <c r="AD1278" i="26"/>
  <c r="AC1278" i="26"/>
  <c r="AB1278" i="26"/>
  <c r="AD1274" i="26"/>
  <c r="AC1274" i="26"/>
  <c r="AB1274" i="26"/>
  <c r="AD1270" i="26"/>
  <c r="AC1270" i="26"/>
  <c r="AB1270" i="26"/>
  <c r="AD1266" i="26"/>
  <c r="AC1266" i="26"/>
  <c r="AB1266" i="26"/>
  <c r="AD1262" i="26"/>
  <c r="AC1262" i="26"/>
  <c r="AB1262" i="26"/>
  <c r="AD1258" i="26"/>
  <c r="AC1258" i="26"/>
  <c r="AB1258" i="26"/>
  <c r="AD1254" i="26"/>
  <c r="AC1254" i="26"/>
  <c r="AB1254" i="26"/>
  <c r="AD1250" i="26"/>
  <c r="AC1250" i="26"/>
  <c r="AB1250" i="26"/>
  <c r="AD1246" i="26"/>
  <c r="AC1246" i="26"/>
  <c r="AB1246" i="26"/>
  <c r="AD1242" i="26"/>
  <c r="AC1242" i="26"/>
  <c r="AB1242" i="26"/>
  <c r="AD1238" i="26"/>
  <c r="AC1238" i="26"/>
  <c r="AB1238" i="26"/>
  <c r="AD1234" i="26"/>
  <c r="AC1234" i="26"/>
  <c r="AB1234" i="26"/>
  <c r="AD1230" i="26"/>
  <c r="AC1230" i="26"/>
  <c r="AB1230" i="26"/>
  <c r="AD1226" i="26"/>
  <c r="AC1226" i="26"/>
  <c r="AB1226" i="26"/>
  <c r="AD1222" i="26"/>
  <c r="AC1222" i="26"/>
  <c r="AB1222" i="26"/>
  <c r="AD1218" i="26"/>
  <c r="AC1218" i="26"/>
  <c r="AB1218" i="26"/>
  <c r="AD1214" i="26"/>
  <c r="AC1214" i="26"/>
  <c r="AB1214" i="26"/>
  <c r="AD1210" i="26"/>
  <c r="AC1210" i="26"/>
  <c r="AB1210" i="26"/>
  <c r="AD1206" i="26"/>
  <c r="AC1206" i="26"/>
  <c r="AB1206" i="26"/>
  <c r="AD1202" i="26"/>
  <c r="AC1202" i="26"/>
  <c r="AB1202" i="26"/>
  <c r="AD1198" i="26"/>
  <c r="AC1198" i="26"/>
  <c r="AB1198" i="26"/>
  <c r="AD1194" i="26"/>
  <c r="AC1194" i="26"/>
  <c r="AB1194" i="26"/>
  <c r="AD1190" i="26"/>
  <c r="AC1190" i="26"/>
  <c r="AB1190" i="26"/>
  <c r="AD1186" i="26"/>
  <c r="AC1186" i="26"/>
  <c r="AB1186" i="26"/>
  <c r="AD1182" i="26"/>
  <c r="AC1182" i="26"/>
  <c r="AB1182" i="26"/>
  <c r="AD1178" i="26"/>
  <c r="AC1178" i="26"/>
  <c r="AB1178" i="26"/>
  <c r="AD1174" i="26"/>
  <c r="AC1174" i="26"/>
  <c r="AB1174" i="26"/>
  <c r="AD1170" i="26"/>
  <c r="AC1170" i="26"/>
  <c r="AB1170" i="26"/>
  <c r="AD1166" i="26"/>
  <c r="AC1166" i="26"/>
  <c r="AB1166" i="26"/>
  <c r="AD1162" i="26"/>
  <c r="AC1162" i="26"/>
  <c r="AB1162" i="26"/>
  <c r="AD1158" i="26"/>
  <c r="AC1158" i="26"/>
  <c r="AB1158" i="26"/>
  <c r="AD1154" i="26"/>
  <c r="AC1154" i="26"/>
  <c r="AB1154" i="26"/>
  <c r="AD1150" i="26"/>
  <c r="AC1150" i="26"/>
  <c r="AB1150" i="26"/>
  <c r="AD1146" i="26"/>
  <c r="AC1146" i="26"/>
  <c r="AB1146" i="26"/>
  <c r="AD1142" i="26"/>
  <c r="AC1142" i="26"/>
  <c r="AB1142" i="26"/>
  <c r="AD1138" i="26"/>
  <c r="AC1138" i="26"/>
  <c r="AB1138" i="26"/>
  <c r="AD1134" i="26"/>
  <c r="AC1134" i="26"/>
  <c r="AB1134" i="26"/>
  <c r="AD1130" i="26"/>
  <c r="AC1130" i="26"/>
  <c r="AB1130" i="26"/>
  <c r="AD1126" i="26"/>
  <c r="AC1126" i="26"/>
  <c r="AB1126" i="26"/>
  <c r="AD1122" i="26"/>
  <c r="AC1122" i="26"/>
  <c r="AB1122" i="26"/>
  <c r="AD1118" i="26"/>
  <c r="AC1118" i="26"/>
  <c r="AB1118" i="26"/>
  <c r="AD1114" i="26"/>
  <c r="AC1114" i="26"/>
  <c r="AB1114" i="26"/>
  <c r="AD1110" i="26"/>
  <c r="AC1110" i="26"/>
  <c r="AB1110" i="26"/>
  <c r="AD1106" i="26"/>
  <c r="AC1106" i="26"/>
  <c r="AB1106" i="26"/>
  <c r="AD1102" i="26"/>
  <c r="AC1102" i="26"/>
  <c r="AB1102" i="26"/>
  <c r="AD1098" i="26"/>
  <c r="AC1098" i="26"/>
  <c r="AB1098" i="26"/>
  <c r="AD1094" i="26"/>
  <c r="AC1094" i="26"/>
  <c r="AB1094" i="26"/>
  <c r="AD1090" i="26"/>
  <c r="AC1090" i="26"/>
  <c r="AB1090" i="26"/>
  <c r="AD1086" i="26"/>
  <c r="AC1086" i="26"/>
  <c r="AB1086" i="26"/>
  <c r="AD1082" i="26"/>
  <c r="AC1082" i="26"/>
  <c r="AB1082" i="26"/>
  <c r="AD1078" i="26"/>
  <c r="AC1078" i="26"/>
  <c r="AB1078" i="26"/>
  <c r="AD1074" i="26"/>
  <c r="AC1074" i="26"/>
  <c r="AB1074" i="26"/>
  <c r="AD1070" i="26"/>
  <c r="AC1070" i="26"/>
  <c r="AB1070" i="26"/>
  <c r="AD1066" i="26"/>
  <c r="AC1066" i="26"/>
  <c r="AB1066" i="26"/>
  <c r="AD1062" i="26"/>
  <c r="AC1062" i="26"/>
  <c r="AB1062" i="26"/>
  <c r="AD1058" i="26"/>
  <c r="AC1058" i="26"/>
  <c r="AB1058" i="26"/>
  <c r="AD1054" i="26"/>
  <c r="AC1054" i="26"/>
  <c r="AB1054" i="26"/>
  <c r="AD1050" i="26"/>
  <c r="AC1050" i="26"/>
  <c r="AB1050" i="26"/>
  <c r="AD1046" i="26"/>
  <c r="AC1046" i="26"/>
  <c r="AB1046" i="26"/>
  <c r="AD1042" i="26"/>
  <c r="AC1042" i="26"/>
  <c r="AB1042" i="26"/>
  <c r="AD1038" i="26"/>
  <c r="AC1038" i="26"/>
  <c r="AB1038" i="26"/>
  <c r="AD1034" i="26"/>
  <c r="AC1034" i="26"/>
  <c r="AB1034" i="26"/>
  <c r="AD1030" i="26"/>
  <c r="AC1030" i="26"/>
  <c r="AB1030" i="26"/>
  <c r="AD1026" i="26"/>
  <c r="AC1026" i="26"/>
  <c r="AB1026" i="26"/>
  <c r="AD1022" i="26"/>
  <c r="AC1022" i="26"/>
  <c r="AB1022" i="26"/>
  <c r="AD1018" i="26"/>
  <c r="AC1018" i="26"/>
  <c r="AB1018" i="26"/>
  <c r="AD1014" i="26"/>
  <c r="AC1014" i="26"/>
  <c r="AB1014" i="26"/>
  <c r="AD1010" i="26"/>
  <c r="AC1010" i="26"/>
  <c r="AB1010" i="26"/>
  <c r="AD1006" i="26"/>
  <c r="AC1006" i="26"/>
  <c r="AB1006" i="26"/>
  <c r="AD1002" i="26"/>
  <c r="AC1002" i="26"/>
  <c r="AB1002" i="26"/>
  <c r="AD998" i="26"/>
  <c r="AC998" i="26"/>
  <c r="AB998" i="26"/>
  <c r="AD994" i="26"/>
  <c r="AC994" i="26"/>
  <c r="AB994" i="26"/>
  <c r="AD990" i="26"/>
  <c r="AC990" i="26"/>
  <c r="AB990" i="26"/>
  <c r="AD986" i="26"/>
  <c r="AC986" i="26"/>
  <c r="AB986" i="26"/>
  <c r="AD982" i="26"/>
  <c r="AC982" i="26"/>
  <c r="AB982" i="26"/>
  <c r="AD978" i="26"/>
  <c r="AC978" i="26"/>
  <c r="AB978" i="26"/>
  <c r="AD974" i="26"/>
  <c r="AC974" i="26"/>
  <c r="AB974" i="26"/>
  <c r="AD970" i="26"/>
  <c r="AC970" i="26"/>
  <c r="AB970" i="26"/>
  <c r="AD966" i="26"/>
  <c r="AC966" i="26"/>
  <c r="AB966" i="26"/>
  <c r="AD962" i="26"/>
  <c r="AC962" i="26"/>
  <c r="AB962" i="26"/>
  <c r="AD958" i="26"/>
  <c r="AC958" i="26"/>
  <c r="AB958" i="26"/>
  <c r="AD954" i="26"/>
  <c r="AC954" i="26"/>
  <c r="AB954" i="26"/>
  <c r="AD950" i="26"/>
  <c r="AC950" i="26"/>
  <c r="AB950" i="26"/>
  <c r="AD946" i="26"/>
  <c r="AC946" i="26"/>
  <c r="AB946" i="26"/>
  <c r="AD942" i="26"/>
  <c r="AC942" i="26"/>
  <c r="AB942" i="26"/>
  <c r="AD938" i="26"/>
  <c r="AC938" i="26"/>
  <c r="AB938" i="26"/>
  <c r="AD934" i="26"/>
  <c r="AC934" i="26"/>
  <c r="AB934" i="26"/>
  <c r="AD930" i="26"/>
  <c r="AC930" i="26"/>
  <c r="AB930" i="26"/>
  <c r="AD926" i="26"/>
  <c r="AC926" i="26"/>
  <c r="AB926" i="26"/>
  <c r="AD922" i="26"/>
  <c r="AC922" i="26"/>
  <c r="AB922" i="26"/>
  <c r="AD918" i="26"/>
  <c r="AC918" i="26"/>
  <c r="AB918" i="26"/>
  <c r="AD914" i="26"/>
  <c r="AC914" i="26"/>
  <c r="AB914" i="26"/>
  <c r="AD910" i="26"/>
  <c r="AC910" i="26"/>
  <c r="AB910" i="26"/>
  <c r="AD906" i="26"/>
  <c r="AC906" i="26"/>
  <c r="AB906" i="26"/>
  <c r="AD902" i="26"/>
  <c r="AC902" i="26"/>
  <c r="AB902" i="26"/>
  <c r="AD898" i="26"/>
  <c r="AC898" i="26"/>
  <c r="AB898" i="26"/>
  <c r="AD894" i="26"/>
  <c r="AC894" i="26"/>
  <c r="AB894" i="26"/>
  <c r="AD890" i="26"/>
  <c r="AC890" i="26"/>
  <c r="AB890" i="26"/>
  <c r="AD886" i="26"/>
  <c r="AC886" i="26"/>
  <c r="AB886" i="26"/>
  <c r="AD882" i="26"/>
  <c r="AC882" i="26"/>
  <c r="AB882" i="26"/>
  <c r="AD878" i="26"/>
  <c r="AC878" i="26"/>
  <c r="AB878" i="26"/>
  <c r="AD874" i="26"/>
  <c r="AC874" i="26"/>
  <c r="AB874" i="26"/>
  <c r="AD870" i="26"/>
  <c r="AC870" i="26"/>
  <c r="AB870" i="26"/>
  <c r="AD866" i="26"/>
  <c r="AC866" i="26"/>
  <c r="AB866" i="26"/>
  <c r="AD862" i="26"/>
  <c r="AC862" i="26"/>
  <c r="AB862" i="26"/>
  <c r="AD858" i="26"/>
  <c r="AC858" i="26"/>
  <c r="AB858" i="26"/>
  <c r="AD854" i="26"/>
  <c r="AC854" i="26"/>
  <c r="AB854" i="26"/>
  <c r="AD850" i="26"/>
  <c r="AC850" i="26"/>
  <c r="AB850" i="26"/>
  <c r="AD846" i="26"/>
  <c r="AC846" i="26"/>
  <c r="AB846" i="26"/>
  <c r="AD842" i="26"/>
  <c r="AC842" i="26"/>
  <c r="AB842" i="26"/>
  <c r="AD838" i="26"/>
  <c r="AC838" i="26"/>
  <c r="AB838" i="26"/>
  <c r="AD834" i="26"/>
  <c r="AC834" i="26"/>
  <c r="AB834" i="26"/>
  <c r="AD830" i="26"/>
  <c r="AC830" i="26"/>
  <c r="AB830" i="26"/>
  <c r="AD826" i="26"/>
  <c r="AC826" i="26"/>
  <c r="AB826" i="26"/>
  <c r="AD822" i="26"/>
  <c r="AC822" i="26"/>
  <c r="AB822" i="26"/>
  <c r="AD818" i="26"/>
  <c r="AC818" i="26"/>
  <c r="AB818" i="26"/>
  <c r="AD814" i="26"/>
  <c r="AC814" i="26"/>
  <c r="AB814" i="26"/>
  <c r="AD810" i="26"/>
  <c r="AC810" i="26"/>
  <c r="AB810" i="26"/>
  <c r="AD806" i="26"/>
  <c r="AC806" i="26"/>
  <c r="AB806" i="26"/>
  <c r="AD802" i="26"/>
  <c r="AC802" i="26"/>
  <c r="AB802" i="26"/>
  <c r="AD798" i="26"/>
  <c r="AC798" i="26"/>
  <c r="AB798" i="26"/>
  <c r="AD794" i="26"/>
  <c r="AC794" i="26"/>
  <c r="AB794" i="26"/>
  <c r="AD790" i="26"/>
  <c r="AC790" i="26"/>
  <c r="AB790" i="26"/>
  <c r="AD786" i="26"/>
  <c r="AC786" i="26"/>
  <c r="AB786" i="26"/>
  <c r="AD782" i="26"/>
  <c r="AC782" i="26"/>
  <c r="AB782" i="26"/>
  <c r="AD778" i="26"/>
  <c r="AC778" i="26"/>
  <c r="AB778" i="26"/>
  <c r="AD774" i="26"/>
  <c r="AC774" i="26"/>
  <c r="AB774" i="26"/>
  <c r="AD770" i="26"/>
  <c r="AC770" i="26"/>
  <c r="AB770" i="26"/>
  <c r="AD766" i="26"/>
  <c r="AC766" i="26"/>
  <c r="AB766" i="26"/>
  <c r="AD762" i="26"/>
  <c r="AC762" i="26"/>
  <c r="AB762" i="26"/>
  <c r="AD758" i="26"/>
  <c r="AC758" i="26"/>
  <c r="AB758" i="26"/>
  <c r="AD754" i="26"/>
  <c r="AC754" i="26"/>
  <c r="AB754" i="26"/>
  <c r="AD750" i="26"/>
  <c r="AC750" i="26"/>
  <c r="AB750" i="26"/>
  <c r="AD746" i="26"/>
  <c r="AC746" i="26"/>
  <c r="AB746" i="26"/>
  <c r="AD742" i="26"/>
  <c r="AC742" i="26"/>
  <c r="AB742" i="26"/>
  <c r="AD738" i="26"/>
  <c r="AC738" i="26"/>
  <c r="AB738" i="26"/>
  <c r="AD734" i="26"/>
  <c r="AC734" i="26"/>
  <c r="AB734" i="26"/>
  <c r="AD730" i="26"/>
  <c r="AC730" i="26"/>
  <c r="AB730" i="26"/>
  <c r="AD726" i="26"/>
  <c r="AC726" i="26"/>
  <c r="AB726" i="26"/>
  <c r="AD722" i="26"/>
  <c r="AC722" i="26"/>
  <c r="AB722" i="26"/>
  <c r="AD718" i="26"/>
  <c r="AC718" i="26"/>
  <c r="AB718" i="26"/>
  <c r="AD714" i="26"/>
  <c r="AC714" i="26"/>
  <c r="AB714" i="26"/>
  <c r="AD710" i="26"/>
  <c r="AC710" i="26"/>
  <c r="AB710" i="26"/>
  <c r="AD706" i="26"/>
  <c r="AC706" i="26"/>
  <c r="AB706" i="26"/>
  <c r="AD702" i="26"/>
  <c r="AC702" i="26"/>
  <c r="AB702" i="26"/>
  <c r="AD698" i="26"/>
  <c r="AC698" i="26"/>
  <c r="AB698" i="26"/>
  <c r="AD694" i="26"/>
  <c r="AC694" i="26"/>
  <c r="AB694" i="26"/>
  <c r="AD690" i="26"/>
  <c r="AC690" i="26"/>
  <c r="AB690" i="26"/>
  <c r="AD686" i="26"/>
  <c r="AC686" i="26"/>
  <c r="AB686" i="26"/>
  <c r="AD682" i="26"/>
  <c r="AC682" i="26"/>
  <c r="AB682" i="26"/>
  <c r="AD678" i="26"/>
  <c r="AC678" i="26"/>
  <c r="AB678" i="26"/>
  <c r="AD674" i="26"/>
  <c r="AC674" i="26"/>
  <c r="AB674" i="26"/>
  <c r="AD670" i="26"/>
  <c r="AC670" i="26"/>
  <c r="AB670" i="26"/>
  <c r="AD666" i="26"/>
  <c r="AC666" i="26"/>
  <c r="AB666" i="26"/>
  <c r="AD662" i="26"/>
  <c r="AC662" i="26"/>
  <c r="AB662" i="26"/>
  <c r="AD658" i="26"/>
  <c r="AC658" i="26"/>
  <c r="AB658" i="26"/>
  <c r="AD654" i="26"/>
  <c r="AC654" i="26"/>
  <c r="AB654" i="26"/>
  <c r="AD650" i="26"/>
  <c r="AC650" i="26"/>
  <c r="AB650" i="26"/>
  <c r="AD646" i="26"/>
  <c r="AC646" i="26"/>
  <c r="AB646" i="26"/>
  <c r="AD642" i="26"/>
  <c r="AC642" i="26"/>
  <c r="AB642" i="26"/>
  <c r="AD638" i="26"/>
  <c r="AC638" i="26"/>
  <c r="AB638" i="26"/>
  <c r="AD634" i="26"/>
  <c r="AC634" i="26"/>
  <c r="AB634" i="26"/>
  <c r="AD630" i="26"/>
  <c r="AC630" i="26"/>
  <c r="AB630" i="26"/>
  <c r="AD626" i="26"/>
  <c r="AC626" i="26"/>
  <c r="AB626" i="26"/>
  <c r="AD622" i="26"/>
  <c r="AC622" i="26"/>
  <c r="AB622" i="26"/>
  <c r="AD618" i="26"/>
  <c r="AC618" i="26"/>
  <c r="AB618" i="26"/>
  <c r="AD614" i="26"/>
  <c r="AC614" i="26"/>
  <c r="AB614" i="26"/>
  <c r="AD610" i="26"/>
  <c r="AC610" i="26"/>
  <c r="AB610" i="26"/>
  <c r="AD606" i="26"/>
  <c r="AC606" i="26"/>
  <c r="AB606" i="26"/>
  <c r="AD602" i="26"/>
  <c r="AC602" i="26"/>
  <c r="AB602" i="26"/>
  <c r="AD598" i="26"/>
  <c r="AC598" i="26"/>
  <c r="AB598" i="26"/>
  <c r="AD594" i="26"/>
  <c r="AC594" i="26"/>
  <c r="AB594" i="26"/>
  <c r="AD590" i="26"/>
  <c r="AC590" i="26"/>
  <c r="AB590" i="26"/>
  <c r="AD586" i="26"/>
  <c r="AC586" i="26"/>
  <c r="AB586" i="26"/>
  <c r="AD582" i="26"/>
  <c r="AC582" i="26"/>
  <c r="AB582" i="26"/>
  <c r="AD578" i="26"/>
  <c r="AC578" i="26"/>
  <c r="AB578" i="26"/>
  <c r="AD574" i="26"/>
  <c r="AC574" i="26"/>
  <c r="AB574" i="26"/>
  <c r="AD570" i="26"/>
  <c r="AC570" i="26"/>
  <c r="AB570" i="26"/>
  <c r="AD566" i="26"/>
  <c r="AC566" i="26"/>
  <c r="AB566" i="26"/>
  <c r="AD562" i="26"/>
  <c r="AC562" i="26"/>
  <c r="AB562" i="26"/>
  <c r="AD558" i="26"/>
  <c r="AC558" i="26"/>
  <c r="AB558" i="26"/>
  <c r="AD554" i="26"/>
  <c r="AC554" i="26"/>
  <c r="AB554" i="26"/>
  <c r="AD550" i="26"/>
  <c r="AC550" i="26"/>
  <c r="AB550" i="26"/>
  <c r="AD546" i="26"/>
  <c r="AC546" i="26"/>
  <c r="AB546" i="26"/>
  <c r="AD542" i="26"/>
  <c r="AC542" i="26"/>
  <c r="AB542" i="26"/>
  <c r="AD538" i="26"/>
  <c r="AC538" i="26"/>
  <c r="AB538" i="26"/>
  <c r="AD534" i="26"/>
  <c r="AC534" i="26"/>
  <c r="AB534" i="26"/>
  <c r="AD530" i="26"/>
  <c r="AC530" i="26"/>
  <c r="AB530" i="26"/>
  <c r="AD526" i="26"/>
  <c r="AC526" i="26"/>
  <c r="AB526" i="26"/>
  <c r="AD522" i="26"/>
  <c r="AC522" i="26"/>
  <c r="AB522" i="26"/>
  <c r="AD518" i="26"/>
  <c r="AC518" i="26"/>
  <c r="AB518" i="26"/>
  <c r="AD514" i="26"/>
  <c r="AC514" i="26"/>
  <c r="AB514" i="26"/>
  <c r="AD510" i="26"/>
  <c r="AC510" i="26"/>
  <c r="AB510" i="26"/>
  <c r="AD506" i="26"/>
  <c r="AC506" i="26"/>
  <c r="AB506" i="26"/>
  <c r="AD502" i="26"/>
  <c r="AC502" i="26"/>
  <c r="AB502" i="26"/>
  <c r="AD498" i="26"/>
  <c r="AC498" i="26"/>
  <c r="AB498" i="26"/>
  <c r="AD494" i="26"/>
  <c r="AC494" i="26"/>
  <c r="AB494" i="26"/>
  <c r="AD490" i="26"/>
  <c r="AC490" i="26"/>
  <c r="AB490" i="26"/>
  <c r="AD486" i="26"/>
  <c r="AC486" i="26"/>
  <c r="AB486" i="26"/>
  <c r="AD482" i="26"/>
  <c r="AC482" i="26"/>
  <c r="AB482" i="26"/>
  <c r="AD478" i="26"/>
  <c r="AC478" i="26"/>
  <c r="AB478" i="26"/>
  <c r="AD474" i="26"/>
  <c r="AC474" i="26"/>
  <c r="AB474" i="26"/>
  <c r="AD470" i="26"/>
  <c r="AC470" i="26"/>
  <c r="AB470" i="26"/>
  <c r="AD466" i="26"/>
  <c r="AC466" i="26"/>
  <c r="AB466" i="26"/>
  <c r="AD462" i="26"/>
  <c r="AC462" i="26"/>
  <c r="AB462" i="26"/>
  <c r="AD458" i="26"/>
  <c r="AC458" i="26"/>
  <c r="AB458" i="26"/>
  <c r="AD454" i="26"/>
  <c r="AC454" i="26"/>
  <c r="AB454" i="26"/>
  <c r="AD450" i="26"/>
  <c r="AC450" i="26"/>
  <c r="AB450" i="26"/>
  <c r="AD446" i="26"/>
  <c r="AC446" i="26"/>
  <c r="AB446" i="26"/>
  <c r="AD442" i="26"/>
  <c r="AC442" i="26"/>
  <c r="AB442" i="26"/>
  <c r="AD438" i="26"/>
  <c r="AC438" i="26"/>
  <c r="AB438" i="26"/>
  <c r="AD434" i="26"/>
  <c r="AC434" i="26"/>
  <c r="AB434" i="26"/>
  <c r="AD430" i="26"/>
  <c r="AC430" i="26"/>
  <c r="AB430" i="26"/>
  <c r="AD426" i="26"/>
  <c r="AC426" i="26"/>
  <c r="AB426" i="26"/>
  <c r="AD422" i="26"/>
  <c r="AC422" i="26"/>
  <c r="AB422" i="26"/>
  <c r="AD418" i="26"/>
  <c r="AC418" i="26"/>
  <c r="AB418" i="26"/>
  <c r="AD414" i="26"/>
  <c r="AC414" i="26"/>
  <c r="AB414" i="26"/>
  <c r="AD410" i="26"/>
  <c r="AC410" i="26"/>
  <c r="AB410" i="26"/>
  <c r="AD406" i="26"/>
  <c r="AC406" i="26"/>
  <c r="AB406" i="26"/>
  <c r="AD402" i="26"/>
  <c r="AC402" i="26"/>
  <c r="AB402" i="26"/>
  <c r="AD398" i="26"/>
  <c r="AC398" i="26"/>
  <c r="AB398" i="26"/>
  <c r="AD394" i="26"/>
  <c r="AC394" i="26"/>
  <c r="AB394" i="26"/>
  <c r="AD390" i="26"/>
  <c r="AC390" i="26"/>
  <c r="AB390" i="26"/>
  <c r="AD386" i="26"/>
  <c r="AC386" i="26"/>
  <c r="AB386" i="26"/>
  <c r="AD382" i="26"/>
  <c r="AC382" i="26"/>
  <c r="AB382" i="26"/>
  <c r="AD378" i="26"/>
  <c r="AC378" i="26"/>
  <c r="AB378" i="26"/>
  <c r="AD374" i="26"/>
  <c r="AC374" i="26"/>
  <c r="AB374" i="26"/>
  <c r="AD370" i="26"/>
  <c r="AC370" i="26"/>
  <c r="AB370" i="26"/>
  <c r="AD366" i="26"/>
  <c r="AC366" i="26"/>
  <c r="AB366" i="26"/>
  <c r="AD362" i="26"/>
  <c r="AC362" i="26"/>
  <c r="AB362" i="26"/>
  <c r="AD358" i="26"/>
  <c r="AC358" i="26"/>
  <c r="AB358" i="26"/>
  <c r="AD354" i="26"/>
  <c r="AC354" i="26"/>
  <c r="AB354" i="26"/>
  <c r="AD350" i="26"/>
  <c r="AC350" i="26"/>
  <c r="AB350" i="26"/>
  <c r="AD346" i="26"/>
  <c r="AC346" i="26"/>
  <c r="AB346" i="26"/>
  <c r="AD342" i="26"/>
  <c r="AC342" i="26"/>
  <c r="AB342" i="26"/>
  <c r="AD338" i="26"/>
  <c r="AC338" i="26"/>
  <c r="AB338" i="26"/>
  <c r="AD334" i="26"/>
  <c r="AC334" i="26"/>
  <c r="AB334" i="26"/>
  <c r="AD330" i="26"/>
  <c r="AC330" i="26"/>
  <c r="AB330" i="26"/>
  <c r="AD326" i="26"/>
  <c r="AC326" i="26"/>
  <c r="AB326" i="26"/>
  <c r="AD322" i="26"/>
  <c r="AC322" i="26"/>
  <c r="AB322" i="26"/>
  <c r="AD318" i="26"/>
  <c r="AC318" i="26"/>
  <c r="AB318" i="26"/>
  <c r="AD314" i="26"/>
  <c r="AC314" i="26"/>
  <c r="AB314" i="26"/>
  <c r="AD310" i="26"/>
  <c r="AC310" i="26"/>
  <c r="AB310" i="26"/>
  <c r="AD306" i="26"/>
  <c r="AC306" i="26"/>
  <c r="AB306" i="26"/>
  <c r="AD302" i="26"/>
  <c r="AC302" i="26"/>
  <c r="AB302" i="26"/>
  <c r="AD298" i="26"/>
  <c r="AC298" i="26"/>
  <c r="AB298" i="26"/>
  <c r="AD294" i="26"/>
  <c r="AC294" i="26"/>
  <c r="AB294" i="26"/>
  <c r="AD290" i="26"/>
  <c r="AC290" i="26"/>
  <c r="AB290" i="26"/>
  <c r="AD286" i="26"/>
  <c r="AC286" i="26"/>
  <c r="AB286" i="26"/>
  <c r="AD282" i="26"/>
  <c r="AC282" i="26"/>
  <c r="AB282" i="26"/>
  <c r="AD278" i="26"/>
  <c r="AC278" i="26"/>
  <c r="AB278" i="26"/>
  <c r="AD274" i="26"/>
  <c r="AC274" i="26"/>
  <c r="AB274" i="26"/>
  <c r="AD270" i="26"/>
  <c r="AC270" i="26"/>
  <c r="AB270" i="26"/>
  <c r="AD266" i="26"/>
  <c r="AC266" i="26"/>
  <c r="AB266" i="26"/>
  <c r="AD262" i="26"/>
  <c r="AC262" i="26"/>
  <c r="AB262" i="26"/>
  <c r="AD258" i="26"/>
  <c r="AC258" i="26"/>
  <c r="AB258" i="26"/>
  <c r="AD254" i="26"/>
  <c r="AC254" i="26"/>
  <c r="AB254" i="26"/>
  <c r="AD250" i="26"/>
  <c r="AC250" i="26"/>
  <c r="AB250" i="26"/>
  <c r="AD246" i="26"/>
  <c r="AC246" i="26"/>
  <c r="AB246" i="26"/>
  <c r="AD242" i="26"/>
  <c r="AC242" i="26"/>
  <c r="AB242" i="26"/>
  <c r="AD238" i="26"/>
  <c r="AC238" i="26"/>
  <c r="AB238" i="26"/>
  <c r="AD234" i="26"/>
  <c r="AC234" i="26"/>
  <c r="AB234" i="26"/>
  <c r="AD230" i="26"/>
  <c r="AC230" i="26"/>
  <c r="AB230" i="26"/>
  <c r="AD226" i="26"/>
  <c r="AC226" i="26"/>
  <c r="AB226" i="26"/>
  <c r="AD222" i="26"/>
  <c r="AC222" i="26"/>
  <c r="AB222" i="26"/>
  <c r="AD218" i="26"/>
  <c r="AC218" i="26"/>
  <c r="AB218" i="26"/>
  <c r="AD214" i="26"/>
  <c r="AC214" i="26"/>
  <c r="AB214" i="26"/>
  <c r="AD210" i="26"/>
  <c r="AC210" i="26"/>
  <c r="AB210" i="26"/>
  <c r="AD206" i="26"/>
  <c r="AC206" i="26"/>
  <c r="AB206" i="26"/>
  <c r="AD202" i="26"/>
  <c r="AC202" i="26"/>
  <c r="AB202" i="26"/>
  <c r="AD198" i="26"/>
  <c r="AC198" i="26"/>
  <c r="AB198" i="26"/>
  <c r="AD194" i="26"/>
  <c r="AC194" i="26"/>
  <c r="AB194" i="26"/>
  <c r="AD190" i="26"/>
  <c r="AC190" i="26"/>
  <c r="AB190" i="26"/>
  <c r="AD186" i="26"/>
  <c r="AC186" i="26"/>
  <c r="AB186" i="26"/>
  <c r="AD182" i="26"/>
  <c r="AC182" i="26"/>
  <c r="AB182" i="26"/>
  <c r="AD178" i="26"/>
  <c r="AC178" i="26"/>
  <c r="AB178" i="26"/>
  <c r="AD174" i="26"/>
  <c r="AC174" i="26"/>
  <c r="AB174" i="26"/>
  <c r="AD170" i="26"/>
  <c r="AC170" i="26"/>
  <c r="AB170" i="26"/>
  <c r="AD166" i="26"/>
  <c r="AC166" i="26"/>
  <c r="AB166" i="26"/>
  <c r="AD162" i="26"/>
  <c r="AC162" i="26"/>
  <c r="AB162" i="26"/>
  <c r="AD158" i="26"/>
  <c r="AC158" i="26"/>
  <c r="AB158" i="26"/>
  <c r="AD154" i="26"/>
  <c r="AC154" i="26"/>
  <c r="AB154" i="26"/>
  <c r="AD150" i="26"/>
  <c r="AC150" i="26"/>
  <c r="AB150" i="26"/>
  <c r="AD146" i="26"/>
  <c r="AC146" i="26"/>
  <c r="AB146" i="26"/>
  <c r="AD142" i="26"/>
  <c r="AC142" i="26"/>
  <c r="AB142" i="26"/>
  <c r="AD138" i="26"/>
  <c r="AC138" i="26"/>
  <c r="AB138" i="26"/>
  <c r="AD134" i="26"/>
  <c r="AC134" i="26"/>
  <c r="AB134" i="26"/>
  <c r="AD130" i="26"/>
  <c r="AC130" i="26"/>
  <c r="AB130" i="26"/>
  <c r="AD126" i="26"/>
  <c r="AC126" i="26"/>
  <c r="AB126" i="26"/>
  <c r="AD122" i="26"/>
  <c r="AC122" i="26"/>
  <c r="AB122" i="26"/>
  <c r="AD118" i="26"/>
  <c r="AC118" i="26"/>
  <c r="AB118" i="26"/>
  <c r="AD114" i="26"/>
  <c r="AC114" i="26"/>
  <c r="AB114" i="26"/>
  <c r="AD110" i="26"/>
  <c r="AC110" i="26"/>
  <c r="AB110" i="26"/>
  <c r="AD106" i="26"/>
  <c r="AC106" i="26"/>
  <c r="AB106" i="26"/>
  <c r="AD102" i="26"/>
  <c r="AC102" i="26"/>
  <c r="AB102" i="26"/>
  <c r="AD98" i="26"/>
  <c r="AC98" i="26"/>
  <c r="AB98" i="26"/>
  <c r="AD94" i="26"/>
  <c r="AC94" i="26"/>
  <c r="AB94" i="26"/>
  <c r="AC90" i="26"/>
  <c r="AD90" i="26"/>
  <c r="AB90" i="26"/>
  <c r="AD86" i="26"/>
  <c r="AC86" i="26"/>
  <c r="AB86" i="26"/>
  <c r="AD82" i="26"/>
  <c r="AC82" i="26"/>
  <c r="AB82" i="26"/>
  <c r="AD78" i="26"/>
  <c r="AC78" i="26"/>
  <c r="AB78" i="26"/>
  <c r="AD74" i="26"/>
  <c r="AC74" i="26"/>
  <c r="AB74" i="26"/>
  <c r="AD70" i="26"/>
  <c r="AC70" i="26"/>
  <c r="AB70" i="26"/>
  <c r="AD66" i="26"/>
  <c r="AC66" i="26"/>
  <c r="AB66" i="26"/>
  <c r="AD62" i="26"/>
  <c r="AC62" i="26"/>
  <c r="AB62" i="26"/>
  <c r="AD58" i="26"/>
  <c r="AC58" i="26"/>
  <c r="AB58" i="26"/>
  <c r="AD54" i="26"/>
  <c r="AC54" i="26"/>
  <c r="AB54" i="26"/>
  <c r="AD50" i="26"/>
  <c r="AC50" i="26"/>
  <c r="AB50" i="26"/>
  <c r="AD46" i="26"/>
  <c r="AC46" i="26"/>
  <c r="AB46" i="26"/>
  <c r="AD42" i="26"/>
  <c r="AC42" i="26"/>
  <c r="AB42" i="26"/>
  <c r="AD38" i="26"/>
  <c r="AC38" i="26"/>
  <c r="AB38" i="26"/>
  <c r="AD34" i="26"/>
  <c r="AC34" i="26"/>
  <c r="AB34" i="26"/>
  <c r="AD30" i="26"/>
  <c r="AC30" i="26"/>
  <c r="AB30" i="26"/>
  <c r="AD26" i="26"/>
  <c r="AC26" i="26"/>
  <c r="AB26" i="26"/>
  <c r="AD22" i="26"/>
  <c r="AC22" i="26"/>
  <c r="AB22" i="26"/>
  <c r="AD18" i="26"/>
  <c r="AC18" i="26"/>
  <c r="AB18" i="26"/>
  <c r="AD14" i="26"/>
  <c r="AC14" i="26"/>
  <c r="AB14" i="26"/>
  <c r="AD10" i="26"/>
  <c r="AC10" i="26"/>
  <c r="AB10" i="26"/>
  <c r="AD6" i="26"/>
  <c r="AC6" i="26"/>
  <c r="AB6" i="26"/>
  <c r="AD3829" i="26"/>
  <c r="AC3829" i="26"/>
  <c r="AD3825" i="26"/>
  <c r="AC3825" i="26"/>
  <c r="AD3821" i="26"/>
  <c r="AC3821" i="26"/>
  <c r="AD3817" i="26"/>
  <c r="AC3817" i="26"/>
  <c r="AD3813" i="26"/>
  <c r="AC3813" i="26"/>
  <c r="AD3809" i="26"/>
  <c r="AC3809" i="26"/>
  <c r="AD3805" i="26"/>
  <c r="AC3805" i="26"/>
  <c r="AD3801" i="26"/>
  <c r="AC3801" i="26"/>
  <c r="AD3797" i="26"/>
  <c r="AC3797" i="26"/>
  <c r="AD3793" i="26"/>
  <c r="AC3793" i="26"/>
  <c r="AD3789" i="26"/>
  <c r="AC3789" i="26"/>
  <c r="AD3785" i="26"/>
  <c r="AC3785" i="26"/>
  <c r="AD3781" i="26"/>
  <c r="AC3781" i="26"/>
  <c r="AD3777" i="26"/>
  <c r="AC3777" i="26"/>
  <c r="AD3773" i="26"/>
  <c r="AC3773" i="26"/>
  <c r="AD3769" i="26"/>
  <c r="AC3769" i="26"/>
  <c r="AD3765" i="26"/>
  <c r="AC3765" i="26"/>
  <c r="AD3761" i="26"/>
  <c r="AC3761" i="26"/>
  <c r="AD3757" i="26"/>
  <c r="AC3757" i="26"/>
  <c r="AD3753" i="26"/>
  <c r="AC3753" i="26"/>
  <c r="AD3749" i="26"/>
  <c r="AC3749" i="26"/>
  <c r="AD3745" i="26"/>
  <c r="AC3745" i="26"/>
  <c r="AD3741" i="26"/>
  <c r="AC3741" i="26"/>
  <c r="AD3737" i="26"/>
  <c r="AC3737" i="26"/>
  <c r="AD3733" i="26"/>
  <c r="AC3733" i="26"/>
  <c r="AD3729" i="26"/>
  <c r="AC3729" i="26"/>
  <c r="AD3725" i="26"/>
  <c r="AC3725" i="26"/>
  <c r="AD3721" i="26"/>
  <c r="AC3721" i="26"/>
  <c r="AD3717" i="26"/>
  <c r="AC3717" i="26"/>
  <c r="AD3713" i="26"/>
  <c r="AC3713" i="26"/>
  <c r="AD3709" i="26"/>
  <c r="AC3709" i="26"/>
  <c r="AD3705" i="26"/>
  <c r="AC3705" i="26"/>
  <c r="AD3701" i="26"/>
  <c r="AC3701" i="26"/>
  <c r="AD3697" i="26"/>
  <c r="AC3697" i="26"/>
  <c r="AD3693" i="26"/>
  <c r="AC3693" i="26"/>
  <c r="AD3689" i="26"/>
  <c r="AC3689" i="26"/>
  <c r="AD3685" i="26"/>
  <c r="AC3685" i="26"/>
  <c r="AD3681" i="26"/>
  <c r="AC3681" i="26"/>
  <c r="AD3677" i="26"/>
  <c r="AC3677" i="26"/>
  <c r="AD3673" i="26"/>
  <c r="AC3673" i="26"/>
  <c r="AD3669" i="26"/>
  <c r="AC3669" i="26"/>
  <c r="AD3665" i="26"/>
  <c r="AC3665" i="26"/>
  <c r="AD3661" i="26"/>
  <c r="AC3661" i="26"/>
  <c r="AD3657" i="26"/>
  <c r="AC3657" i="26"/>
  <c r="AD3653" i="26"/>
  <c r="AC3653" i="26"/>
  <c r="AD3649" i="26"/>
  <c r="AC3649" i="26"/>
  <c r="AD3645" i="26"/>
  <c r="AC3645" i="26"/>
  <c r="AD3641" i="26"/>
  <c r="AC3641" i="26"/>
  <c r="AD3637" i="26"/>
  <c r="AC3637" i="26"/>
  <c r="AD3633" i="26"/>
  <c r="AC3633" i="26"/>
  <c r="AD3629" i="26"/>
  <c r="AC3629" i="26"/>
  <c r="AD3625" i="26"/>
  <c r="AC3625" i="26"/>
  <c r="AD3621" i="26"/>
  <c r="AC3621" i="26"/>
  <c r="AD3617" i="26"/>
  <c r="AC3617" i="26"/>
  <c r="AD3613" i="26"/>
  <c r="AC3613" i="26"/>
  <c r="AD3609" i="26"/>
  <c r="AC3609" i="26"/>
  <c r="AD3605" i="26"/>
  <c r="AC3605" i="26"/>
  <c r="AD3601" i="26"/>
  <c r="AC3601" i="26"/>
  <c r="AD3597" i="26"/>
  <c r="AC3597" i="26"/>
  <c r="AD3593" i="26"/>
  <c r="AC3593" i="26"/>
  <c r="AD3589" i="26"/>
  <c r="AC3589" i="26"/>
  <c r="AD3585" i="26"/>
  <c r="AC3585" i="26"/>
  <c r="AD3581" i="26"/>
  <c r="AC3581" i="26"/>
  <c r="AD3577" i="26"/>
  <c r="AC3577" i="26"/>
  <c r="AD3573" i="26"/>
  <c r="AC3573" i="26"/>
  <c r="AD3569" i="26"/>
  <c r="AC3569" i="26"/>
  <c r="AD3565" i="26"/>
  <c r="AC3565" i="26"/>
  <c r="AD3561" i="26"/>
  <c r="AC3561" i="26"/>
  <c r="AD3557" i="26"/>
  <c r="AC3557" i="26"/>
  <c r="AD3553" i="26"/>
  <c r="AC3553" i="26"/>
  <c r="AD3549" i="26"/>
  <c r="AC3549" i="26"/>
  <c r="AD3545" i="26"/>
  <c r="AC3545" i="26"/>
  <c r="AD3541" i="26"/>
  <c r="AC3541" i="26"/>
  <c r="AD3537" i="26"/>
  <c r="AC3537" i="26"/>
  <c r="AD3533" i="26"/>
  <c r="AC3533" i="26"/>
  <c r="AD3529" i="26"/>
  <c r="AC3529" i="26"/>
  <c r="AD3525" i="26"/>
  <c r="AC3525" i="26"/>
  <c r="AD3521" i="26"/>
  <c r="AC3521" i="26"/>
  <c r="AD3517" i="26"/>
  <c r="AC3517" i="26"/>
  <c r="AD3513" i="26"/>
  <c r="AC3513" i="26"/>
  <c r="AD3509" i="26"/>
  <c r="AC3509" i="26"/>
  <c r="AD3505" i="26"/>
  <c r="AC3505" i="26"/>
  <c r="AD3501" i="26"/>
  <c r="AC3501" i="26"/>
  <c r="AD3497" i="26"/>
  <c r="AC3497" i="26"/>
  <c r="AD3493" i="26"/>
  <c r="AC3493" i="26"/>
  <c r="AD3489" i="26"/>
  <c r="AC3489" i="26"/>
  <c r="AD3485" i="26"/>
  <c r="AC3485" i="26"/>
  <c r="AD3481" i="26"/>
  <c r="AC3481" i="26"/>
  <c r="AD3477" i="26"/>
  <c r="AC3477" i="26"/>
  <c r="AD3473" i="26"/>
  <c r="AC3473" i="26"/>
  <c r="AD3469" i="26"/>
  <c r="AC3469" i="26"/>
  <c r="AD3465" i="26"/>
  <c r="AC3465" i="26"/>
  <c r="AD3461" i="26"/>
  <c r="AC3461" i="26"/>
  <c r="AD3457" i="26"/>
  <c r="AC3457" i="26"/>
  <c r="AD3453" i="26"/>
  <c r="AC3453" i="26"/>
  <c r="AD3449" i="26"/>
  <c r="AC3449" i="26"/>
  <c r="AD3445" i="26"/>
  <c r="AC3445" i="26"/>
  <c r="AD3441" i="26"/>
  <c r="AC3441" i="26"/>
  <c r="AD3437" i="26"/>
  <c r="AC3437" i="26"/>
  <c r="AD3433" i="26"/>
  <c r="AC3433" i="26"/>
  <c r="AD3429" i="26"/>
  <c r="AC3429" i="26"/>
  <c r="AD3425" i="26"/>
  <c r="AC3425" i="26"/>
  <c r="AD3421" i="26"/>
  <c r="AC3421" i="26"/>
  <c r="AD3417" i="26"/>
  <c r="AC3417" i="26"/>
  <c r="AD3413" i="26"/>
  <c r="AC3413" i="26"/>
  <c r="AD3409" i="26"/>
  <c r="AC3409" i="26"/>
  <c r="AD3405" i="26"/>
  <c r="AC3405" i="26"/>
  <c r="AD3401" i="26"/>
  <c r="AC3401" i="26"/>
  <c r="AD3397" i="26"/>
  <c r="AC3397" i="26"/>
  <c r="AD3393" i="26"/>
  <c r="AC3393" i="26"/>
  <c r="AD3389" i="26"/>
  <c r="AC3389" i="26"/>
  <c r="AD3385" i="26"/>
  <c r="AC3385" i="26"/>
  <c r="AD3381" i="26"/>
  <c r="AC3381" i="26"/>
  <c r="AD3377" i="26"/>
  <c r="AC3377" i="26"/>
  <c r="AD3373" i="26"/>
  <c r="AC3373" i="26"/>
  <c r="AD3369" i="26"/>
  <c r="AC3369" i="26"/>
  <c r="AD3365" i="26"/>
  <c r="AC3365" i="26"/>
  <c r="AD3361" i="26"/>
  <c r="AC3361" i="26"/>
  <c r="AD3357" i="26"/>
  <c r="AC3357" i="26"/>
  <c r="AD3353" i="26"/>
  <c r="AC3353" i="26"/>
  <c r="AD3349" i="26"/>
  <c r="AC3349" i="26"/>
  <c r="AD3345" i="26"/>
  <c r="AC3345" i="26"/>
  <c r="AD3341" i="26"/>
  <c r="AC3341" i="26"/>
  <c r="AD3337" i="26"/>
  <c r="AC3337" i="26"/>
  <c r="AD3333" i="26"/>
  <c r="AC3333" i="26"/>
  <c r="AD3329" i="26"/>
  <c r="AC3329" i="26"/>
  <c r="AD3325" i="26"/>
  <c r="AC3325" i="26"/>
  <c r="AD3321" i="26"/>
  <c r="AC3321" i="26"/>
  <c r="AD3317" i="26"/>
  <c r="AC3317" i="26"/>
  <c r="AD3313" i="26"/>
  <c r="AC3313" i="26"/>
  <c r="AD3309" i="26"/>
  <c r="AC3309" i="26"/>
  <c r="AD3305" i="26"/>
  <c r="AC3305" i="26"/>
  <c r="AD3301" i="26"/>
  <c r="AC3301" i="26"/>
  <c r="AD3297" i="26"/>
  <c r="AC3297" i="26"/>
  <c r="AD3293" i="26"/>
  <c r="AC3293" i="26"/>
  <c r="AD3289" i="26"/>
  <c r="AC3289" i="26"/>
  <c r="AD3285" i="26"/>
  <c r="AC3285" i="26"/>
  <c r="AD3281" i="26"/>
  <c r="AC3281" i="26"/>
  <c r="AD3277" i="26"/>
  <c r="AC3277" i="26"/>
  <c r="AD3273" i="26"/>
  <c r="AC3273" i="26"/>
  <c r="AD3269" i="26"/>
  <c r="AC3269" i="26"/>
  <c r="AD3265" i="26"/>
  <c r="AC3265" i="26"/>
  <c r="AD3261" i="26"/>
  <c r="AC3261" i="26"/>
  <c r="AD3257" i="26"/>
  <c r="AC3257" i="26"/>
  <c r="AD3253" i="26"/>
  <c r="AC3253" i="26"/>
  <c r="AD3249" i="26"/>
  <c r="AC3249" i="26"/>
  <c r="AD3245" i="26"/>
  <c r="AC3245" i="26"/>
  <c r="AD3241" i="26"/>
  <c r="AC3241" i="26"/>
  <c r="AD3237" i="26"/>
  <c r="AC3237" i="26"/>
  <c r="AD3233" i="26"/>
  <c r="AC3233" i="26"/>
  <c r="AD3229" i="26"/>
  <c r="AC3229" i="26"/>
  <c r="AD3225" i="26"/>
  <c r="AC3225" i="26"/>
  <c r="AD3221" i="26"/>
  <c r="AC3221" i="26"/>
  <c r="AD3217" i="26"/>
  <c r="AC3217" i="26"/>
  <c r="AD3213" i="26"/>
  <c r="AC3213" i="26"/>
  <c r="AD3209" i="26"/>
  <c r="AC3209" i="26"/>
  <c r="AD3205" i="26"/>
  <c r="AC3205" i="26"/>
  <c r="AD3201" i="26"/>
  <c r="AC3201" i="26"/>
  <c r="AD3197" i="26"/>
  <c r="AC3197" i="26"/>
  <c r="AD3193" i="26"/>
  <c r="AC3193" i="26"/>
  <c r="AD3189" i="26"/>
  <c r="AC3189" i="26"/>
  <c r="AD3185" i="26"/>
  <c r="AC3185" i="26"/>
  <c r="AD3181" i="26"/>
  <c r="AC3181" i="26"/>
  <c r="AD3177" i="26"/>
  <c r="AC3177" i="26"/>
  <c r="AD3173" i="26"/>
  <c r="AC3173" i="26"/>
  <c r="AD3169" i="26"/>
  <c r="AC3169" i="26"/>
  <c r="AD3165" i="26"/>
  <c r="AC3165" i="26"/>
  <c r="AD3161" i="26"/>
  <c r="AC3161" i="26"/>
  <c r="AD3157" i="26"/>
  <c r="AC3157" i="26"/>
  <c r="AD3153" i="26"/>
  <c r="AC3153" i="26"/>
  <c r="AD3149" i="26"/>
  <c r="AC3149" i="26"/>
  <c r="AD3145" i="26"/>
  <c r="AC3145" i="26"/>
  <c r="AD3141" i="26"/>
  <c r="AC3141" i="26"/>
  <c r="AD3137" i="26"/>
  <c r="AC3137" i="26"/>
  <c r="AD3133" i="26"/>
  <c r="AC3133" i="26"/>
  <c r="AD3129" i="26"/>
  <c r="AC3129" i="26"/>
  <c r="AD3125" i="26"/>
  <c r="AC3125" i="26"/>
  <c r="AD3121" i="26"/>
  <c r="AC3121" i="26"/>
  <c r="AD3117" i="26"/>
  <c r="AC3117" i="26"/>
  <c r="AD3113" i="26"/>
  <c r="AC3113" i="26"/>
  <c r="AD3109" i="26"/>
  <c r="AC3109" i="26"/>
  <c r="AD3105" i="26"/>
  <c r="AC3105" i="26"/>
  <c r="AD3101" i="26"/>
  <c r="AC3101" i="26"/>
  <c r="AD3097" i="26"/>
  <c r="AC3097" i="26"/>
  <c r="AD3093" i="26"/>
  <c r="AC3093" i="26"/>
  <c r="AD3089" i="26"/>
  <c r="AC3089" i="26"/>
  <c r="AD3085" i="26"/>
  <c r="AC3085" i="26"/>
  <c r="AD3081" i="26"/>
  <c r="AC3081" i="26"/>
  <c r="AD3077" i="26"/>
  <c r="AC3077" i="26"/>
  <c r="AD3073" i="26"/>
  <c r="AC3073" i="26"/>
  <c r="AD3069" i="26"/>
  <c r="AC3069" i="26"/>
  <c r="AD3065" i="26"/>
  <c r="AC3065" i="26"/>
  <c r="AD3061" i="26"/>
  <c r="AC3061" i="26"/>
  <c r="AD3057" i="26"/>
  <c r="AC3057" i="26"/>
  <c r="AD3053" i="26"/>
  <c r="AC3053" i="26"/>
  <c r="AD3049" i="26"/>
  <c r="AC3049" i="26"/>
  <c r="AD3045" i="26"/>
  <c r="AC3045" i="26"/>
  <c r="AD3041" i="26"/>
  <c r="AC3041" i="26"/>
  <c r="AD3037" i="26"/>
  <c r="AC3037" i="26"/>
  <c r="AD3033" i="26"/>
  <c r="AC3033" i="26"/>
  <c r="AD3029" i="26"/>
  <c r="AC3029" i="26"/>
  <c r="AD3025" i="26"/>
  <c r="AC3025" i="26"/>
  <c r="AD3021" i="26"/>
  <c r="AC3021" i="26"/>
  <c r="AD3017" i="26"/>
  <c r="AC3017" i="26"/>
  <c r="AD3013" i="26"/>
  <c r="AC3013" i="26"/>
  <c r="AD3009" i="26"/>
  <c r="AC3009" i="26"/>
  <c r="AD3005" i="26"/>
  <c r="AC3005" i="26"/>
  <c r="AD3001" i="26"/>
  <c r="AC3001" i="26"/>
  <c r="AD2997" i="26"/>
  <c r="AC2997" i="26"/>
  <c r="AD2993" i="26"/>
  <c r="AC2993" i="26"/>
  <c r="AD2989" i="26"/>
  <c r="AC2989" i="26"/>
  <c r="AD2985" i="26"/>
  <c r="AC2985" i="26"/>
  <c r="AD2981" i="26"/>
  <c r="AC2981" i="26"/>
  <c r="AD2977" i="26"/>
  <c r="AC2977" i="26"/>
  <c r="AD2973" i="26"/>
  <c r="AC2973" i="26"/>
  <c r="AD2969" i="26"/>
  <c r="AC2969" i="26"/>
  <c r="AD2965" i="26"/>
  <c r="AC2965" i="26"/>
  <c r="AD2961" i="26"/>
  <c r="AC2961" i="26"/>
  <c r="AD2957" i="26"/>
  <c r="AC2957" i="26"/>
  <c r="AD2953" i="26"/>
  <c r="AC2953" i="26"/>
  <c r="AD2949" i="26"/>
  <c r="AC2949" i="26"/>
  <c r="AD2945" i="26"/>
  <c r="AC2945" i="26"/>
  <c r="AD2941" i="26"/>
  <c r="AC2941" i="26"/>
  <c r="AD2937" i="26"/>
  <c r="AC2937" i="26"/>
  <c r="AD2933" i="26"/>
  <c r="AC2933" i="26"/>
  <c r="AD2929" i="26"/>
  <c r="AC2929" i="26"/>
  <c r="AD2925" i="26"/>
  <c r="AC2925" i="26"/>
  <c r="AD2921" i="26"/>
  <c r="AC2921" i="26"/>
  <c r="AD2917" i="26"/>
  <c r="AC2917" i="26"/>
  <c r="AD2913" i="26"/>
  <c r="AC2913" i="26"/>
  <c r="AD2909" i="26"/>
  <c r="AC2909" i="26"/>
  <c r="AD2905" i="26"/>
  <c r="AC2905" i="26"/>
  <c r="AD2901" i="26"/>
  <c r="AC2901" i="26"/>
  <c r="AD2897" i="26"/>
  <c r="AC2897" i="26"/>
  <c r="AD2893" i="26"/>
  <c r="AC2893" i="26"/>
  <c r="AD2889" i="26"/>
  <c r="AC2889" i="26"/>
  <c r="AD2885" i="26"/>
  <c r="AC2885" i="26"/>
  <c r="AD2881" i="26"/>
  <c r="AC2881" i="26"/>
  <c r="AD2877" i="26"/>
  <c r="AC2877" i="26"/>
  <c r="AD2873" i="26"/>
  <c r="AC2873" i="26"/>
  <c r="AD2869" i="26"/>
  <c r="AC2869" i="26"/>
  <c r="AD2865" i="26"/>
  <c r="AC2865" i="26"/>
  <c r="AD2861" i="26"/>
  <c r="AC2861" i="26"/>
  <c r="AD2857" i="26"/>
  <c r="AC2857" i="26"/>
  <c r="AD2853" i="26"/>
  <c r="AC2853" i="26"/>
  <c r="AD2849" i="26"/>
  <c r="AC2849" i="26"/>
  <c r="AD2845" i="26"/>
  <c r="AC2845" i="26"/>
  <c r="AD2841" i="26"/>
  <c r="AC2841" i="26"/>
  <c r="AD2837" i="26"/>
  <c r="AC2837" i="26"/>
  <c r="AD2833" i="26"/>
  <c r="AC2833" i="26"/>
  <c r="AD2829" i="26"/>
  <c r="AC2829" i="26"/>
  <c r="AD2825" i="26"/>
  <c r="AC2825" i="26"/>
  <c r="AD2821" i="26"/>
  <c r="AC2821" i="26"/>
  <c r="AD2817" i="26"/>
  <c r="AC2817" i="26"/>
  <c r="AD2813" i="26"/>
  <c r="AC2813" i="26"/>
  <c r="AD2809" i="26"/>
  <c r="AC2809" i="26"/>
  <c r="AD2805" i="26"/>
  <c r="AC2805" i="26"/>
  <c r="AD2801" i="26"/>
  <c r="AC2801" i="26"/>
  <c r="AD2797" i="26"/>
  <c r="AC2797" i="26"/>
  <c r="AD2793" i="26"/>
  <c r="AC2793" i="26"/>
  <c r="AD2789" i="26"/>
  <c r="AC2789" i="26"/>
  <c r="AD2785" i="26"/>
  <c r="AC2785" i="26"/>
  <c r="AD2781" i="26"/>
  <c r="AC2781" i="26"/>
  <c r="AD2777" i="26"/>
  <c r="AC2777" i="26"/>
  <c r="AD2773" i="26"/>
  <c r="AC2773" i="26"/>
  <c r="AD2769" i="26"/>
  <c r="AC2769" i="26"/>
  <c r="AD2765" i="26"/>
  <c r="AC2765" i="26"/>
  <c r="AD2761" i="26"/>
  <c r="AC2761" i="26"/>
  <c r="AD2757" i="26"/>
  <c r="AC2757" i="26"/>
  <c r="AD2753" i="26"/>
  <c r="AC2753" i="26"/>
  <c r="AD2749" i="26"/>
  <c r="AC2749" i="26"/>
  <c r="AD2745" i="26"/>
  <c r="AC2745" i="26"/>
  <c r="AD2741" i="26"/>
  <c r="AC2741" i="26"/>
  <c r="AD2737" i="26"/>
  <c r="AC2737" i="26"/>
  <c r="AD2733" i="26"/>
  <c r="AC2733" i="26"/>
  <c r="AD2729" i="26"/>
  <c r="AC2729" i="26"/>
  <c r="AD2725" i="26"/>
  <c r="AC2725" i="26"/>
  <c r="AD2721" i="26"/>
  <c r="AC2721" i="26"/>
  <c r="AD2717" i="26"/>
  <c r="AC2717" i="26"/>
  <c r="AD2713" i="26"/>
  <c r="AC2713" i="26"/>
  <c r="AD2709" i="26"/>
  <c r="AC2709" i="26"/>
  <c r="AD2705" i="26"/>
  <c r="AC2705" i="26"/>
  <c r="AD2701" i="26"/>
  <c r="AC2701" i="26"/>
  <c r="AD2697" i="26"/>
  <c r="AC2697" i="26"/>
  <c r="AD2693" i="26"/>
  <c r="AC2693" i="26"/>
  <c r="AD2689" i="26"/>
  <c r="AC2689" i="26"/>
  <c r="AD2685" i="26"/>
  <c r="AC2685" i="26"/>
  <c r="AD2681" i="26"/>
  <c r="AC2681" i="26"/>
  <c r="AD2677" i="26"/>
  <c r="AC2677" i="26"/>
  <c r="AD2673" i="26"/>
  <c r="AC2673" i="26"/>
  <c r="AD2669" i="26"/>
  <c r="AC2669" i="26"/>
  <c r="AD2665" i="26"/>
  <c r="AC2665" i="26"/>
  <c r="AD2661" i="26"/>
  <c r="AC2661" i="26"/>
  <c r="AD2657" i="26"/>
  <c r="AC2657" i="26"/>
  <c r="AD2653" i="26"/>
  <c r="AC2653" i="26"/>
  <c r="AD2649" i="26"/>
  <c r="AC2649" i="26"/>
  <c r="AD2645" i="26"/>
  <c r="AC2645" i="26"/>
  <c r="AD2641" i="26"/>
  <c r="AC2641" i="26"/>
  <c r="AD2637" i="26"/>
  <c r="AC2637" i="26"/>
  <c r="AD2633" i="26"/>
  <c r="AC2633" i="26"/>
  <c r="AD2629" i="26"/>
  <c r="AC2629" i="26"/>
  <c r="AD2625" i="26"/>
  <c r="AC2625" i="26"/>
  <c r="AD2621" i="26"/>
  <c r="AC2621" i="26"/>
  <c r="AD2617" i="26"/>
  <c r="AC2617" i="26"/>
  <c r="AD2613" i="26"/>
  <c r="AC2613" i="26"/>
  <c r="AD2609" i="26"/>
  <c r="AC2609" i="26"/>
  <c r="AD2605" i="26"/>
  <c r="AC2605" i="26"/>
  <c r="AD2601" i="26"/>
  <c r="AC2601" i="26"/>
  <c r="AD2597" i="26"/>
  <c r="AC2597" i="26"/>
  <c r="AD2593" i="26"/>
  <c r="AC2593" i="26"/>
  <c r="AD2589" i="26"/>
  <c r="AC2589" i="26"/>
  <c r="AD2585" i="26"/>
  <c r="AC2585" i="26"/>
  <c r="AD2581" i="26"/>
  <c r="AC2581" i="26"/>
  <c r="AD2577" i="26"/>
  <c r="AC2577" i="26"/>
  <c r="AD2573" i="26"/>
  <c r="AC2573" i="26"/>
  <c r="AD2569" i="26"/>
  <c r="AC2569" i="26"/>
  <c r="AD2565" i="26"/>
  <c r="AC2565" i="26"/>
  <c r="AD2561" i="26"/>
  <c r="AC2561" i="26"/>
  <c r="AD2557" i="26"/>
  <c r="AC2557" i="26"/>
  <c r="AD2553" i="26"/>
  <c r="AC2553" i="26"/>
  <c r="AD2549" i="26"/>
  <c r="AC2549" i="26"/>
  <c r="AD2545" i="26"/>
  <c r="AC2545" i="26"/>
  <c r="AD2541" i="26"/>
  <c r="AC2541" i="26"/>
  <c r="AD2537" i="26"/>
  <c r="AC2537" i="26"/>
  <c r="AD2533" i="26"/>
  <c r="AC2533" i="26"/>
  <c r="AD2529" i="26"/>
  <c r="AC2529" i="26"/>
  <c r="AD2525" i="26"/>
  <c r="AC2525" i="26"/>
  <c r="AD2521" i="26"/>
  <c r="AC2521" i="26"/>
  <c r="AD2517" i="26"/>
  <c r="AC2517" i="26"/>
  <c r="AD2513" i="26"/>
  <c r="AC2513" i="26"/>
  <c r="AD2509" i="26"/>
  <c r="AC2509" i="26"/>
  <c r="AD2505" i="26"/>
  <c r="AC2505" i="26"/>
  <c r="AD2501" i="26"/>
  <c r="AC2501" i="26"/>
  <c r="AD2497" i="26"/>
  <c r="AC2497" i="26"/>
  <c r="AD2493" i="26"/>
  <c r="AC2493" i="26"/>
  <c r="AD2489" i="26"/>
  <c r="AC2489" i="26"/>
  <c r="AD2485" i="26"/>
  <c r="AC2485" i="26"/>
  <c r="AD2481" i="26"/>
  <c r="AC2481" i="26"/>
  <c r="AD2477" i="26"/>
  <c r="AC2477" i="26"/>
  <c r="AD2473" i="26"/>
  <c r="AC2473" i="26"/>
  <c r="AD2469" i="26"/>
  <c r="AC2469" i="26"/>
  <c r="AD2465" i="26"/>
  <c r="AC2465" i="26"/>
  <c r="AD2461" i="26"/>
  <c r="AC2461" i="26"/>
  <c r="AD2457" i="26"/>
  <c r="AC2457" i="26"/>
  <c r="AD2453" i="26"/>
  <c r="AC2453" i="26"/>
  <c r="AD2449" i="26"/>
  <c r="AC2449" i="26"/>
  <c r="AD2445" i="26"/>
  <c r="AC2445" i="26"/>
  <c r="AD2441" i="26"/>
  <c r="AC2441" i="26"/>
  <c r="AB2441" i="26"/>
  <c r="AD2437" i="26"/>
  <c r="AC2437" i="26"/>
  <c r="AB2437" i="26"/>
  <c r="AD2433" i="26"/>
  <c r="AC2433" i="26"/>
  <c r="AB2433" i="26"/>
  <c r="AD2429" i="26"/>
  <c r="AC2429" i="26"/>
  <c r="AB2429" i="26"/>
  <c r="AD2425" i="26"/>
  <c r="AC2425" i="26"/>
  <c r="AB2425" i="26"/>
  <c r="AD2421" i="26"/>
  <c r="AC2421" i="26"/>
  <c r="AB2421" i="26"/>
  <c r="AD2417" i="26"/>
  <c r="AC2417" i="26"/>
  <c r="AB2417" i="26"/>
  <c r="AD2413" i="26"/>
  <c r="AC2413" i="26"/>
  <c r="AB2413" i="26"/>
  <c r="AD2409" i="26"/>
  <c r="AC2409" i="26"/>
  <c r="AB2409" i="26"/>
  <c r="AD2405" i="26"/>
  <c r="AC2405" i="26"/>
  <c r="AB2405" i="26"/>
  <c r="AD2401" i="26"/>
  <c r="AC2401" i="26"/>
  <c r="AB2401" i="26"/>
  <c r="AD2397" i="26"/>
  <c r="AC2397" i="26"/>
  <c r="AB2397" i="26"/>
  <c r="AD2393" i="26"/>
  <c r="AC2393" i="26"/>
  <c r="AB2393" i="26"/>
  <c r="AD2389" i="26"/>
  <c r="AC2389" i="26"/>
  <c r="AB2389" i="26"/>
  <c r="AD2385" i="26"/>
  <c r="AC2385" i="26"/>
  <c r="AB2385" i="26"/>
  <c r="AD2381" i="26"/>
  <c r="AC2381" i="26"/>
  <c r="AB2381" i="26"/>
  <c r="AD2377" i="26"/>
  <c r="AC2377" i="26"/>
  <c r="AB2377" i="26"/>
  <c r="AD2373" i="26"/>
  <c r="AC2373" i="26"/>
  <c r="AB2373" i="26"/>
  <c r="AD2369" i="26"/>
  <c r="AC2369" i="26"/>
  <c r="AB2369" i="26"/>
  <c r="AD2365" i="26"/>
  <c r="AC2365" i="26"/>
  <c r="AB2365" i="26"/>
  <c r="AD2361" i="26"/>
  <c r="AC2361" i="26"/>
  <c r="AB2361" i="26"/>
  <c r="AD2357" i="26"/>
  <c r="AC2357" i="26"/>
  <c r="AB2357" i="26"/>
  <c r="AD2353" i="26"/>
  <c r="AC2353" i="26"/>
  <c r="AB2353" i="26"/>
  <c r="AD2349" i="26"/>
  <c r="AC2349" i="26"/>
  <c r="AB2349" i="26"/>
  <c r="AD2345" i="26"/>
  <c r="AC2345" i="26"/>
  <c r="AB2345" i="26"/>
  <c r="AD2341" i="26"/>
  <c r="AC2341" i="26"/>
  <c r="AB2341" i="26"/>
  <c r="AD2337" i="26"/>
  <c r="AC2337" i="26"/>
  <c r="AB2337" i="26"/>
  <c r="AD2333" i="26"/>
  <c r="AC2333" i="26"/>
  <c r="AB2333" i="26"/>
  <c r="AD2329" i="26"/>
  <c r="AC2329" i="26"/>
  <c r="AB2329" i="26"/>
  <c r="AD2325" i="26"/>
  <c r="AC2325" i="26"/>
  <c r="AB2325" i="26"/>
  <c r="AD2321" i="26"/>
  <c r="AC2321" i="26"/>
  <c r="AB2321" i="26"/>
  <c r="AD2317" i="26"/>
  <c r="AC2317" i="26"/>
  <c r="AB2317" i="26"/>
  <c r="AD2313" i="26"/>
  <c r="AC2313" i="26"/>
  <c r="AB2313" i="26"/>
  <c r="AD2309" i="26"/>
  <c r="AC2309" i="26"/>
  <c r="AB2309" i="26"/>
  <c r="AD2305" i="26"/>
  <c r="AC2305" i="26"/>
  <c r="AB2305" i="26"/>
  <c r="AD2301" i="26"/>
  <c r="AC2301" i="26"/>
  <c r="AB2301" i="26"/>
  <c r="AD2297" i="26"/>
  <c r="AC2297" i="26"/>
  <c r="AB2297" i="26"/>
  <c r="AD2293" i="26"/>
  <c r="AC2293" i="26"/>
  <c r="AB2293" i="26"/>
  <c r="AD2289" i="26"/>
  <c r="AC2289" i="26"/>
  <c r="AB2289" i="26"/>
  <c r="AD2285" i="26"/>
  <c r="AC2285" i="26"/>
  <c r="AB2285" i="26"/>
  <c r="AD2281" i="26"/>
  <c r="AC2281" i="26"/>
  <c r="AB2281" i="26"/>
  <c r="AD2277" i="26"/>
  <c r="AC2277" i="26"/>
  <c r="AB2277" i="26"/>
  <c r="AD2273" i="26"/>
  <c r="AC2273" i="26"/>
  <c r="AB2273" i="26"/>
  <c r="AD2269" i="26"/>
  <c r="AC2269" i="26"/>
  <c r="AB2269" i="26"/>
  <c r="AD2265" i="26"/>
  <c r="AC2265" i="26"/>
  <c r="AB2265" i="26"/>
  <c r="AD2261" i="26"/>
  <c r="AC2261" i="26"/>
  <c r="AB2261" i="26"/>
  <c r="AD2257" i="26"/>
  <c r="AC2257" i="26"/>
  <c r="AB2257" i="26"/>
  <c r="AD2253" i="26"/>
  <c r="AC2253" i="26"/>
  <c r="AB2253" i="26"/>
  <c r="AD2249" i="26"/>
  <c r="AC2249" i="26"/>
  <c r="AB2249" i="26"/>
  <c r="AD2245" i="26"/>
  <c r="AC2245" i="26"/>
  <c r="AB2245" i="26"/>
  <c r="AD2241" i="26"/>
  <c r="AC2241" i="26"/>
  <c r="AB2241" i="26"/>
  <c r="AD2237" i="26"/>
  <c r="AC2237" i="26"/>
  <c r="AB2237" i="26"/>
  <c r="AD2233" i="26"/>
  <c r="AC2233" i="26"/>
  <c r="AB2233" i="26"/>
  <c r="AD2229" i="26"/>
  <c r="AC2229" i="26"/>
  <c r="AB2229" i="26"/>
  <c r="AD2225" i="26"/>
  <c r="AC2225" i="26"/>
  <c r="AB2225" i="26"/>
  <c r="AD2221" i="26"/>
  <c r="AC2221" i="26"/>
  <c r="AB2221" i="26"/>
  <c r="AD2217" i="26"/>
  <c r="AC2217" i="26"/>
  <c r="AB2217" i="26"/>
  <c r="AD2213" i="26"/>
  <c r="AC2213" i="26"/>
  <c r="AB2213" i="26"/>
  <c r="AD2209" i="26"/>
  <c r="AC2209" i="26"/>
  <c r="AB2209" i="26"/>
  <c r="AD2205" i="26"/>
  <c r="AC2205" i="26"/>
  <c r="AB2205" i="26"/>
  <c r="AD2201" i="26"/>
  <c r="AC2201" i="26"/>
  <c r="AB2201" i="26"/>
  <c r="AD2197" i="26"/>
  <c r="AC2197" i="26"/>
  <c r="AB2197" i="26"/>
  <c r="AD2193" i="26"/>
  <c r="AC2193" i="26"/>
  <c r="AB2193" i="26"/>
  <c r="AD2189" i="26"/>
  <c r="AC2189" i="26"/>
  <c r="AB2189" i="26"/>
  <c r="AD2185" i="26"/>
  <c r="AC2185" i="26"/>
  <c r="AB2185" i="26"/>
  <c r="AD2181" i="26"/>
  <c r="AC2181" i="26"/>
  <c r="AB2181" i="26"/>
  <c r="AD2177" i="26"/>
  <c r="AC2177" i="26"/>
  <c r="AB2177" i="26"/>
  <c r="AD2173" i="26"/>
  <c r="AC2173" i="26"/>
  <c r="AB2173" i="26"/>
  <c r="AD2169" i="26"/>
  <c r="AC2169" i="26"/>
  <c r="AB2169" i="26"/>
  <c r="AD2165" i="26"/>
  <c r="AC2165" i="26"/>
  <c r="AB2165" i="26"/>
  <c r="AD2161" i="26"/>
  <c r="AC2161" i="26"/>
  <c r="AB2161" i="26"/>
  <c r="AD2157" i="26"/>
  <c r="AC2157" i="26"/>
  <c r="AB2157" i="26"/>
  <c r="AD2153" i="26"/>
  <c r="AC2153" i="26"/>
  <c r="AB2153" i="26"/>
  <c r="AD2149" i="26"/>
  <c r="AC2149" i="26"/>
  <c r="AB2149" i="26"/>
  <c r="AD2145" i="26"/>
  <c r="AC2145" i="26"/>
  <c r="AB2145" i="26"/>
  <c r="AD2141" i="26"/>
  <c r="AC2141" i="26"/>
  <c r="AB2141" i="26"/>
  <c r="AD2137" i="26"/>
  <c r="AC2137" i="26"/>
  <c r="AB2137" i="26"/>
  <c r="AD2133" i="26"/>
  <c r="AC2133" i="26"/>
  <c r="AB2133" i="26"/>
  <c r="AD2129" i="26"/>
  <c r="AC2129" i="26"/>
  <c r="AB2129" i="26"/>
  <c r="AD2125" i="26"/>
  <c r="AC2125" i="26"/>
  <c r="AB2125" i="26"/>
  <c r="AD2121" i="26"/>
  <c r="AC2121" i="26"/>
  <c r="AB2121" i="26"/>
  <c r="AD2117" i="26"/>
  <c r="AC2117" i="26"/>
  <c r="AB2117" i="26"/>
  <c r="AD2113" i="26"/>
  <c r="AC2113" i="26"/>
  <c r="AB2113" i="26"/>
  <c r="AD2109" i="26"/>
  <c r="AC2109" i="26"/>
  <c r="AB2109" i="26"/>
  <c r="AD2105" i="26"/>
  <c r="AC2105" i="26"/>
  <c r="AB2105" i="26"/>
  <c r="AD2101" i="26"/>
  <c r="AC2101" i="26"/>
  <c r="AB2101" i="26"/>
  <c r="AD2097" i="26"/>
  <c r="AC2097" i="26"/>
  <c r="AB2097" i="26"/>
  <c r="AD2093" i="26"/>
  <c r="AC2093" i="26"/>
  <c r="AB2093" i="26"/>
  <c r="AD2089" i="26"/>
  <c r="AC2089" i="26"/>
  <c r="AB2089" i="26"/>
  <c r="AD2085" i="26"/>
  <c r="AC2085" i="26"/>
  <c r="AB2085" i="26"/>
  <c r="AD2081" i="26"/>
  <c r="AC2081" i="26"/>
  <c r="AB2081" i="26"/>
  <c r="AD2077" i="26"/>
  <c r="AC2077" i="26"/>
  <c r="AB2077" i="26"/>
  <c r="AD2073" i="26"/>
  <c r="AC2073" i="26"/>
  <c r="AB2073" i="26"/>
  <c r="AD2069" i="26"/>
  <c r="AC2069" i="26"/>
  <c r="AB2069" i="26"/>
  <c r="AD2065" i="26"/>
  <c r="AC2065" i="26"/>
  <c r="AB2065" i="26"/>
  <c r="AD2061" i="26"/>
  <c r="AC2061" i="26"/>
  <c r="AB2061" i="26"/>
  <c r="AD2057" i="26"/>
  <c r="AC2057" i="26"/>
  <c r="AB2057" i="26"/>
  <c r="AD2053" i="26"/>
  <c r="AC2053" i="26"/>
  <c r="AB2053" i="26"/>
  <c r="AD2049" i="26"/>
  <c r="AC2049" i="26"/>
  <c r="AB2049" i="26"/>
  <c r="AD2045" i="26"/>
  <c r="AC2045" i="26"/>
  <c r="AB2045" i="26"/>
  <c r="AD2041" i="26"/>
  <c r="AC2041" i="26"/>
  <c r="AB2041" i="26"/>
  <c r="AD2037" i="26"/>
  <c r="AC2037" i="26"/>
  <c r="AB2037" i="26"/>
  <c r="AD2033" i="26"/>
  <c r="AC2033" i="26"/>
  <c r="AB2033" i="26"/>
  <c r="AD2029" i="26"/>
  <c r="AC2029" i="26"/>
  <c r="AB2029" i="26"/>
  <c r="AD2025" i="26"/>
  <c r="AC2025" i="26"/>
  <c r="AB2025" i="26"/>
  <c r="AD2021" i="26"/>
  <c r="AC2021" i="26"/>
  <c r="AB2021" i="26"/>
  <c r="AD2017" i="26"/>
  <c r="AC2017" i="26"/>
  <c r="AB2017" i="26"/>
  <c r="AD2013" i="26"/>
  <c r="AC2013" i="26"/>
  <c r="AB2013" i="26"/>
  <c r="AD2009" i="26"/>
  <c r="AC2009" i="26"/>
  <c r="AB2009" i="26"/>
  <c r="AD2005" i="26"/>
  <c r="AC2005" i="26"/>
  <c r="AB2005" i="26"/>
  <c r="AD2001" i="26"/>
  <c r="AC2001" i="26"/>
  <c r="AB2001" i="26"/>
  <c r="AD1997" i="26"/>
  <c r="AC1997" i="26"/>
  <c r="AB1997" i="26"/>
  <c r="AD1993" i="26"/>
  <c r="AC1993" i="26"/>
  <c r="AB1993" i="26"/>
  <c r="AD1989" i="26"/>
  <c r="AC1989" i="26"/>
  <c r="AB1989" i="26"/>
  <c r="AD1985" i="26"/>
  <c r="AC1985" i="26"/>
  <c r="AB1985" i="26"/>
  <c r="AD1981" i="26"/>
  <c r="AC1981" i="26"/>
  <c r="AB1981" i="26"/>
  <c r="AD1977" i="26"/>
  <c r="AC1977" i="26"/>
  <c r="AB1977" i="26"/>
  <c r="AD1973" i="26"/>
  <c r="AC1973" i="26"/>
  <c r="AB1973" i="26"/>
  <c r="AD1969" i="26"/>
  <c r="AC1969" i="26"/>
  <c r="AB1969" i="26"/>
  <c r="AD1965" i="26"/>
  <c r="AC1965" i="26"/>
  <c r="AB1965" i="26"/>
  <c r="AD1961" i="26"/>
  <c r="AC1961" i="26"/>
  <c r="AB1961" i="26"/>
  <c r="AD1957" i="26"/>
  <c r="AC1957" i="26"/>
  <c r="AB1957" i="26"/>
  <c r="AD1953" i="26"/>
  <c r="AC1953" i="26"/>
  <c r="AB1953" i="26"/>
  <c r="AD1949" i="26"/>
  <c r="AC1949" i="26"/>
  <c r="AB1949" i="26"/>
  <c r="AD1945" i="26"/>
  <c r="AC1945" i="26"/>
  <c r="AB1945" i="26"/>
  <c r="AD1941" i="26"/>
  <c r="AC1941" i="26"/>
  <c r="AB1941" i="26"/>
  <c r="AD1937" i="26"/>
  <c r="AC1937" i="26"/>
  <c r="AB1937" i="26"/>
  <c r="AD1933" i="26"/>
  <c r="AC1933" i="26"/>
  <c r="AB1933" i="26"/>
  <c r="AD1929" i="26"/>
  <c r="AC1929" i="26"/>
  <c r="AB1929" i="26"/>
  <c r="AD1925" i="26"/>
  <c r="AC1925" i="26"/>
  <c r="AB1925" i="26"/>
  <c r="AD1921" i="26"/>
  <c r="AC1921" i="26"/>
  <c r="AB1921" i="26"/>
  <c r="AD1917" i="26"/>
  <c r="AC1917" i="26"/>
  <c r="AB1917" i="26"/>
  <c r="AD1913" i="26"/>
  <c r="AC1913" i="26"/>
  <c r="AB1913" i="26"/>
  <c r="AD1909" i="26"/>
  <c r="AC1909" i="26"/>
  <c r="AB1909" i="26"/>
  <c r="AD1905" i="26"/>
  <c r="AC1905" i="26"/>
  <c r="AB1905" i="26"/>
  <c r="AD1901" i="26"/>
  <c r="AC1901" i="26"/>
  <c r="AB1901" i="26"/>
  <c r="AD1897" i="26"/>
  <c r="AC1897" i="26"/>
  <c r="AB1897" i="26"/>
  <c r="AD1893" i="26"/>
  <c r="AC1893" i="26"/>
  <c r="AB1893" i="26"/>
  <c r="AD1889" i="26"/>
  <c r="AC1889" i="26"/>
  <c r="AB1889" i="26"/>
  <c r="AD1885" i="26"/>
  <c r="AC1885" i="26"/>
  <c r="AB1885" i="26"/>
  <c r="AD1881" i="26"/>
  <c r="AC1881" i="26"/>
  <c r="AB1881" i="26"/>
  <c r="AD1877" i="26"/>
  <c r="AC1877" i="26"/>
  <c r="AB1877" i="26"/>
  <c r="AD1873" i="26"/>
  <c r="AC1873" i="26"/>
  <c r="AB1873" i="26"/>
  <c r="AD1869" i="26"/>
  <c r="AC1869" i="26"/>
  <c r="AB1869" i="26"/>
  <c r="AD1865" i="26"/>
  <c r="AC1865" i="26"/>
  <c r="AB1865" i="26"/>
  <c r="AD1861" i="26"/>
  <c r="AC1861" i="26"/>
  <c r="AB1861" i="26"/>
  <c r="AD1857" i="26"/>
  <c r="AC1857" i="26"/>
  <c r="AB1857" i="26"/>
  <c r="AD1853" i="26"/>
  <c r="AC1853" i="26"/>
  <c r="AB1853" i="26"/>
  <c r="AD1849" i="26"/>
  <c r="AC1849" i="26"/>
  <c r="AB1849" i="26"/>
  <c r="AD1845" i="26"/>
  <c r="AC1845" i="26"/>
  <c r="AB1845" i="26"/>
  <c r="AD1841" i="26"/>
  <c r="AC1841" i="26"/>
  <c r="AB1841" i="26"/>
  <c r="AD1837" i="26"/>
  <c r="AC1837" i="26"/>
  <c r="AB1837" i="26"/>
  <c r="AD1833" i="26"/>
  <c r="AC1833" i="26"/>
  <c r="AB1833" i="26"/>
  <c r="AD1829" i="26"/>
  <c r="AC1829" i="26"/>
  <c r="AB1829" i="26"/>
  <c r="AD1825" i="26"/>
  <c r="AC1825" i="26"/>
  <c r="AB1825" i="26"/>
  <c r="AD1821" i="26"/>
  <c r="AC1821" i="26"/>
  <c r="AB1821" i="26"/>
  <c r="AD1817" i="26"/>
  <c r="AC1817" i="26"/>
  <c r="AB1817" i="26"/>
  <c r="AD1813" i="26"/>
  <c r="AC1813" i="26"/>
  <c r="AB1813" i="26"/>
  <c r="AD1809" i="26"/>
  <c r="AC1809" i="26"/>
  <c r="AB1809" i="26"/>
  <c r="AD1805" i="26"/>
  <c r="AC1805" i="26"/>
  <c r="AB1805" i="26"/>
  <c r="AD1801" i="26"/>
  <c r="AC1801" i="26"/>
  <c r="AB1801" i="26"/>
  <c r="AD1797" i="26"/>
  <c r="AC1797" i="26"/>
  <c r="AB1797" i="26"/>
  <c r="AD1793" i="26"/>
  <c r="AC1793" i="26"/>
  <c r="AB1793" i="26"/>
  <c r="AD1789" i="26"/>
  <c r="AC1789" i="26"/>
  <c r="AB1789" i="26"/>
  <c r="AD1785" i="26"/>
  <c r="AC1785" i="26"/>
  <c r="AB1785" i="26"/>
  <c r="AD1781" i="26"/>
  <c r="AC1781" i="26"/>
  <c r="AB1781" i="26"/>
  <c r="AD1777" i="26"/>
  <c r="AC1777" i="26"/>
  <c r="AB1777" i="26"/>
  <c r="AD1773" i="26"/>
  <c r="AC1773" i="26"/>
  <c r="AB1773" i="26"/>
  <c r="AD1769" i="26"/>
  <c r="AC1769" i="26"/>
  <c r="AB1769" i="26"/>
  <c r="AD1765" i="26"/>
  <c r="AC1765" i="26"/>
  <c r="AB1765" i="26"/>
  <c r="AD1761" i="26"/>
  <c r="AC1761" i="26"/>
  <c r="AB1761" i="26"/>
  <c r="AD1757" i="26"/>
  <c r="AC1757" i="26"/>
  <c r="AB1757" i="26"/>
  <c r="AD1753" i="26"/>
  <c r="AC1753" i="26"/>
  <c r="AB1753" i="26"/>
  <c r="AD1749" i="26"/>
  <c r="AC1749" i="26"/>
  <c r="AB1749" i="26"/>
  <c r="AD1745" i="26"/>
  <c r="AC1745" i="26"/>
  <c r="AB1745" i="26"/>
  <c r="AD1741" i="26"/>
  <c r="AC1741" i="26"/>
  <c r="AB1741" i="26"/>
  <c r="AD1737" i="26"/>
  <c r="AC1737" i="26"/>
  <c r="AB1737" i="26"/>
  <c r="AD1733" i="26"/>
  <c r="AC1733" i="26"/>
  <c r="AB1733" i="26"/>
  <c r="AD1729" i="26"/>
  <c r="AC1729" i="26"/>
  <c r="AB1729" i="26"/>
  <c r="AD1725" i="26"/>
  <c r="AC1725" i="26"/>
  <c r="AB1725" i="26"/>
  <c r="AD1721" i="26"/>
  <c r="AC1721" i="26"/>
  <c r="AB1721" i="26"/>
  <c r="AD1717" i="26"/>
  <c r="AC1717" i="26"/>
  <c r="AB1717" i="26"/>
  <c r="AD1713" i="26"/>
  <c r="AC1713" i="26"/>
  <c r="AB1713" i="26"/>
  <c r="AD1709" i="26"/>
  <c r="AC1709" i="26"/>
  <c r="AB1709" i="26"/>
  <c r="AD1705" i="26"/>
  <c r="AC1705" i="26"/>
  <c r="AB1705" i="26"/>
  <c r="AD1701" i="26"/>
  <c r="AC1701" i="26"/>
  <c r="AB1701" i="26"/>
  <c r="AD1697" i="26"/>
  <c r="AC1697" i="26"/>
  <c r="AB1697" i="26"/>
  <c r="AD1693" i="26"/>
  <c r="AC1693" i="26"/>
  <c r="AB1693" i="26"/>
  <c r="AD1689" i="26"/>
  <c r="AC1689" i="26"/>
  <c r="AB1689" i="26"/>
  <c r="AD1685" i="26"/>
  <c r="AC1685" i="26"/>
  <c r="AB1685" i="26"/>
  <c r="AD1681" i="26"/>
  <c r="AC1681" i="26"/>
  <c r="AB1681" i="26"/>
  <c r="AD1677" i="26"/>
  <c r="AC1677" i="26"/>
  <c r="AB1677" i="26"/>
  <c r="AD1673" i="26"/>
  <c r="AC1673" i="26"/>
  <c r="AB1673" i="26"/>
  <c r="AD1669" i="26"/>
  <c r="AC1669" i="26"/>
  <c r="AB1669" i="26"/>
  <c r="AD1665" i="26"/>
  <c r="AC1665" i="26"/>
  <c r="AB1665" i="26"/>
  <c r="AD1661" i="26"/>
  <c r="AC1661" i="26"/>
  <c r="AB1661" i="26"/>
  <c r="AD1657" i="26"/>
  <c r="AC1657" i="26"/>
  <c r="AB1657" i="26"/>
  <c r="AD1653" i="26"/>
  <c r="AC1653" i="26"/>
  <c r="AB1653" i="26"/>
  <c r="AD1649" i="26"/>
  <c r="AC1649" i="26"/>
  <c r="AB1649" i="26"/>
  <c r="AD1645" i="26"/>
  <c r="AC1645" i="26"/>
  <c r="AB1645" i="26"/>
  <c r="AD1641" i="26"/>
  <c r="AC1641" i="26"/>
  <c r="AB1641" i="26"/>
  <c r="AD1637" i="26"/>
  <c r="AC1637" i="26"/>
  <c r="AB1637" i="26"/>
  <c r="AD1633" i="26"/>
  <c r="AC1633" i="26"/>
  <c r="AB1633" i="26"/>
  <c r="AD1629" i="26"/>
  <c r="AC1629" i="26"/>
  <c r="AB1629" i="26"/>
  <c r="AD1625" i="26"/>
  <c r="AC1625" i="26"/>
  <c r="AB1625" i="26"/>
  <c r="AD1621" i="26"/>
  <c r="AC1621" i="26"/>
  <c r="AB1621" i="26"/>
  <c r="AD1617" i="26"/>
  <c r="AC1617" i="26"/>
  <c r="AB1617" i="26"/>
  <c r="AD1613" i="26"/>
  <c r="AC1613" i="26"/>
  <c r="AB1613" i="26"/>
  <c r="AD1609" i="26"/>
  <c r="AC1609" i="26"/>
  <c r="AB1609" i="26"/>
  <c r="AD1605" i="26"/>
  <c r="AC1605" i="26"/>
  <c r="AB1605" i="26"/>
  <c r="AD1601" i="26"/>
  <c r="AC1601" i="26"/>
  <c r="AB1601" i="26"/>
  <c r="AD1597" i="26"/>
  <c r="AC1597" i="26"/>
  <c r="AB1597" i="26"/>
  <c r="AD1593" i="26"/>
  <c r="AC1593" i="26"/>
  <c r="AB1593" i="26"/>
  <c r="AD1589" i="26"/>
  <c r="AC1589" i="26"/>
  <c r="AB1589" i="26"/>
  <c r="AD1585" i="26"/>
  <c r="AC1585" i="26"/>
  <c r="AB1585" i="26"/>
  <c r="AD1581" i="26"/>
  <c r="AC1581" i="26"/>
  <c r="AB1581" i="26"/>
  <c r="AD1577" i="26"/>
  <c r="AC1577" i="26"/>
  <c r="AB1577" i="26"/>
  <c r="AD1573" i="26"/>
  <c r="AC1573" i="26"/>
  <c r="AB1573" i="26"/>
  <c r="AD1569" i="26"/>
  <c r="AC1569" i="26"/>
  <c r="AB1569" i="26"/>
  <c r="AD1565" i="26"/>
  <c r="AC1565" i="26"/>
  <c r="AB1565" i="26"/>
  <c r="AD1561" i="26"/>
  <c r="AC1561" i="26"/>
  <c r="AB1561" i="26"/>
  <c r="AD1557" i="26"/>
  <c r="AC1557" i="26"/>
  <c r="AB1557" i="26"/>
  <c r="AD1553" i="26"/>
  <c r="AC1553" i="26"/>
  <c r="AB1553" i="26"/>
  <c r="AD1549" i="26"/>
  <c r="AC1549" i="26"/>
  <c r="AB1549" i="26"/>
  <c r="AD1545" i="26"/>
  <c r="AC1545" i="26"/>
  <c r="AB1545" i="26"/>
  <c r="AD1541" i="26"/>
  <c r="AC1541" i="26"/>
  <c r="AB1541" i="26"/>
  <c r="AD1537" i="26"/>
  <c r="AC1537" i="26"/>
  <c r="AB1537" i="26"/>
  <c r="AD1533" i="26"/>
  <c r="AC1533" i="26"/>
  <c r="AB1533" i="26"/>
  <c r="AD1529" i="26"/>
  <c r="AC1529" i="26"/>
  <c r="AB1529" i="26"/>
  <c r="AD1525" i="26"/>
  <c r="AC1525" i="26"/>
  <c r="AB1525" i="26"/>
  <c r="AD1521" i="26"/>
  <c r="AC1521" i="26"/>
  <c r="AB1521" i="26"/>
  <c r="AD1517" i="26"/>
  <c r="AC1517" i="26"/>
  <c r="AB1517" i="26"/>
  <c r="AD1513" i="26"/>
  <c r="AC1513" i="26"/>
  <c r="AB1513" i="26"/>
  <c r="AD1509" i="26"/>
  <c r="AC1509" i="26"/>
  <c r="AB1509" i="26"/>
  <c r="AD1505" i="26"/>
  <c r="AC1505" i="26"/>
  <c r="AB1505" i="26"/>
  <c r="AD1501" i="26"/>
  <c r="AC1501" i="26"/>
  <c r="AB1501" i="26"/>
  <c r="AD1497" i="26"/>
  <c r="AC1497" i="26"/>
  <c r="AB1497" i="26"/>
  <c r="AD1493" i="26"/>
  <c r="AC1493" i="26"/>
  <c r="AB1493" i="26"/>
  <c r="AD1489" i="26"/>
  <c r="AC1489" i="26"/>
  <c r="AB1489" i="26"/>
  <c r="AD1485" i="26"/>
  <c r="AC1485" i="26"/>
  <c r="AB1485" i="26"/>
  <c r="AD1481" i="26"/>
  <c r="AC1481" i="26"/>
  <c r="AB1481" i="26"/>
  <c r="AD1477" i="26"/>
  <c r="AC1477" i="26"/>
  <c r="AB1477" i="26"/>
  <c r="AD1473" i="26"/>
  <c r="AC1473" i="26"/>
  <c r="AB1473" i="26"/>
  <c r="AD1469" i="26"/>
  <c r="AC1469" i="26"/>
  <c r="AB1469" i="26"/>
  <c r="AD1465" i="26"/>
  <c r="AC1465" i="26"/>
  <c r="AB1465" i="26"/>
  <c r="AD1461" i="26"/>
  <c r="AC1461" i="26"/>
  <c r="AB1461" i="26"/>
  <c r="AD1457" i="26"/>
  <c r="AC1457" i="26"/>
  <c r="AB1457" i="26"/>
  <c r="AD1453" i="26"/>
  <c r="AC1453" i="26"/>
  <c r="AB1453" i="26"/>
  <c r="AD1449" i="26"/>
  <c r="AC1449" i="26"/>
  <c r="AB1449" i="26"/>
  <c r="AD1445" i="26"/>
  <c r="AC1445" i="26"/>
  <c r="AB1445" i="26"/>
  <c r="AD1441" i="26"/>
  <c r="AC1441" i="26"/>
  <c r="AB1441" i="26"/>
  <c r="AD1437" i="26"/>
  <c r="AC1437" i="26"/>
  <c r="AB1437" i="26"/>
  <c r="AD1433" i="26"/>
  <c r="AC1433" i="26"/>
  <c r="AB1433" i="26"/>
  <c r="AD1429" i="26"/>
  <c r="AC1429" i="26"/>
  <c r="AB1429" i="26"/>
  <c r="AD1425" i="26"/>
  <c r="AC1425" i="26"/>
  <c r="AB1425" i="26"/>
  <c r="AD1421" i="26"/>
  <c r="AC1421" i="26"/>
  <c r="AB1421" i="26"/>
  <c r="AD1417" i="26"/>
  <c r="AC1417" i="26"/>
  <c r="AB1417" i="26"/>
  <c r="AD1413" i="26"/>
  <c r="AC1413" i="26"/>
  <c r="AB1413" i="26"/>
  <c r="AD1409" i="26"/>
  <c r="AC1409" i="26"/>
  <c r="AB1409" i="26"/>
  <c r="AD1405" i="26"/>
  <c r="AC1405" i="26"/>
  <c r="AB1405" i="26"/>
  <c r="AD1401" i="26"/>
  <c r="AC1401" i="26"/>
  <c r="AB1401" i="26"/>
  <c r="AD1397" i="26"/>
  <c r="AC1397" i="26"/>
  <c r="AB1397" i="26"/>
  <c r="AD1393" i="26"/>
  <c r="AC1393" i="26"/>
  <c r="AB1393" i="26"/>
  <c r="AD1389" i="26"/>
  <c r="AC1389" i="26"/>
  <c r="AB1389" i="26"/>
  <c r="AD1385" i="26"/>
  <c r="AC1385" i="26"/>
  <c r="AB1385" i="26"/>
  <c r="AD1381" i="26"/>
  <c r="AC1381" i="26"/>
  <c r="AB1381" i="26"/>
  <c r="AD1377" i="26"/>
  <c r="AC1377" i="26"/>
  <c r="AB1377" i="26"/>
  <c r="AD1373" i="26"/>
  <c r="AC1373" i="26"/>
  <c r="AB1373" i="26"/>
  <c r="AD1369" i="26"/>
  <c r="AC1369" i="26"/>
  <c r="AB1369" i="26"/>
  <c r="AD1365" i="26"/>
  <c r="AC1365" i="26"/>
  <c r="AB1365" i="26"/>
  <c r="AD1361" i="26"/>
  <c r="AC1361" i="26"/>
  <c r="AB1361" i="26"/>
  <c r="AD1357" i="26"/>
  <c r="AC1357" i="26"/>
  <c r="AB1357" i="26"/>
  <c r="AD1353" i="26"/>
  <c r="AC1353" i="26"/>
  <c r="AB1353" i="26"/>
  <c r="AD1349" i="26"/>
  <c r="AC1349" i="26"/>
  <c r="AB1349" i="26"/>
  <c r="AD1345" i="26"/>
  <c r="AC1345" i="26"/>
  <c r="AB1345" i="26"/>
  <c r="AD1341" i="26"/>
  <c r="AC1341" i="26"/>
  <c r="AB1341" i="26"/>
  <c r="AD1337" i="26"/>
  <c r="AC1337" i="26"/>
  <c r="AB1337" i="26"/>
  <c r="AD1333" i="26"/>
  <c r="AC1333" i="26"/>
  <c r="AB1333" i="26"/>
  <c r="AD1329" i="26"/>
  <c r="AC1329" i="26"/>
  <c r="AB1329" i="26"/>
  <c r="AD1325" i="26"/>
  <c r="AC1325" i="26"/>
  <c r="AB1325" i="26"/>
  <c r="AD1321" i="26"/>
  <c r="AC1321" i="26"/>
  <c r="AB1321" i="26"/>
  <c r="AD1317" i="26"/>
  <c r="AC1317" i="26"/>
  <c r="AB1317" i="26"/>
  <c r="AD1313" i="26"/>
  <c r="AC1313" i="26"/>
  <c r="AB1313" i="26"/>
  <c r="AD1309" i="26"/>
  <c r="AC1309" i="26"/>
  <c r="AB1309" i="26"/>
  <c r="AD1305" i="26"/>
  <c r="AC1305" i="26"/>
  <c r="AB1305" i="26"/>
  <c r="AD1301" i="26"/>
  <c r="AC1301" i="26"/>
  <c r="AB1301" i="26"/>
  <c r="AD1297" i="26"/>
  <c r="AC1297" i="26"/>
  <c r="AB1297" i="26"/>
  <c r="AD1293" i="26"/>
  <c r="AC1293" i="26"/>
  <c r="AB1293" i="26"/>
  <c r="AD1289" i="26"/>
  <c r="AC1289" i="26"/>
  <c r="AB1289" i="26"/>
  <c r="AD1285" i="26"/>
  <c r="AC1285" i="26"/>
  <c r="AB1285" i="26"/>
  <c r="AD1281" i="26"/>
  <c r="AC1281" i="26"/>
  <c r="AB1281" i="26"/>
  <c r="AD1277" i="26"/>
  <c r="AC1277" i="26"/>
  <c r="AB1277" i="26"/>
  <c r="AD1273" i="26"/>
  <c r="AC1273" i="26"/>
  <c r="AB1273" i="26"/>
  <c r="AD1269" i="26"/>
  <c r="AC1269" i="26"/>
  <c r="AB1269" i="26"/>
  <c r="AD1265" i="26"/>
  <c r="AC1265" i="26"/>
  <c r="AB1265" i="26"/>
  <c r="AD1261" i="26"/>
  <c r="AC1261" i="26"/>
  <c r="AB1261" i="26"/>
  <c r="AD1257" i="26"/>
  <c r="AC1257" i="26"/>
  <c r="AB1257" i="26"/>
  <c r="AD1253" i="26"/>
  <c r="AC1253" i="26"/>
  <c r="AB1253" i="26"/>
  <c r="AD1249" i="26"/>
  <c r="AC1249" i="26"/>
  <c r="AB1249" i="26"/>
  <c r="AD1245" i="26"/>
  <c r="AC1245" i="26"/>
  <c r="AB1245" i="26"/>
  <c r="AD1241" i="26"/>
  <c r="AC1241" i="26"/>
  <c r="AB1241" i="26"/>
  <c r="AD1237" i="26"/>
  <c r="AC1237" i="26"/>
  <c r="AB1237" i="26"/>
  <c r="AD1233" i="26"/>
  <c r="AC1233" i="26"/>
  <c r="AB1233" i="26"/>
  <c r="AD1229" i="26"/>
  <c r="AC1229" i="26"/>
  <c r="AB1229" i="26"/>
  <c r="AD1225" i="26"/>
  <c r="AC1225" i="26"/>
  <c r="AB1225" i="26"/>
  <c r="AD1221" i="26"/>
  <c r="AC1221" i="26"/>
  <c r="AB1221" i="26"/>
  <c r="AD1217" i="26"/>
  <c r="AC1217" i="26"/>
  <c r="AB1217" i="26"/>
  <c r="AD1213" i="26"/>
  <c r="AC1213" i="26"/>
  <c r="AB1213" i="26"/>
  <c r="AD1209" i="26"/>
  <c r="AC1209" i="26"/>
  <c r="AB1209" i="26"/>
  <c r="AD1205" i="26"/>
  <c r="AC1205" i="26"/>
  <c r="AB1205" i="26"/>
  <c r="AD1201" i="26"/>
  <c r="AC1201" i="26"/>
  <c r="AB1201" i="26"/>
  <c r="AD1197" i="26"/>
  <c r="AC1197" i="26"/>
  <c r="AB1197" i="26"/>
  <c r="AD1193" i="26"/>
  <c r="AC1193" i="26"/>
  <c r="AB1193" i="26"/>
  <c r="AD1189" i="26"/>
  <c r="AC1189" i="26"/>
  <c r="AB1189" i="26"/>
  <c r="AD1185" i="26"/>
  <c r="AC1185" i="26"/>
  <c r="AB1185" i="26"/>
  <c r="AD1181" i="26"/>
  <c r="AC1181" i="26"/>
  <c r="AB1181" i="26"/>
  <c r="AD1177" i="26"/>
  <c r="AC1177" i="26"/>
  <c r="AB1177" i="26"/>
  <c r="AD1173" i="26"/>
  <c r="AC1173" i="26"/>
  <c r="AB1173" i="26"/>
  <c r="AD1169" i="26"/>
  <c r="AC1169" i="26"/>
  <c r="AB1169" i="26"/>
  <c r="AD1165" i="26"/>
  <c r="AC1165" i="26"/>
  <c r="AB1165" i="26"/>
  <c r="AD1161" i="26"/>
  <c r="AC1161" i="26"/>
  <c r="AB1161" i="26"/>
  <c r="AD1157" i="26"/>
  <c r="AC1157" i="26"/>
  <c r="AB1157" i="26"/>
  <c r="AD1153" i="26"/>
  <c r="AC1153" i="26"/>
  <c r="AB1153" i="26"/>
  <c r="AD1149" i="26"/>
  <c r="AC1149" i="26"/>
  <c r="AB1149" i="26"/>
  <c r="AD1145" i="26"/>
  <c r="AC1145" i="26"/>
  <c r="AB1145" i="26"/>
  <c r="AD1141" i="26"/>
  <c r="AC1141" i="26"/>
  <c r="AB1141" i="26"/>
  <c r="AD1137" i="26"/>
  <c r="AC1137" i="26"/>
  <c r="AB1137" i="26"/>
  <c r="AD1133" i="26"/>
  <c r="AC1133" i="26"/>
  <c r="AB1133" i="26"/>
  <c r="AD1129" i="26"/>
  <c r="AC1129" i="26"/>
  <c r="AB1129" i="26"/>
  <c r="AD1125" i="26"/>
  <c r="AC1125" i="26"/>
  <c r="AB1125" i="26"/>
  <c r="AD1121" i="26"/>
  <c r="AC1121" i="26"/>
  <c r="AB1121" i="26"/>
  <c r="AD1117" i="26"/>
  <c r="AC1117" i="26"/>
  <c r="AB1117" i="26"/>
  <c r="AD1113" i="26"/>
  <c r="AC1113" i="26"/>
  <c r="AB1113" i="26"/>
  <c r="AD1109" i="26"/>
  <c r="AC1109" i="26"/>
  <c r="AB1109" i="26"/>
  <c r="AD1105" i="26"/>
  <c r="AC1105" i="26"/>
  <c r="AB1105" i="26"/>
  <c r="AD1101" i="26"/>
  <c r="AC1101" i="26"/>
  <c r="AB1101" i="26"/>
  <c r="AD1097" i="26"/>
  <c r="AC1097" i="26"/>
  <c r="AB1097" i="26"/>
  <c r="AD1093" i="26"/>
  <c r="AC1093" i="26"/>
  <c r="AB1093" i="26"/>
  <c r="AD1089" i="26"/>
  <c r="AC1089" i="26"/>
  <c r="AB1089" i="26"/>
  <c r="AD1085" i="26"/>
  <c r="AC1085" i="26"/>
  <c r="AB1085" i="26"/>
  <c r="AD1081" i="26"/>
  <c r="AC1081" i="26"/>
  <c r="AB1081" i="26"/>
  <c r="AD1077" i="26"/>
  <c r="AC1077" i="26"/>
  <c r="AB1077" i="26"/>
  <c r="AD1073" i="26"/>
  <c r="AC1073" i="26"/>
  <c r="AB1073" i="26"/>
  <c r="AD1069" i="26"/>
  <c r="AC1069" i="26"/>
  <c r="AB1069" i="26"/>
  <c r="AD1065" i="26"/>
  <c r="AC1065" i="26"/>
  <c r="AB1065" i="26"/>
  <c r="AD1061" i="26"/>
  <c r="AC1061" i="26"/>
  <c r="AB1061" i="26"/>
  <c r="AD1057" i="26"/>
  <c r="AC1057" i="26"/>
  <c r="AB1057" i="26"/>
  <c r="AD1053" i="26"/>
  <c r="AC1053" i="26"/>
  <c r="AB1053" i="26"/>
  <c r="AD1049" i="26"/>
  <c r="AC1049" i="26"/>
  <c r="AB1049" i="26"/>
  <c r="AD1045" i="26"/>
  <c r="AC1045" i="26"/>
  <c r="AB1045" i="26"/>
  <c r="AD1041" i="26"/>
  <c r="AC1041" i="26"/>
  <c r="AB1041" i="26"/>
  <c r="AD1037" i="26"/>
  <c r="AC1037" i="26"/>
  <c r="AB1037" i="26"/>
  <c r="AD1033" i="26"/>
  <c r="AC1033" i="26"/>
  <c r="AB1033" i="26"/>
  <c r="AD1029" i="26"/>
  <c r="AC1029" i="26"/>
  <c r="AB1029" i="26"/>
  <c r="AD1025" i="26"/>
  <c r="AC1025" i="26"/>
  <c r="AB1025" i="26"/>
  <c r="AD1021" i="26"/>
  <c r="AC1021" i="26"/>
  <c r="AB1021" i="26"/>
  <c r="AD1017" i="26"/>
  <c r="AC1017" i="26"/>
  <c r="AB1017" i="26"/>
  <c r="AD1013" i="26"/>
  <c r="AC1013" i="26"/>
  <c r="AB1013" i="26"/>
  <c r="AD1009" i="26"/>
  <c r="AC1009" i="26"/>
  <c r="AB1009" i="26"/>
  <c r="AD1005" i="26"/>
  <c r="AC1005" i="26"/>
  <c r="AB1005" i="26"/>
  <c r="AD1001" i="26"/>
  <c r="AC1001" i="26"/>
  <c r="AB1001" i="26"/>
  <c r="AD997" i="26"/>
  <c r="AC997" i="26"/>
  <c r="AB997" i="26"/>
  <c r="AD993" i="26"/>
  <c r="AC993" i="26"/>
  <c r="AB993" i="26"/>
  <c r="AD989" i="26"/>
  <c r="AC989" i="26"/>
  <c r="AB989" i="26"/>
  <c r="AD985" i="26"/>
  <c r="AC985" i="26"/>
  <c r="AB985" i="26"/>
  <c r="AD981" i="26"/>
  <c r="AC981" i="26"/>
  <c r="AB981" i="26"/>
  <c r="AD977" i="26"/>
  <c r="AC977" i="26"/>
  <c r="AB977" i="26"/>
  <c r="AD973" i="26"/>
  <c r="AC973" i="26"/>
  <c r="AB973" i="26"/>
  <c r="AD969" i="26"/>
  <c r="AC969" i="26"/>
  <c r="AB969" i="26"/>
  <c r="AD965" i="26"/>
  <c r="AC965" i="26"/>
  <c r="AB965" i="26"/>
  <c r="AD961" i="26"/>
  <c r="AC961" i="26"/>
  <c r="AB961" i="26"/>
  <c r="AD957" i="26"/>
  <c r="AC957" i="26"/>
  <c r="AB957" i="26"/>
  <c r="AD953" i="26"/>
  <c r="AC953" i="26"/>
  <c r="AB953" i="26"/>
  <c r="AD949" i="26"/>
  <c r="AC949" i="26"/>
  <c r="AB949" i="26"/>
  <c r="AD945" i="26"/>
  <c r="AC945" i="26"/>
  <c r="AB945" i="26"/>
  <c r="AD941" i="26"/>
  <c r="AC941" i="26"/>
  <c r="AB941" i="26"/>
  <c r="AD937" i="26"/>
  <c r="AC937" i="26"/>
  <c r="AB937" i="26"/>
  <c r="AD933" i="26"/>
  <c r="AC933" i="26"/>
  <c r="AB933" i="26"/>
  <c r="AD929" i="26"/>
  <c r="AC929" i="26"/>
  <c r="AB929" i="26"/>
  <c r="AD925" i="26"/>
  <c r="AC925" i="26"/>
  <c r="AB925" i="26"/>
  <c r="AD921" i="26"/>
  <c r="AC921" i="26"/>
  <c r="AB921" i="26"/>
  <c r="AD917" i="26"/>
  <c r="AC917" i="26"/>
  <c r="AB917" i="26"/>
  <c r="AD913" i="26"/>
  <c r="AC913" i="26"/>
  <c r="AB913" i="26"/>
  <c r="AD909" i="26"/>
  <c r="AC909" i="26"/>
  <c r="AB909" i="26"/>
  <c r="AD905" i="26"/>
  <c r="AC905" i="26"/>
  <c r="AB905" i="26"/>
  <c r="AD901" i="26"/>
  <c r="AC901" i="26"/>
  <c r="AB901" i="26"/>
  <c r="AD897" i="26"/>
  <c r="AC897" i="26"/>
  <c r="AB897" i="26"/>
  <c r="AD893" i="26"/>
  <c r="AC893" i="26"/>
  <c r="AB893" i="26"/>
  <c r="AD889" i="26"/>
  <c r="AC889" i="26"/>
  <c r="AB889" i="26"/>
  <c r="AD885" i="26"/>
  <c r="AC885" i="26"/>
  <c r="AB885" i="26"/>
  <c r="AD881" i="26"/>
  <c r="AC881" i="26"/>
  <c r="AB881" i="26"/>
  <c r="AD877" i="26"/>
  <c r="AC877" i="26"/>
  <c r="AB877" i="26"/>
  <c r="AD873" i="26"/>
  <c r="AC873" i="26"/>
  <c r="AB873" i="26"/>
  <c r="AD869" i="26"/>
  <c r="AC869" i="26"/>
  <c r="AB869" i="26"/>
  <c r="AD865" i="26"/>
  <c r="AC865" i="26"/>
  <c r="AB865" i="26"/>
  <c r="AD861" i="26"/>
  <c r="AC861" i="26"/>
  <c r="AB861" i="26"/>
  <c r="AD857" i="26"/>
  <c r="AC857" i="26"/>
  <c r="AB857" i="26"/>
  <c r="AD853" i="26"/>
  <c r="AC853" i="26"/>
  <c r="AB853" i="26"/>
  <c r="AD849" i="26"/>
  <c r="AC849" i="26"/>
  <c r="AB849" i="26"/>
  <c r="AD845" i="26"/>
  <c r="AC845" i="26"/>
  <c r="AB845" i="26"/>
  <c r="AD841" i="26"/>
  <c r="AC841" i="26"/>
  <c r="AB841" i="26"/>
  <c r="AD837" i="26"/>
  <c r="AC837" i="26"/>
  <c r="AB837" i="26"/>
  <c r="AD833" i="26"/>
  <c r="AC833" i="26"/>
  <c r="AB833" i="26"/>
  <c r="AD829" i="26"/>
  <c r="AC829" i="26"/>
  <c r="AB829" i="26"/>
  <c r="AD825" i="26"/>
  <c r="AC825" i="26"/>
  <c r="AB825" i="26"/>
  <c r="AD821" i="26"/>
  <c r="AC821" i="26"/>
  <c r="AB821" i="26"/>
  <c r="AD817" i="26"/>
  <c r="AC817" i="26"/>
  <c r="AB817" i="26"/>
  <c r="AD813" i="26"/>
  <c r="AC813" i="26"/>
  <c r="AB813" i="26"/>
  <c r="AD809" i="26"/>
  <c r="AC809" i="26"/>
  <c r="AB809" i="26"/>
  <c r="AD805" i="26"/>
  <c r="AC805" i="26"/>
  <c r="AB805" i="26"/>
  <c r="AD801" i="26"/>
  <c r="AC801" i="26"/>
  <c r="AB801" i="26"/>
  <c r="AD797" i="26"/>
  <c r="AC797" i="26"/>
  <c r="AB797" i="26"/>
  <c r="AD793" i="26"/>
  <c r="AC793" i="26"/>
  <c r="AB793" i="26"/>
  <c r="AD789" i="26"/>
  <c r="AC789" i="26"/>
  <c r="AB789" i="26"/>
  <c r="AD785" i="26"/>
  <c r="AC785" i="26"/>
  <c r="AB785" i="26"/>
  <c r="AD781" i="26"/>
  <c r="AC781" i="26"/>
  <c r="AB781" i="26"/>
  <c r="AD777" i="26"/>
  <c r="AC777" i="26"/>
  <c r="AB777" i="26"/>
  <c r="AD773" i="26"/>
  <c r="AC773" i="26"/>
  <c r="AB773" i="26"/>
  <c r="AD769" i="26"/>
  <c r="AC769" i="26"/>
  <c r="AB769" i="26"/>
  <c r="AD765" i="26"/>
  <c r="AC765" i="26"/>
  <c r="AB765" i="26"/>
  <c r="AD761" i="26"/>
  <c r="AC761" i="26"/>
  <c r="AB761" i="26"/>
  <c r="AD757" i="26"/>
  <c r="AC757" i="26"/>
  <c r="AB757" i="26"/>
  <c r="AD753" i="26"/>
  <c r="AC753" i="26"/>
  <c r="AB753" i="26"/>
  <c r="AD749" i="26"/>
  <c r="AC749" i="26"/>
  <c r="AB749" i="26"/>
  <c r="AD745" i="26"/>
  <c r="AC745" i="26"/>
  <c r="AB745" i="26"/>
  <c r="AD741" i="26"/>
  <c r="AC741" i="26"/>
  <c r="AB741" i="26"/>
  <c r="AD737" i="26"/>
  <c r="AC737" i="26"/>
  <c r="AB737" i="26"/>
  <c r="AD733" i="26"/>
  <c r="AC733" i="26"/>
  <c r="AB733" i="26"/>
  <c r="AD729" i="26"/>
  <c r="AC729" i="26"/>
  <c r="AB729" i="26"/>
  <c r="AD725" i="26"/>
  <c r="AC725" i="26"/>
  <c r="AB725" i="26"/>
  <c r="AD721" i="26"/>
  <c r="AC721" i="26"/>
  <c r="AB721" i="26"/>
  <c r="AD717" i="26"/>
  <c r="AC717" i="26"/>
  <c r="AB717" i="26"/>
  <c r="AD713" i="26"/>
  <c r="AC713" i="26"/>
  <c r="AB713" i="26"/>
  <c r="AD709" i="26"/>
  <c r="AC709" i="26"/>
  <c r="AB709" i="26"/>
  <c r="AD705" i="26"/>
  <c r="AC705" i="26"/>
  <c r="AB705" i="26"/>
  <c r="AD701" i="26"/>
  <c r="AC701" i="26"/>
  <c r="AB701" i="26"/>
  <c r="AD697" i="26"/>
  <c r="AC697" i="26"/>
  <c r="AB697" i="26"/>
  <c r="AD693" i="26"/>
  <c r="AC693" i="26"/>
  <c r="AB693" i="26"/>
  <c r="AD689" i="26"/>
  <c r="AC689" i="26"/>
  <c r="AB689" i="26"/>
  <c r="AD685" i="26"/>
  <c r="AC685" i="26"/>
  <c r="AB685" i="26"/>
  <c r="AD681" i="26"/>
  <c r="AC681" i="26"/>
  <c r="AB681" i="26"/>
  <c r="AD677" i="26"/>
  <c r="AC677" i="26"/>
  <c r="AB677" i="26"/>
  <c r="AD673" i="26"/>
  <c r="AC673" i="26"/>
  <c r="AB673" i="26"/>
  <c r="AD669" i="26"/>
  <c r="AC669" i="26"/>
  <c r="AB669" i="26"/>
  <c r="AD665" i="26"/>
  <c r="AC665" i="26"/>
  <c r="AB665" i="26"/>
  <c r="AD661" i="26"/>
  <c r="AC661" i="26"/>
  <c r="AB661" i="26"/>
  <c r="AD657" i="26"/>
  <c r="AC657" i="26"/>
  <c r="AB657" i="26"/>
  <c r="AD653" i="26"/>
  <c r="AC653" i="26"/>
  <c r="AB653" i="26"/>
  <c r="AD649" i="26"/>
  <c r="AC649" i="26"/>
  <c r="AB649" i="26"/>
  <c r="AD645" i="26"/>
  <c r="AC645" i="26"/>
  <c r="AB645" i="26"/>
  <c r="AD641" i="26"/>
  <c r="AC641" i="26"/>
  <c r="AB641" i="26"/>
  <c r="AD637" i="26"/>
  <c r="AC637" i="26"/>
  <c r="AB637" i="26"/>
  <c r="AD633" i="26"/>
  <c r="AC633" i="26"/>
  <c r="AB633" i="26"/>
  <c r="AD629" i="26"/>
  <c r="AC629" i="26"/>
  <c r="AB629" i="26"/>
  <c r="AD625" i="26"/>
  <c r="AC625" i="26"/>
  <c r="AB625" i="26"/>
  <c r="AD621" i="26"/>
  <c r="AC621" i="26"/>
  <c r="AB621" i="26"/>
  <c r="AD617" i="26"/>
  <c r="AC617" i="26"/>
  <c r="AB617" i="26"/>
  <c r="AD613" i="26"/>
  <c r="AC613" i="26"/>
  <c r="AB613" i="26"/>
  <c r="AD609" i="26"/>
  <c r="AC609" i="26"/>
  <c r="AB609" i="26"/>
  <c r="AD605" i="26"/>
  <c r="AC605" i="26"/>
  <c r="AB605" i="26"/>
  <c r="AD601" i="26"/>
  <c r="AC601" i="26"/>
  <c r="AB601" i="26"/>
  <c r="AD597" i="26"/>
  <c r="AC597" i="26"/>
  <c r="AB597" i="26"/>
  <c r="AD593" i="26"/>
  <c r="AC593" i="26"/>
  <c r="AB593" i="26"/>
  <c r="AD589" i="26"/>
  <c r="AC589" i="26"/>
  <c r="AB589" i="26"/>
  <c r="AD585" i="26"/>
  <c r="AC585" i="26"/>
  <c r="AB585" i="26"/>
  <c r="AD581" i="26"/>
  <c r="AC581" i="26"/>
  <c r="AB581" i="26"/>
  <c r="AD577" i="26"/>
  <c r="AC577" i="26"/>
  <c r="AB577" i="26"/>
  <c r="AD573" i="26"/>
  <c r="AC573" i="26"/>
  <c r="AB573" i="26"/>
  <c r="AD569" i="26"/>
  <c r="AC569" i="26"/>
  <c r="AB569" i="26"/>
  <c r="AD565" i="26"/>
  <c r="AC565" i="26"/>
  <c r="AB565" i="26"/>
  <c r="AD561" i="26"/>
  <c r="AC561" i="26"/>
  <c r="AB561" i="26"/>
  <c r="AD557" i="26"/>
  <c r="AC557" i="26"/>
  <c r="AB557" i="26"/>
  <c r="AD553" i="26"/>
  <c r="AC553" i="26"/>
  <c r="AB553" i="26"/>
  <c r="AD549" i="26"/>
  <c r="AC549" i="26"/>
  <c r="AB549" i="26"/>
  <c r="AD545" i="26"/>
  <c r="AC545" i="26"/>
  <c r="AB545" i="26"/>
  <c r="AD541" i="26"/>
  <c r="AC541" i="26"/>
  <c r="AB541" i="26"/>
  <c r="AD537" i="26"/>
  <c r="AC537" i="26"/>
  <c r="AB537" i="26"/>
  <c r="AD533" i="26"/>
  <c r="AC533" i="26"/>
  <c r="AB533" i="26"/>
  <c r="AD529" i="26"/>
  <c r="AC529" i="26"/>
  <c r="AB529" i="26"/>
  <c r="AD525" i="26"/>
  <c r="AC525" i="26"/>
  <c r="AB525" i="26"/>
  <c r="AD521" i="26"/>
  <c r="AC521" i="26"/>
  <c r="AB521" i="26"/>
  <c r="AD517" i="26"/>
  <c r="AC517" i="26"/>
  <c r="AB517" i="26"/>
  <c r="AD513" i="26"/>
  <c r="AC513" i="26"/>
  <c r="AB513" i="26"/>
  <c r="AD509" i="26"/>
  <c r="AC509" i="26"/>
  <c r="AB509" i="26"/>
  <c r="AD505" i="26"/>
  <c r="AC505" i="26"/>
  <c r="AB505" i="26"/>
  <c r="AD501" i="26"/>
  <c r="AC501" i="26"/>
  <c r="AB501" i="26"/>
  <c r="AD497" i="26"/>
  <c r="AC497" i="26"/>
  <c r="AB497" i="26"/>
  <c r="AD493" i="26"/>
  <c r="AC493" i="26"/>
  <c r="AB493" i="26"/>
  <c r="AD489" i="26"/>
  <c r="AC489" i="26"/>
  <c r="AB489" i="26"/>
  <c r="AD485" i="26"/>
  <c r="AC485" i="26"/>
  <c r="AB485" i="26"/>
  <c r="AD481" i="26"/>
  <c r="AC481" i="26"/>
  <c r="AB481" i="26"/>
  <c r="AD477" i="26"/>
  <c r="AC477" i="26"/>
  <c r="AB477" i="26"/>
  <c r="AD473" i="26"/>
  <c r="AC473" i="26"/>
  <c r="AB473" i="26"/>
  <c r="AD469" i="26"/>
  <c r="AC469" i="26"/>
  <c r="AB469" i="26"/>
  <c r="AD465" i="26"/>
  <c r="AC465" i="26"/>
  <c r="AB465" i="26"/>
  <c r="AD461" i="26"/>
  <c r="AC461" i="26"/>
  <c r="AB461" i="26"/>
  <c r="AD457" i="26"/>
  <c r="AC457" i="26"/>
  <c r="AB457" i="26"/>
  <c r="AD453" i="26"/>
  <c r="AC453" i="26"/>
  <c r="AB453" i="26"/>
  <c r="AD449" i="26"/>
  <c r="AC449" i="26"/>
  <c r="AB449" i="26"/>
  <c r="AD445" i="26"/>
  <c r="AC445" i="26"/>
  <c r="AB445" i="26"/>
  <c r="AD441" i="26"/>
  <c r="AC441" i="26"/>
  <c r="AB441" i="26"/>
  <c r="AD437" i="26"/>
  <c r="AC437" i="26"/>
  <c r="AB437" i="26"/>
  <c r="AD433" i="26"/>
  <c r="AC433" i="26"/>
  <c r="AB433" i="26"/>
  <c r="AD429" i="26"/>
  <c r="AC429" i="26"/>
  <c r="AB429" i="26"/>
  <c r="AD425" i="26"/>
  <c r="AC425" i="26"/>
  <c r="AB425" i="26"/>
  <c r="AD421" i="26"/>
  <c r="AC421" i="26"/>
  <c r="AB421" i="26"/>
  <c r="AD417" i="26"/>
  <c r="AC417" i="26"/>
  <c r="AB417" i="26"/>
  <c r="AD413" i="26"/>
  <c r="AC413" i="26"/>
  <c r="AB413" i="26"/>
  <c r="AD409" i="26"/>
  <c r="AC409" i="26"/>
  <c r="AB409" i="26"/>
  <c r="AD405" i="26"/>
  <c r="AC405" i="26"/>
  <c r="AB405" i="26"/>
  <c r="AD401" i="26"/>
  <c r="AC401" i="26"/>
  <c r="AB401" i="26"/>
  <c r="AD397" i="26"/>
  <c r="AC397" i="26"/>
  <c r="AB397" i="26"/>
  <c r="AD393" i="26"/>
  <c r="AC393" i="26"/>
  <c r="AB393" i="26"/>
  <c r="AD389" i="26"/>
  <c r="AC389" i="26"/>
  <c r="AB389" i="26"/>
  <c r="AD385" i="26"/>
  <c r="AC385" i="26"/>
  <c r="AB385" i="26"/>
  <c r="AD381" i="26"/>
  <c r="AC381" i="26"/>
  <c r="AB381" i="26"/>
  <c r="AD377" i="26"/>
  <c r="AC377" i="26"/>
  <c r="AB377" i="26"/>
  <c r="AD373" i="26"/>
  <c r="AC373" i="26"/>
  <c r="AB373" i="26"/>
  <c r="AD369" i="26"/>
  <c r="AC369" i="26"/>
  <c r="AB369" i="26"/>
  <c r="AD365" i="26"/>
  <c r="AC365" i="26"/>
  <c r="AB365" i="26"/>
  <c r="AD361" i="26"/>
  <c r="AC361" i="26"/>
  <c r="AB361" i="26"/>
  <c r="AD357" i="26"/>
  <c r="AC357" i="26"/>
  <c r="AB357" i="26"/>
  <c r="AD353" i="26"/>
  <c r="AC353" i="26"/>
  <c r="AB353" i="26"/>
  <c r="AD349" i="26"/>
  <c r="AC349" i="26"/>
  <c r="AB349" i="26"/>
  <c r="AD345" i="26"/>
  <c r="AC345" i="26"/>
  <c r="AB345" i="26"/>
  <c r="AD341" i="26"/>
  <c r="AC341" i="26"/>
  <c r="AB341" i="26"/>
  <c r="AD337" i="26"/>
  <c r="AC337" i="26"/>
  <c r="AB337" i="26"/>
  <c r="AD333" i="26"/>
  <c r="AC333" i="26"/>
  <c r="AB333" i="26"/>
  <c r="AD329" i="26"/>
  <c r="AC329" i="26"/>
  <c r="AB329" i="26"/>
  <c r="AD325" i="26"/>
  <c r="AC325" i="26"/>
  <c r="AB325" i="26"/>
  <c r="AD321" i="26"/>
  <c r="AC321" i="26"/>
  <c r="AB321" i="26"/>
  <c r="AD317" i="26"/>
  <c r="AC317" i="26"/>
  <c r="AB317" i="26"/>
  <c r="AD313" i="26"/>
  <c r="AC313" i="26"/>
  <c r="AB313" i="26"/>
  <c r="AD309" i="26"/>
  <c r="AC309" i="26"/>
  <c r="AB309" i="26"/>
  <c r="AD305" i="26"/>
  <c r="AC305" i="26"/>
  <c r="AB305" i="26"/>
  <c r="AD301" i="26"/>
  <c r="AC301" i="26"/>
  <c r="AB301" i="26"/>
  <c r="AD297" i="26"/>
  <c r="AC297" i="26"/>
  <c r="AB297" i="26"/>
  <c r="AD293" i="26"/>
  <c r="AC293" i="26"/>
  <c r="AB293" i="26"/>
  <c r="AD289" i="26"/>
  <c r="AC289" i="26"/>
  <c r="AB289" i="26"/>
  <c r="AD285" i="26"/>
  <c r="AC285" i="26"/>
  <c r="AB285" i="26"/>
  <c r="AD281" i="26"/>
  <c r="AC281" i="26"/>
  <c r="AB281" i="26"/>
  <c r="AD277" i="26"/>
  <c r="AC277" i="26"/>
  <c r="AB277" i="26"/>
  <c r="AD273" i="26"/>
  <c r="AC273" i="26"/>
  <c r="AB273" i="26"/>
  <c r="AD269" i="26"/>
  <c r="AC269" i="26"/>
  <c r="AB269" i="26"/>
  <c r="AD265" i="26"/>
  <c r="AC265" i="26"/>
  <c r="AB265" i="26"/>
  <c r="AD261" i="26"/>
  <c r="AC261" i="26"/>
  <c r="AB261" i="26"/>
  <c r="AD257" i="26"/>
  <c r="AC257" i="26"/>
  <c r="AB257" i="26"/>
  <c r="AD253" i="26"/>
  <c r="AC253" i="26"/>
  <c r="AB253" i="26"/>
  <c r="AD249" i="26"/>
  <c r="AC249" i="26"/>
  <c r="AB249" i="26"/>
  <c r="AD245" i="26"/>
  <c r="AC245" i="26"/>
  <c r="AB245" i="26"/>
  <c r="AD241" i="26"/>
  <c r="AC241" i="26"/>
  <c r="AB241" i="26"/>
  <c r="AD237" i="26"/>
  <c r="AC237" i="26"/>
  <c r="AB237" i="26"/>
  <c r="AD233" i="26"/>
  <c r="AC233" i="26"/>
  <c r="AB233" i="26"/>
  <c r="AD229" i="26"/>
  <c r="AC229" i="26"/>
  <c r="AB229" i="26"/>
  <c r="AD225" i="26"/>
  <c r="AC225" i="26"/>
  <c r="AB225" i="26"/>
  <c r="AD221" i="26"/>
  <c r="AC221" i="26"/>
  <c r="AB221" i="26"/>
  <c r="AD217" i="26"/>
  <c r="AC217" i="26"/>
  <c r="AB217" i="26"/>
  <c r="AD213" i="26"/>
  <c r="AC213" i="26"/>
  <c r="AB213" i="26"/>
  <c r="AD209" i="26"/>
  <c r="AC209" i="26"/>
  <c r="AB209" i="26"/>
  <c r="AD205" i="26"/>
  <c r="AC205" i="26"/>
  <c r="AB205" i="26"/>
  <c r="AD201" i="26"/>
  <c r="AC201" i="26"/>
  <c r="AB201" i="26"/>
  <c r="AD197" i="26"/>
  <c r="AC197" i="26"/>
  <c r="AB197" i="26"/>
  <c r="AD193" i="26"/>
  <c r="AC193" i="26"/>
  <c r="AB193" i="26"/>
  <c r="AD189" i="26"/>
  <c r="AC189" i="26"/>
  <c r="AB189" i="26"/>
  <c r="AD185" i="26"/>
  <c r="AC185" i="26"/>
  <c r="AB185" i="26"/>
  <c r="AD181" i="26"/>
  <c r="AC181" i="26"/>
  <c r="AB181" i="26"/>
  <c r="AD177" i="26"/>
  <c r="AC177" i="26"/>
  <c r="AB177" i="26"/>
  <c r="AD173" i="26"/>
  <c r="AC173" i="26"/>
  <c r="AB173" i="26"/>
  <c r="AD169" i="26"/>
  <c r="AC169" i="26"/>
  <c r="AB169" i="26"/>
  <c r="AD165" i="26"/>
  <c r="AC165" i="26"/>
  <c r="AB165" i="26"/>
  <c r="AD161" i="26"/>
  <c r="AC161" i="26"/>
  <c r="AB161" i="26"/>
  <c r="AD157" i="26"/>
  <c r="AC157" i="26"/>
  <c r="AB157" i="26"/>
  <c r="AD153" i="26"/>
  <c r="AC153" i="26"/>
  <c r="AB153" i="26"/>
  <c r="AD149" i="26"/>
  <c r="AC149" i="26"/>
  <c r="AB149" i="26"/>
  <c r="AD145" i="26"/>
  <c r="AC145" i="26"/>
  <c r="AB145" i="26"/>
  <c r="AD141" i="26"/>
  <c r="AC141" i="26"/>
  <c r="AB141" i="26"/>
  <c r="AD137" i="26"/>
  <c r="AC137" i="26"/>
  <c r="AB137" i="26"/>
  <c r="AD133" i="26"/>
  <c r="AC133" i="26"/>
  <c r="AB133" i="26"/>
  <c r="AD129" i="26"/>
  <c r="AC129" i="26"/>
  <c r="AB129" i="26"/>
  <c r="AD125" i="26"/>
  <c r="AC125" i="26"/>
  <c r="AB125" i="26"/>
  <c r="AD121" i="26"/>
  <c r="AC121" i="26"/>
  <c r="AB121" i="26"/>
  <c r="AD117" i="26"/>
  <c r="AC117" i="26"/>
  <c r="AB117" i="26"/>
  <c r="AD113" i="26"/>
  <c r="AC113" i="26"/>
  <c r="AB113" i="26"/>
  <c r="AD109" i="26"/>
  <c r="AC109" i="26"/>
  <c r="AB109" i="26"/>
  <c r="AD105" i="26"/>
  <c r="AC105" i="26"/>
  <c r="AB105" i="26"/>
  <c r="AD101" i="26"/>
  <c r="AC101" i="26"/>
  <c r="AB101" i="26"/>
  <c r="AD97" i="26"/>
  <c r="AC97" i="26"/>
  <c r="AB97" i="26"/>
  <c r="AD93" i="26"/>
  <c r="AC93" i="26"/>
  <c r="AB93" i="26"/>
  <c r="AD89" i="26"/>
  <c r="AC89" i="26"/>
  <c r="AB89" i="26"/>
  <c r="AD85" i="26"/>
  <c r="AC85" i="26"/>
  <c r="AB85" i="26"/>
  <c r="AD81" i="26"/>
  <c r="AC81" i="26"/>
  <c r="AB81" i="26"/>
  <c r="AD77" i="26"/>
  <c r="AC77" i="26"/>
  <c r="AB77" i="26"/>
  <c r="AD73" i="26"/>
  <c r="AC73" i="26"/>
  <c r="AB73" i="26"/>
  <c r="AD69" i="26"/>
  <c r="AC69" i="26"/>
  <c r="AB69" i="26"/>
  <c r="AD65" i="26"/>
  <c r="AC65" i="26"/>
  <c r="AB65" i="26"/>
  <c r="AD61" i="26"/>
  <c r="AC61" i="26"/>
  <c r="AB61" i="26"/>
  <c r="AD57" i="26"/>
  <c r="AC57" i="26"/>
  <c r="AB57" i="26"/>
  <c r="AD53" i="26"/>
  <c r="AC53" i="26"/>
  <c r="AB53" i="26"/>
  <c r="AD49" i="26"/>
  <c r="AC49" i="26"/>
  <c r="AB49" i="26"/>
  <c r="AD45" i="26"/>
  <c r="AC45" i="26"/>
  <c r="AB45" i="26"/>
  <c r="AD41" i="26"/>
  <c r="AC41" i="26"/>
  <c r="AB41" i="26"/>
  <c r="AD37" i="26"/>
  <c r="AC37" i="26"/>
  <c r="AB37" i="26"/>
  <c r="AD33" i="26"/>
  <c r="AC33" i="26"/>
  <c r="AB33" i="26"/>
  <c r="AD29" i="26"/>
  <c r="AC29" i="26"/>
  <c r="AB29" i="26"/>
  <c r="AD25" i="26"/>
  <c r="AC25" i="26"/>
  <c r="AB25" i="26"/>
  <c r="AD21" i="26"/>
  <c r="AC21" i="26"/>
  <c r="AB21" i="26"/>
  <c r="AD17" i="26"/>
  <c r="AC17" i="26"/>
  <c r="AB17" i="26"/>
  <c r="AD13" i="26"/>
  <c r="AC13" i="26"/>
  <c r="AB13" i="26"/>
  <c r="AD9" i="26"/>
  <c r="AC9" i="26"/>
  <c r="AB9" i="26"/>
  <c r="AE5" i="26" s="1"/>
  <c r="AD5" i="26"/>
  <c r="AC5" i="26"/>
  <c r="AB5" i="26"/>
  <c r="AB2593" i="26"/>
  <c r="AB2585" i="26"/>
  <c r="AB2577" i="26"/>
  <c r="AB2569" i="26"/>
  <c r="AB2561" i="26"/>
  <c r="AB2553" i="26"/>
  <c r="AB2545" i="26"/>
  <c r="AB2537" i="26"/>
  <c r="AB2529" i="26"/>
  <c r="AB2521" i="26"/>
  <c r="AB2513" i="26"/>
  <c r="AB2505" i="26"/>
  <c r="AB2497" i="26"/>
  <c r="AB2489" i="26"/>
  <c r="AB2481" i="26"/>
  <c r="AB2473" i="26"/>
  <c r="AB2465" i="26"/>
  <c r="AB2457" i="26"/>
  <c r="AB2449" i="26"/>
  <c r="AD3804" i="26"/>
  <c r="AC3804" i="26"/>
  <c r="AD3800" i="26"/>
  <c r="AC3800" i="26"/>
  <c r="AD3796" i="26"/>
  <c r="AC3796" i="26"/>
  <c r="AD3792" i="26"/>
  <c r="AC3792" i="26"/>
  <c r="AD3788" i="26"/>
  <c r="AC3788" i="26"/>
  <c r="AD3784" i="26"/>
  <c r="AC3784" i="26"/>
  <c r="AD3780" i="26"/>
  <c r="AC3780" i="26"/>
  <c r="AD3776" i="26"/>
  <c r="AC3776" i="26"/>
  <c r="AD3772" i="26"/>
  <c r="AC3772" i="26"/>
  <c r="AD3768" i="26"/>
  <c r="AC3768" i="26"/>
  <c r="AD3764" i="26"/>
  <c r="AC3764" i="26"/>
  <c r="AD3760" i="26"/>
  <c r="AC3760" i="26"/>
  <c r="AD3756" i="26"/>
  <c r="AC3756" i="26"/>
  <c r="AD3752" i="26"/>
  <c r="AC3752" i="26"/>
  <c r="AD3748" i="26"/>
  <c r="AC3748" i="26"/>
  <c r="AD3744" i="26"/>
  <c r="AC3744" i="26"/>
  <c r="AD3740" i="26"/>
  <c r="AC3740" i="26"/>
  <c r="AD3736" i="26"/>
  <c r="AC3736" i="26"/>
  <c r="AD3732" i="26"/>
  <c r="AC3732" i="26"/>
  <c r="AD3728" i="26"/>
  <c r="AC3728" i="26"/>
  <c r="AD3724" i="26"/>
  <c r="AC3724" i="26"/>
  <c r="AD3720" i="26"/>
  <c r="AC3720" i="26"/>
  <c r="AD3716" i="26"/>
  <c r="AC3716" i="26"/>
  <c r="AD3712" i="26"/>
  <c r="AC3712" i="26"/>
  <c r="AD3708" i="26"/>
  <c r="AC3708" i="26"/>
  <c r="AD3704" i="26"/>
  <c r="AC3704" i="26"/>
  <c r="AD3700" i="26"/>
  <c r="AC3700" i="26"/>
  <c r="AD3696" i="26"/>
  <c r="AC3696" i="26"/>
  <c r="AD3692" i="26"/>
  <c r="AC3692" i="26"/>
  <c r="AD3688" i="26"/>
  <c r="AC3688" i="26"/>
  <c r="AD3684" i="26"/>
  <c r="AC3684" i="26"/>
  <c r="AD3680" i="26"/>
  <c r="AC3680" i="26"/>
  <c r="AD3676" i="26"/>
  <c r="AC3676" i="26"/>
  <c r="AD3672" i="26"/>
  <c r="AC3672" i="26"/>
  <c r="AD3668" i="26"/>
  <c r="AC3668" i="26"/>
  <c r="AD3664" i="26"/>
  <c r="AC3664" i="26"/>
  <c r="AD3660" i="26"/>
  <c r="AC3660" i="26"/>
  <c r="AD3656" i="26"/>
  <c r="AC3656" i="26"/>
  <c r="AD3652" i="26"/>
  <c r="AC3652" i="26"/>
  <c r="AD3648" i="26"/>
  <c r="AC3648" i="26"/>
  <c r="AD3644" i="26"/>
  <c r="AC3644" i="26"/>
  <c r="AD3640" i="26"/>
  <c r="AC3640" i="26"/>
  <c r="AD3636" i="26"/>
  <c r="AC3636" i="26"/>
  <c r="AD3632" i="26"/>
  <c r="AC3632" i="26"/>
  <c r="AD3628" i="26"/>
  <c r="AC3628" i="26"/>
  <c r="AD3624" i="26"/>
  <c r="AC3624" i="26"/>
  <c r="AD3620" i="26"/>
  <c r="AC3620" i="26"/>
  <c r="AD3616" i="26"/>
  <c r="AC3616" i="26"/>
  <c r="AD3612" i="26"/>
  <c r="AC3612" i="26"/>
  <c r="AD3608" i="26"/>
  <c r="AC3608" i="26"/>
  <c r="AD3604" i="26"/>
  <c r="AC3604" i="26"/>
  <c r="AD3600" i="26"/>
  <c r="AC3600" i="26"/>
  <c r="AD3596" i="26"/>
  <c r="AC3596" i="26"/>
  <c r="AD3592" i="26"/>
  <c r="AC3592" i="26"/>
  <c r="AD3588" i="26"/>
  <c r="AC3588" i="26"/>
  <c r="AD3584" i="26"/>
  <c r="AC3584" i="26"/>
  <c r="AD3580" i="26"/>
  <c r="AC3580" i="26"/>
  <c r="AD3576" i="26"/>
  <c r="AC3576" i="26"/>
  <c r="AD3572" i="26"/>
  <c r="AC3572" i="26"/>
  <c r="AD3568" i="26"/>
  <c r="AC3568" i="26"/>
  <c r="AD3564" i="26"/>
  <c r="AC3564" i="26"/>
  <c r="AD3560" i="26"/>
  <c r="AC3560" i="26"/>
  <c r="AD3556" i="26"/>
  <c r="AC3556" i="26"/>
  <c r="AD3552" i="26"/>
  <c r="AC3552" i="26"/>
  <c r="AD3548" i="26"/>
  <c r="AC3548" i="26"/>
  <c r="AD3544" i="26"/>
  <c r="AC3544" i="26"/>
  <c r="AD3540" i="26"/>
  <c r="AC3540" i="26"/>
  <c r="AD3536" i="26"/>
  <c r="AC3536" i="26"/>
  <c r="AD3532" i="26"/>
  <c r="AC3532" i="26"/>
  <c r="AD3528" i="26"/>
  <c r="AC3528" i="26"/>
  <c r="AD3524" i="26"/>
  <c r="AC3524" i="26"/>
  <c r="AD3520" i="26"/>
  <c r="AC3520" i="26"/>
  <c r="AD3516" i="26"/>
  <c r="AC3516" i="26"/>
  <c r="AD3512" i="26"/>
  <c r="AC3512" i="26"/>
  <c r="AD3508" i="26"/>
  <c r="AC3508" i="26"/>
  <c r="AD3504" i="26"/>
  <c r="AC3504" i="26"/>
  <c r="AD3500" i="26"/>
  <c r="AC3500" i="26"/>
  <c r="AD3496" i="26"/>
  <c r="AC3496" i="26"/>
  <c r="AD3492" i="26"/>
  <c r="AC3492" i="26"/>
  <c r="AD3488" i="26"/>
  <c r="AC3488" i="26"/>
  <c r="AD3484" i="26"/>
  <c r="AC3484" i="26"/>
  <c r="AD3480" i="26"/>
  <c r="AC3480" i="26"/>
  <c r="AD3476" i="26"/>
  <c r="AC3476" i="26"/>
  <c r="AD3472" i="26"/>
  <c r="AC3472" i="26"/>
  <c r="AD3468" i="26"/>
  <c r="AC3468" i="26"/>
  <c r="AD3464" i="26"/>
  <c r="AC3464" i="26"/>
  <c r="AD3460" i="26"/>
  <c r="AC3460" i="26"/>
  <c r="AD3456" i="26"/>
  <c r="AC3456" i="26"/>
  <c r="AD3452" i="26"/>
  <c r="AC3452" i="26"/>
  <c r="AD3448" i="26"/>
  <c r="AC3448" i="26"/>
  <c r="AD3444" i="26"/>
  <c r="AC3444" i="26"/>
  <c r="AD3440" i="26"/>
  <c r="AC3440" i="26"/>
  <c r="AD3436" i="26"/>
  <c r="AC3436" i="26"/>
  <c r="AD3432" i="26"/>
  <c r="AC3432" i="26"/>
  <c r="AD3428" i="26"/>
  <c r="AC3428" i="26"/>
  <c r="AD3424" i="26"/>
  <c r="AC3424" i="26"/>
  <c r="AD3420" i="26"/>
  <c r="AC3420" i="26"/>
  <c r="AD3416" i="26"/>
  <c r="AC3416" i="26"/>
  <c r="AD3412" i="26"/>
  <c r="AC3412" i="26"/>
  <c r="AD3408" i="26"/>
  <c r="AC3408" i="26"/>
  <c r="AD3404" i="26"/>
  <c r="AC3404" i="26"/>
  <c r="AD3400" i="26"/>
  <c r="AC3400" i="26"/>
  <c r="AD3396" i="26"/>
  <c r="AC3396" i="26"/>
  <c r="AD3392" i="26"/>
  <c r="AC3392" i="26"/>
  <c r="AD3388" i="26"/>
  <c r="AC3388" i="26"/>
  <c r="AD3384" i="26"/>
  <c r="AC3384" i="26"/>
  <c r="AD3380" i="26"/>
  <c r="AC3380" i="26"/>
  <c r="AD3376" i="26"/>
  <c r="AC3376" i="26"/>
  <c r="AD3372" i="26"/>
  <c r="AC3372" i="26"/>
  <c r="AD3368" i="26"/>
  <c r="AC3368" i="26"/>
  <c r="AD3364" i="26"/>
  <c r="AC3364" i="26"/>
  <c r="AD3360" i="26"/>
  <c r="AC3360" i="26"/>
  <c r="AD3356" i="26"/>
  <c r="AC3356" i="26"/>
  <c r="AD3352" i="26"/>
  <c r="AC3352" i="26"/>
  <c r="AD3348" i="26"/>
  <c r="AC3348" i="26"/>
  <c r="AD3344" i="26"/>
  <c r="AC3344" i="26"/>
  <c r="AD3340" i="26"/>
  <c r="AC3340" i="26"/>
  <c r="AD3336" i="26"/>
  <c r="AC3336" i="26"/>
  <c r="AD3332" i="26"/>
  <c r="AC3332" i="26"/>
  <c r="AD3328" i="26"/>
  <c r="AC3328" i="26"/>
  <c r="AD3324" i="26"/>
  <c r="AC3324" i="26"/>
  <c r="AD3320" i="26"/>
  <c r="AC3320" i="26"/>
  <c r="AD3316" i="26"/>
  <c r="AC3316" i="26"/>
  <c r="AD3312" i="26"/>
  <c r="AC3312" i="26"/>
  <c r="AD3308" i="26"/>
  <c r="AC3308" i="26"/>
  <c r="AD3304" i="26"/>
  <c r="AC3304" i="26"/>
  <c r="AD3300" i="26"/>
  <c r="AC3300" i="26"/>
  <c r="AD3296" i="26"/>
  <c r="AC3296" i="26"/>
  <c r="AD3292" i="26"/>
  <c r="AC3292" i="26"/>
  <c r="AD3288" i="26"/>
  <c r="AC3288" i="26"/>
  <c r="AD3284" i="26"/>
  <c r="AC3284" i="26"/>
  <c r="AD3280" i="26"/>
  <c r="AC3280" i="26"/>
  <c r="AD3276" i="26"/>
  <c r="AC3276" i="26"/>
  <c r="AD3272" i="26"/>
  <c r="AC3272" i="26"/>
  <c r="AD3268" i="26"/>
  <c r="AC3268" i="26"/>
  <c r="AD3264" i="26"/>
  <c r="AC3264" i="26"/>
  <c r="AD3260" i="26"/>
  <c r="AC3260" i="26"/>
  <c r="AD3256" i="26"/>
  <c r="AC3256" i="26"/>
  <c r="AD3252" i="26"/>
  <c r="AC3252" i="26"/>
  <c r="AD3248" i="26"/>
  <c r="AC3248" i="26"/>
  <c r="AD3244" i="26"/>
  <c r="AC3244" i="26"/>
  <c r="AD3240" i="26"/>
  <c r="AC3240" i="26"/>
  <c r="AD3236" i="26"/>
  <c r="AC3236" i="26"/>
  <c r="AD3232" i="26"/>
  <c r="AC3232" i="26"/>
  <c r="AD3228" i="26"/>
  <c r="AC3228" i="26"/>
  <c r="AD3224" i="26"/>
  <c r="AC3224" i="26"/>
  <c r="AD3220" i="26"/>
  <c r="AC3220" i="26"/>
  <c r="AD3216" i="26"/>
  <c r="AC3216" i="26"/>
  <c r="AD3212" i="26"/>
  <c r="AC3212" i="26"/>
  <c r="AD3208" i="26"/>
  <c r="AC3208" i="26"/>
  <c r="AD3204" i="26"/>
  <c r="AC3204" i="26"/>
  <c r="AD3200" i="26"/>
  <c r="AC3200" i="26"/>
  <c r="AD3196" i="26"/>
  <c r="AC3196" i="26"/>
  <c r="AD3192" i="26"/>
  <c r="AC3192" i="26"/>
  <c r="AD3188" i="26"/>
  <c r="AC3188" i="26"/>
  <c r="AD3184" i="26"/>
  <c r="AC3184" i="26"/>
  <c r="AD3180" i="26"/>
  <c r="AC3180" i="26"/>
  <c r="AD3176" i="26"/>
  <c r="AC3176" i="26"/>
  <c r="AD3172" i="26"/>
  <c r="AC3172" i="26"/>
  <c r="AD3168" i="26"/>
  <c r="AC3168" i="26"/>
  <c r="AD3164" i="26"/>
  <c r="AC3164" i="26"/>
  <c r="AD3160" i="26"/>
  <c r="AC3160" i="26"/>
  <c r="AD3156" i="26"/>
  <c r="AC3156" i="26"/>
  <c r="AD3152" i="26"/>
  <c r="AC3152" i="26"/>
  <c r="AD3148" i="26"/>
  <c r="AC3148" i="26"/>
  <c r="AD3144" i="26"/>
  <c r="AC3144" i="26"/>
  <c r="AD3140" i="26"/>
  <c r="AC3140" i="26"/>
  <c r="AD3136" i="26"/>
  <c r="AC3136" i="26"/>
  <c r="AD3132" i="26"/>
  <c r="AC3132" i="26"/>
  <c r="AD3128" i="26"/>
  <c r="AC3128" i="26"/>
  <c r="AD3124" i="26"/>
  <c r="AC3124" i="26"/>
  <c r="AD3120" i="26"/>
  <c r="AC3120" i="26"/>
  <c r="AD3116" i="26"/>
  <c r="AC3116" i="26"/>
  <c r="AD3112" i="26"/>
  <c r="AC3112" i="26"/>
  <c r="AD3108" i="26"/>
  <c r="AC3108" i="26"/>
  <c r="AD3104" i="26"/>
  <c r="AC3104" i="26"/>
  <c r="AD3100" i="26"/>
  <c r="AC3100" i="26"/>
  <c r="AD3096" i="26"/>
  <c r="AC3096" i="26"/>
  <c r="AD3092" i="26"/>
  <c r="AC3092" i="26"/>
  <c r="AD3088" i="26"/>
  <c r="AC3088" i="26"/>
  <c r="AD3084" i="26"/>
  <c r="AC3084" i="26"/>
  <c r="AD3080" i="26"/>
  <c r="AC3080" i="26"/>
  <c r="AD3076" i="26"/>
  <c r="AC3076" i="26"/>
  <c r="AD3072" i="26"/>
  <c r="AC3072" i="26"/>
  <c r="AD3068" i="26"/>
  <c r="AC3068" i="26"/>
  <c r="AD3064" i="26"/>
  <c r="AC3064" i="26"/>
  <c r="AD3060" i="26"/>
  <c r="AC3060" i="26"/>
  <c r="AD3056" i="26"/>
  <c r="AC3056" i="26"/>
  <c r="AD3052" i="26"/>
  <c r="AC3052" i="26"/>
  <c r="AD3048" i="26"/>
  <c r="AC3048" i="26"/>
  <c r="AD3044" i="26"/>
  <c r="AC3044" i="26"/>
  <c r="AD3040" i="26"/>
  <c r="AC3040" i="26"/>
  <c r="AD3036" i="26"/>
  <c r="AC3036" i="26"/>
  <c r="AD3032" i="26"/>
  <c r="AC3032" i="26"/>
  <c r="AD3028" i="26"/>
  <c r="AC3028" i="26"/>
  <c r="AD3024" i="26"/>
  <c r="AC3024" i="26"/>
  <c r="AD3020" i="26"/>
  <c r="AC3020" i="26"/>
  <c r="AD3016" i="26"/>
  <c r="AC3016" i="26"/>
  <c r="AD3012" i="26"/>
  <c r="AC3012" i="26"/>
  <c r="AD3008" i="26"/>
  <c r="AC3008" i="26"/>
  <c r="AD3004" i="26"/>
  <c r="AC3004" i="26"/>
  <c r="AD3000" i="26"/>
  <c r="AC3000" i="26"/>
  <c r="AD2996" i="26"/>
  <c r="AC2996" i="26"/>
  <c r="AD2992" i="26"/>
  <c r="AC2992" i="26"/>
  <c r="AD2988" i="26"/>
  <c r="AC2988" i="26"/>
  <c r="AD2984" i="26"/>
  <c r="AC2984" i="26"/>
  <c r="AD2980" i="26"/>
  <c r="AC2980" i="26"/>
  <c r="AD2976" i="26"/>
  <c r="AC2976" i="26"/>
  <c r="AD2972" i="26"/>
  <c r="AC2972" i="26"/>
  <c r="AD2968" i="26"/>
  <c r="AC2968" i="26"/>
  <c r="AD2964" i="26"/>
  <c r="AC2964" i="26"/>
  <c r="AD2960" i="26"/>
  <c r="AC2960" i="26"/>
  <c r="AD2956" i="26"/>
  <c r="AC2956" i="26"/>
  <c r="AD2952" i="26"/>
  <c r="AC2952" i="26"/>
  <c r="AD2948" i="26"/>
  <c r="AC2948" i="26"/>
  <c r="AD2944" i="26"/>
  <c r="AC2944" i="26"/>
  <c r="AD2940" i="26"/>
  <c r="AC2940" i="26"/>
  <c r="AD2936" i="26"/>
  <c r="AC2936" i="26"/>
  <c r="AD2932" i="26"/>
  <c r="AC2932" i="26"/>
  <c r="AD2928" i="26"/>
  <c r="AC2928" i="26"/>
  <c r="AD2924" i="26"/>
  <c r="AC2924" i="26"/>
  <c r="AD2920" i="26"/>
  <c r="AC2920" i="26"/>
  <c r="AD2916" i="26"/>
  <c r="AC2916" i="26"/>
  <c r="AD2912" i="26"/>
  <c r="AC2912" i="26"/>
  <c r="AD2908" i="26"/>
  <c r="AC2908" i="26"/>
  <c r="AD2904" i="26"/>
  <c r="AC2904" i="26"/>
  <c r="AD2900" i="26"/>
  <c r="AC2900" i="26"/>
  <c r="AD2896" i="26"/>
  <c r="AC2896" i="26"/>
  <c r="AD2892" i="26"/>
  <c r="AC2892" i="26"/>
  <c r="AD2888" i="26"/>
  <c r="AC2888" i="26"/>
  <c r="AD2884" i="26"/>
  <c r="AC2884" i="26"/>
  <c r="AD2880" i="26"/>
  <c r="AC2880" i="26"/>
  <c r="AD2876" i="26"/>
  <c r="AC2876" i="26"/>
  <c r="AD2872" i="26"/>
  <c r="AC2872" i="26"/>
  <c r="AD2868" i="26"/>
  <c r="AC2868" i="26"/>
  <c r="AD2864" i="26"/>
  <c r="AC2864" i="26"/>
  <c r="AD2860" i="26"/>
  <c r="AC2860" i="26"/>
  <c r="AD2856" i="26"/>
  <c r="AC2856" i="26"/>
  <c r="AD2852" i="26"/>
  <c r="AC2852" i="26"/>
  <c r="AD2848" i="26"/>
  <c r="AC2848" i="26"/>
  <c r="AD2844" i="26"/>
  <c r="AC2844" i="26"/>
  <c r="AD2840" i="26"/>
  <c r="AC2840" i="26"/>
  <c r="AD2836" i="26"/>
  <c r="AC2836" i="26"/>
  <c r="AD2832" i="26"/>
  <c r="AC2832" i="26"/>
  <c r="AD2828" i="26"/>
  <c r="AC2828" i="26"/>
  <c r="AD2824" i="26"/>
  <c r="AC2824" i="26"/>
  <c r="AD2820" i="26"/>
  <c r="AC2820" i="26"/>
  <c r="AD2816" i="26"/>
  <c r="AC2816" i="26"/>
  <c r="AD2812" i="26"/>
  <c r="AC2812" i="26"/>
  <c r="AD2808" i="26"/>
  <c r="AC2808" i="26"/>
  <c r="AD2804" i="26"/>
  <c r="AC2804" i="26"/>
  <c r="AD2800" i="26"/>
  <c r="AC2800" i="26"/>
  <c r="AD2796" i="26"/>
  <c r="AC2796" i="26"/>
  <c r="AD2792" i="26"/>
  <c r="AC2792" i="26"/>
  <c r="AD2788" i="26"/>
  <c r="AC2788" i="26"/>
  <c r="AD2784" i="26"/>
  <c r="AC2784" i="26"/>
  <c r="AD2780" i="26"/>
  <c r="AC2780" i="26"/>
  <c r="AD2776" i="26"/>
  <c r="AC2776" i="26"/>
  <c r="AD2772" i="26"/>
  <c r="AC2772" i="26"/>
  <c r="AD2768" i="26"/>
  <c r="AC2768" i="26"/>
  <c r="AD2764" i="26"/>
  <c r="AC2764" i="26"/>
  <c r="AD2760" i="26"/>
  <c r="AC2760" i="26"/>
  <c r="AD2756" i="26"/>
  <c r="AC2756" i="26"/>
  <c r="AD2752" i="26"/>
  <c r="AC2752" i="26"/>
  <c r="AD2748" i="26"/>
  <c r="AC2748" i="26"/>
  <c r="AD2744" i="26"/>
  <c r="AC2744" i="26"/>
  <c r="AD2740" i="26"/>
  <c r="AC2740" i="26"/>
  <c r="AD2736" i="26"/>
  <c r="AC2736" i="26"/>
  <c r="AD2732" i="26"/>
  <c r="AC2732" i="26"/>
  <c r="AD2728" i="26"/>
  <c r="AC2728" i="26"/>
  <c r="AD2724" i="26"/>
  <c r="AC2724" i="26"/>
  <c r="AD2720" i="26"/>
  <c r="AC2720" i="26"/>
  <c r="AD2716" i="26"/>
  <c r="AC2716" i="26"/>
  <c r="AD2712" i="26"/>
  <c r="AC2712" i="26"/>
  <c r="AD2708" i="26"/>
  <c r="AC2708" i="26"/>
  <c r="AD2704" i="26"/>
  <c r="AC2704" i="26"/>
  <c r="AD2700" i="26"/>
  <c r="AC2700" i="26"/>
  <c r="AD2696" i="26"/>
  <c r="AC2696" i="26"/>
  <c r="AD2692" i="26"/>
  <c r="AC2692" i="26"/>
  <c r="AD2688" i="26"/>
  <c r="AC2688" i="26"/>
  <c r="AD2684" i="26"/>
  <c r="AC2684" i="26"/>
  <c r="AD2680" i="26"/>
  <c r="AC2680" i="26"/>
  <c r="AD2676" i="26"/>
  <c r="AC2676" i="26"/>
  <c r="AD2672" i="26"/>
  <c r="AC2672" i="26"/>
  <c r="AD2668" i="26"/>
  <c r="AC2668" i="26"/>
  <c r="AD2664" i="26"/>
  <c r="AC2664" i="26"/>
  <c r="AD2660" i="26"/>
  <c r="AC2660" i="26"/>
  <c r="AD2656" i="26"/>
  <c r="AC2656" i="26"/>
  <c r="AD2652" i="26"/>
  <c r="AC2652" i="26"/>
  <c r="AD2648" i="26"/>
  <c r="AC2648" i="26"/>
  <c r="AD2644" i="26"/>
  <c r="AC2644" i="26"/>
  <c r="AD2640" i="26"/>
  <c r="AC2640" i="26"/>
  <c r="AD2636" i="26"/>
  <c r="AC2636" i="26"/>
  <c r="AD2632" i="26"/>
  <c r="AC2632" i="26"/>
  <c r="AD2628" i="26"/>
  <c r="AC2628" i="26"/>
  <c r="AD2624" i="26"/>
  <c r="AC2624" i="26"/>
  <c r="AD2620" i="26"/>
  <c r="AC2620" i="26"/>
  <c r="AD2616" i="26"/>
  <c r="AC2616" i="26"/>
  <c r="AD2612" i="26"/>
  <c r="AC2612" i="26"/>
  <c r="AD2608" i="26"/>
  <c r="AC2608" i="26"/>
  <c r="AD2604" i="26"/>
  <c r="AC2604" i="26"/>
  <c r="AD2600" i="26"/>
  <c r="AC2600" i="26"/>
  <c r="AD2596" i="26"/>
  <c r="AC2596" i="26"/>
  <c r="AB2596" i="26"/>
  <c r="AD2592" i="26"/>
  <c r="AC2592" i="26"/>
  <c r="AB2592" i="26"/>
  <c r="AD2588" i="26"/>
  <c r="AC2588" i="26"/>
  <c r="AB2588" i="26"/>
  <c r="AD2584" i="26"/>
  <c r="AC2584" i="26"/>
  <c r="AB2584" i="26"/>
  <c r="AD2580" i="26"/>
  <c r="AC2580" i="26"/>
  <c r="AB2580" i="26"/>
  <c r="AD2576" i="26"/>
  <c r="AC2576" i="26"/>
  <c r="AB2576" i="26"/>
  <c r="AD2572" i="26"/>
  <c r="AC2572" i="26"/>
  <c r="AB2572" i="26"/>
  <c r="AD2568" i="26"/>
  <c r="AC2568" i="26"/>
  <c r="AB2568" i="26"/>
  <c r="AD2564" i="26"/>
  <c r="AC2564" i="26"/>
  <c r="AB2564" i="26"/>
  <c r="AD2560" i="26"/>
  <c r="AC2560" i="26"/>
  <c r="AB2560" i="26"/>
  <c r="AD2556" i="26"/>
  <c r="AC2556" i="26"/>
  <c r="AB2556" i="26"/>
  <c r="AD2552" i="26"/>
  <c r="AC2552" i="26"/>
  <c r="AB2552" i="26"/>
  <c r="AD2548" i="26"/>
  <c r="AC2548" i="26"/>
  <c r="AB2548" i="26"/>
  <c r="AD2544" i="26"/>
  <c r="AC2544" i="26"/>
  <c r="AB2544" i="26"/>
  <c r="AD2540" i="26"/>
  <c r="AC2540" i="26"/>
  <c r="AB2540" i="26"/>
  <c r="AD2536" i="26"/>
  <c r="AC2536" i="26"/>
  <c r="AB2536" i="26"/>
  <c r="AD2532" i="26"/>
  <c r="AC2532" i="26"/>
  <c r="AB2532" i="26"/>
  <c r="AD2528" i="26"/>
  <c r="AC2528" i="26"/>
  <c r="AB2528" i="26"/>
  <c r="AD2524" i="26"/>
  <c r="AC2524" i="26"/>
  <c r="AB2524" i="26"/>
  <c r="AD2520" i="26"/>
  <c r="AC2520" i="26"/>
  <c r="AB2520" i="26"/>
  <c r="AD2516" i="26"/>
  <c r="AC2516" i="26"/>
  <c r="AB2516" i="26"/>
  <c r="AD2512" i="26"/>
  <c r="AC2512" i="26"/>
  <c r="AB2512" i="26"/>
  <c r="AD2508" i="26"/>
  <c r="AC2508" i="26"/>
  <c r="AB2508" i="26"/>
  <c r="AD2504" i="26"/>
  <c r="AC2504" i="26"/>
  <c r="AB2504" i="26"/>
  <c r="AD2500" i="26"/>
  <c r="AC2500" i="26"/>
  <c r="AB2500" i="26"/>
  <c r="AD2496" i="26"/>
  <c r="AC2496" i="26"/>
  <c r="AB2496" i="26"/>
  <c r="AD2492" i="26"/>
  <c r="AC2492" i="26"/>
  <c r="AB2492" i="26"/>
  <c r="AD2488" i="26"/>
  <c r="AC2488" i="26"/>
  <c r="AB2488" i="26"/>
  <c r="AD2484" i="26"/>
  <c r="AC2484" i="26"/>
  <c r="AB2484" i="26"/>
  <c r="AD2480" i="26"/>
  <c r="AC2480" i="26"/>
  <c r="AB2480" i="26"/>
  <c r="AD2476" i="26"/>
  <c r="AC2476" i="26"/>
  <c r="AB2476" i="26"/>
  <c r="AD2472" i="26"/>
  <c r="AC2472" i="26"/>
  <c r="AB2472" i="26"/>
  <c r="AD2468" i="26"/>
  <c r="AC2468" i="26"/>
  <c r="AB2468" i="26"/>
  <c r="AD2464" i="26"/>
  <c r="AC2464" i="26"/>
  <c r="AB2464" i="26"/>
  <c r="AD2460" i="26"/>
  <c r="AC2460" i="26"/>
  <c r="AB2460" i="26"/>
  <c r="AD2456" i="26"/>
  <c r="AC2456" i="26"/>
  <c r="AB2456" i="26"/>
  <c r="AD2452" i="26"/>
  <c r="AC2452" i="26"/>
  <c r="AB2452" i="26"/>
  <c r="AD2448" i="26"/>
  <c r="AC2448" i="26"/>
  <c r="AB2448" i="26"/>
  <c r="AD2444" i="26"/>
  <c r="AC2444" i="26"/>
  <c r="AB2444" i="26"/>
  <c r="AD2440" i="26"/>
  <c r="AC2440" i="26"/>
  <c r="AB2440" i="26"/>
  <c r="AD2436" i="26"/>
  <c r="AC2436" i="26"/>
  <c r="AB2436" i="26"/>
  <c r="AD2432" i="26"/>
  <c r="AC2432" i="26"/>
  <c r="AB2432" i="26"/>
  <c r="AD2428" i="26"/>
  <c r="AC2428" i="26"/>
  <c r="AB2428" i="26"/>
  <c r="AD2424" i="26"/>
  <c r="AC2424" i="26"/>
  <c r="AB2424" i="26"/>
  <c r="AD2420" i="26"/>
  <c r="AC2420" i="26"/>
  <c r="AB2420" i="26"/>
  <c r="AD2416" i="26"/>
  <c r="AC2416" i="26"/>
  <c r="AB2416" i="26"/>
  <c r="AD2412" i="26"/>
  <c r="AC2412" i="26"/>
  <c r="AB2412" i="26"/>
  <c r="AD2408" i="26"/>
  <c r="AC2408" i="26"/>
  <c r="AB2408" i="26"/>
  <c r="AD2404" i="26"/>
  <c r="AC2404" i="26"/>
  <c r="AB2404" i="26"/>
  <c r="AD2400" i="26"/>
  <c r="AC2400" i="26"/>
  <c r="AB2400" i="26"/>
  <c r="AD2396" i="26"/>
  <c r="AC2396" i="26"/>
  <c r="AB2396" i="26"/>
  <c r="AD2392" i="26"/>
  <c r="AC2392" i="26"/>
  <c r="AB2392" i="26"/>
  <c r="AD2388" i="26"/>
  <c r="AC2388" i="26"/>
  <c r="AB2388" i="26"/>
  <c r="AD2384" i="26"/>
  <c r="AC2384" i="26"/>
  <c r="AB2384" i="26"/>
  <c r="AD2380" i="26"/>
  <c r="AC2380" i="26"/>
  <c r="AB2380" i="26"/>
  <c r="AD2376" i="26"/>
  <c r="AC2376" i="26"/>
  <c r="AB2376" i="26"/>
  <c r="AD2372" i="26"/>
  <c r="AC2372" i="26"/>
  <c r="AB2372" i="26"/>
  <c r="AD2368" i="26"/>
  <c r="AC2368" i="26"/>
  <c r="AB2368" i="26"/>
  <c r="AD2364" i="26"/>
  <c r="AC2364" i="26"/>
  <c r="AB2364" i="26"/>
  <c r="AD2360" i="26"/>
  <c r="AC2360" i="26"/>
  <c r="AB2360" i="26"/>
  <c r="AD2356" i="26"/>
  <c r="AC2356" i="26"/>
  <c r="AB2356" i="26"/>
  <c r="AD2352" i="26"/>
  <c r="AC2352" i="26"/>
  <c r="AB2352" i="26"/>
  <c r="AD2348" i="26"/>
  <c r="AC2348" i="26"/>
  <c r="AB2348" i="26"/>
  <c r="AD2344" i="26"/>
  <c r="AC2344" i="26"/>
  <c r="AB2344" i="26"/>
  <c r="AD2340" i="26"/>
  <c r="AC2340" i="26"/>
  <c r="AB2340" i="26"/>
  <c r="AD2336" i="26"/>
  <c r="AC2336" i="26"/>
  <c r="AB2336" i="26"/>
  <c r="AD2332" i="26"/>
  <c r="AC2332" i="26"/>
  <c r="AB2332" i="26"/>
  <c r="AD2328" i="26"/>
  <c r="AC2328" i="26"/>
  <c r="AB2328" i="26"/>
  <c r="AD2324" i="26"/>
  <c r="AC2324" i="26"/>
  <c r="AB2324" i="26"/>
  <c r="AD2320" i="26"/>
  <c r="AC2320" i="26"/>
  <c r="AB2320" i="26"/>
  <c r="AD2316" i="26"/>
  <c r="AC2316" i="26"/>
  <c r="AB2316" i="26"/>
  <c r="AD2312" i="26"/>
  <c r="AC2312" i="26"/>
  <c r="AB2312" i="26"/>
  <c r="AD2308" i="26"/>
  <c r="AC2308" i="26"/>
  <c r="AB2308" i="26"/>
  <c r="AD2304" i="26"/>
  <c r="AC2304" i="26"/>
  <c r="AB2304" i="26"/>
  <c r="AD2300" i="26"/>
  <c r="AC2300" i="26"/>
  <c r="AB2300" i="26"/>
  <c r="AD2296" i="26"/>
  <c r="AC2296" i="26"/>
  <c r="AB2296" i="26"/>
  <c r="AD2292" i="26"/>
  <c r="AC2292" i="26"/>
  <c r="AB2292" i="26"/>
  <c r="AD2288" i="26"/>
  <c r="AC2288" i="26"/>
  <c r="AB2288" i="26"/>
  <c r="AD2284" i="26"/>
  <c r="AC2284" i="26"/>
  <c r="AB2284" i="26"/>
  <c r="AD2280" i="26"/>
  <c r="AC2280" i="26"/>
  <c r="AB2280" i="26"/>
  <c r="AD2276" i="26"/>
  <c r="AC2276" i="26"/>
  <c r="AB2276" i="26"/>
  <c r="AD2272" i="26"/>
  <c r="AC2272" i="26"/>
  <c r="AB2272" i="26"/>
  <c r="AD2268" i="26"/>
  <c r="AC2268" i="26"/>
  <c r="AB2268" i="26"/>
  <c r="AD2264" i="26"/>
  <c r="AC2264" i="26"/>
  <c r="AB2264" i="26"/>
  <c r="AD2260" i="26"/>
  <c r="AC2260" i="26"/>
  <c r="AB2260" i="26"/>
  <c r="AD2256" i="26"/>
  <c r="AC2256" i="26"/>
  <c r="AB2256" i="26"/>
  <c r="AD2252" i="26"/>
  <c r="AC2252" i="26"/>
  <c r="AB2252" i="26"/>
  <c r="AD2248" i="26"/>
  <c r="AC2248" i="26"/>
  <c r="AB2248" i="26"/>
  <c r="AD2244" i="26"/>
  <c r="AC2244" i="26"/>
  <c r="AB2244" i="26"/>
  <c r="AD2240" i="26"/>
  <c r="AC2240" i="26"/>
  <c r="AB2240" i="26"/>
  <c r="AD2236" i="26"/>
  <c r="AC2236" i="26"/>
  <c r="AB2236" i="26"/>
  <c r="AD2232" i="26"/>
  <c r="AC2232" i="26"/>
  <c r="AB2232" i="26"/>
  <c r="AD2228" i="26"/>
  <c r="AC2228" i="26"/>
  <c r="AB2228" i="26"/>
  <c r="AD2224" i="26"/>
  <c r="AC2224" i="26"/>
  <c r="AB2224" i="26"/>
  <c r="AD2220" i="26"/>
  <c r="AC2220" i="26"/>
  <c r="AB2220" i="26"/>
  <c r="AD2216" i="26"/>
  <c r="AC2216" i="26"/>
  <c r="AB2216" i="26"/>
  <c r="AD2212" i="26"/>
  <c r="AC2212" i="26"/>
  <c r="AB2212" i="26"/>
  <c r="AD2208" i="26"/>
  <c r="AC2208" i="26"/>
  <c r="AB2208" i="26"/>
  <c r="AD2204" i="26"/>
  <c r="AC2204" i="26"/>
  <c r="AB2204" i="26"/>
  <c r="AD2200" i="26"/>
  <c r="AC2200" i="26"/>
  <c r="AB2200" i="26"/>
  <c r="AD2196" i="26"/>
  <c r="AC2196" i="26"/>
  <c r="AB2196" i="26"/>
  <c r="AD2192" i="26"/>
  <c r="AC2192" i="26"/>
  <c r="AB2192" i="26"/>
  <c r="AD2188" i="26"/>
  <c r="AC2188" i="26"/>
  <c r="AB2188" i="26"/>
  <c r="AD2184" i="26"/>
  <c r="AC2184" i="26"/>
  <c r="AB2184" i="26"/>
  <c r="AD2180" i="26"/>
  <c r="AC2180" i="26"/>
  <c r="AB2180" i="26"/>
  <c r="AD2176" i="26"/>
  <c r="AC2176" i="26"/>
  <c r="AB2176" i="26"/>
  <c r="AD2172" i="26"/>
  <c r="AC2172" i="26"/>
  <c r="AB2172" i="26"/>
  <c r="AD2168" i="26"/>
  <c r="AC2168" i="26"/>
  <c r="AB2168" i="26"/>
  <c r="AD2164" i="26"/>
  <c r="AC2164" i="26"/>
  <c r="AB2164" i="26"/>
  <c r="AD2160" i="26"/>
  <c r="AC2160" i="26"/>
  <c r="AB2160" i="26"/>
  <c r="AD2156" i="26"/>
  <c r="AC2156" i="26"/>
  <c r="AB2156" i="26"/>
  <c r="AD2152" i="26"/>
  <c r="AC2152" i="26"/>
  <c r="AB2152" i="26"/>
  <c r="AD2148" i="26"/>
  <c r="AC2148" i="26"/>
  <c r="AB2148" i="26"/>
  <c r="AD2144" i="26"/>
  <c r="AC2144" i="26"/>
  <c r="AB2144" i="26"/>
  <c r="AD2140" i="26"/>
  <c r="AC2140" i="26"/>
  <c r="AB2140" i="26"/>
  <c r="AD2136" i="26"/>
  <c r="AC2136" i="26"/>
  <c r="AB2136" i="26"/>
  <c r="AD2132" i="26"/>
  <c r="AC2132" i="26"/>
  <c r="AB2132" i="26"/>
  <c r="AD2128" i="26"/>
  <c r="AC2128" i="26"/>
  <c r="AB2128" i="26"/>
  <c r="AD2124" i="26"/>
  <c r="AC2124" i="26"/>
  <c r="AB2124" i="26"/>
  <c r="AD2120" i="26"/>
  <c r="AC2120" i="26"/>
  <c r="AB2120" i="26"/>
  <c r="AD2116" i="26"/>
  <c r="AC2116" i="26"/>
  <c r="AB2116" i="26"/>
  <c r="AD2112" i="26"/>
  <c r="AC2112" i="26"/>
  <c r="AB2112" i="26"/>
  <c r="AD2108" i="26"/>
  <c r="AC2108" i="26"/>
  <c r="AB2108" i="26"/>
  <c r="AD2104" i="26"/>
  <c r="AC2104" i="26"/>
  <c r="AB2104" i="26"/>
  <c r="AD2100" i="26"/>
  <c r="AC2100" i="26"/>
  <c r="AB2100" i="26"/>
  <c r="AD2096" i="26"/>
  <c r="AC2096" i="26"/>
  <c r="AB2096" i="26"/>
  <c r="AD2092" i="26"/>
  <c r="AC2092" i="26"/>
  <c r="AB2092" i="26"/>
  <c r="AD2088" i="26"/>
  <c r="AC2088" i="26"/>
  <c r="AB2088" i="26"/>
  <c r="AD2084" i="26"/>
  <c r="AC2084" i="26"/>
  <c r="AB2084" i="26"/>
  <c r="AD2080" i="26"/>
  <c r="AC2080" i="26"/>
  <c r="AB2080" i="26"/>
  <c r="AD2076" i="26"/>
  <c r="AC2076" i="26"/>
  <c r="AB2076" i="26"/>
  <c r="AD2072" i="26"/>
  <c r="AC2072" i="26"/>
  <c r="AB2072" i="26"/>
  <c r="AD2068" i="26"/>
  <c r="AC2068" i="26"/>
  <c r="AB2068" i="26"/>
  <c r="AD2064" i="26"/>
  <c r="AC2064" i="26"/>
  <c r="AB2064" i="26"/>
  <c r="AD2060" i="26"/>
  <c r="AC2060" i="26"/>
  <c r="AB2060" i="26"/>
  <c r="AD2056" i="26"/>
  <c r="AC2056" i="26"/>
  <c r="AB2056" i="26"/>
  <c r="AD2052" i="26"/>
  <c r="AC2052" i="26"/>
  <c r="AB2052" i="26"/>
  <c r="AD2048" i="26"/>
  <c r="AC2048" i="26"/>
  <c r="AB2048" i="26"/>
  <c r="AD2044" i="26"/>
  <c r="AC2044" i="26"/>
  <c r="AB2044" i="26"/>
  <c r="AD2040" i="26"/>
  <c r="AC2040" i="26"/>
  <c r="AB2040" i="26"/>
  <c r="AD2036" i="26"/>
  <c r="AC2036" i="26"/>
  <c r="AB2036" i="26"/>
  <c r="AD2032" i="26"/>
  <c r="AC2032" i="26"/>
  <c r="AB2032" i="26"/>
  <c r="AD2028" i="26"/>
  <c r="AC2028" i="26"/>
  <c r="AB2028" i="26"/>
  <c r="AD2024" i="26"/>
  <c r="AC2024" i="26"/>
  <c r="AB2024" i="26"/>
  <c r="AD2020" i="26"/>
  <c r="AC2020" i="26"/>
  <c r="AB2020" i="26"/>
  <c r="AD2016" i="26"/>
  <c r="AC2016" i="26"/>
  <c r="AB2016" i="26"/>
  <c r="AD2012" i="26"/>
  <c r="AC2012" i="26"/>
  <c r="AB2012" i="26"/>
  <c r="AD2008" i="26"/>
  <c r="AC2008" i="26"/>
  <c r="AB2008" i="26"/>
  <c r="AD2004" i="26"/>
  <c r="AC2004" i="26"/>
  <c r="AB2004" i="26"/>
  <c r="AD2000" i="26"/>
  <c r="AC2000" i="26"/>
  <c r="AB2000" i="26"/>
  <c r="AD1996" i="26"/>
  <c r="AC1996" i="26"/>
  <c r="AB1996" i="26"/>
  <c r="AD1992" i="26"/>
  <c r="AC1992" i="26"/>
  <c r="AB1992" i="26"/>
  <c r="AD1988" i="26"/>
  <c r="AC1988" i="26"/>
  <c r="AB1988" i="26"/>
  <c r="AD1984" i="26"/>
  <c r="AC1984" i="26"/>
  <c r="AB1984" i="26"/>
  <c r="AD1980" i="26"/>
  <c r="AC1980" i="26"/>
  <c r="AB1980" i="26"/>
  <c r="AD1976" i="26"/>
  <c r="AC1976" i="26"/>
  <c r="AB1976" i="26"/>
  <c r="AD1972" i="26"/>
  <c r="AC1972" i="26"/>
  <c r="AB1972" i="26"/>
  <c r="AD1968" i="26"/>
  <c r="AC1968" i="26"/>
  <c r="AB1968" i="26"/>
  <c r="AD1964" i="26"/>
  <c r="AC1964" i="26"/>
  <c r="AB1964" i="26"/>
  <c r="AD1960" i="26"/>
  <c r="AC1960" i="26"/>
  <c r="AB1960" i="26"/>
  <c r="AD1956" i="26"/>
  <c r="AC1956" i="26"/>
  <c r="AB1956" i="26"/>
  <c r="AD1952" i="26"/>
  <c r="AC1952" i="26"/>
  <c r="AB1952" i="26"/>
  <c r="AD1948" i="26"/>
  <c r="AC1948" i="26"/>
  <c r="AB1948" i="26"/>
  <c r="AD1944" i="26"/>
  <c r="AC1944" i="26"/>
  <c r="AB1944" i="26"/>
  <c r="AD1940" i="26"/>
  <c r="AC1940" i="26"/>
  <c r="AB1940" i="26"/>
  <c r="AD1936" i="26"/>
  <c r="AC1936" i="26"/>
  <c r="AB1936" i="26"/>
  <c r="AD1932" i="26"/>
  <c r="AC1932" i="26"/>
  <c r="AB1932" i="26"/>
  <c r="AD1928" i="26"/>
  <c r="AC1928" i="26"/>
  <c r="AB1928" i="26"/>
  <c r="AD1924" i="26"/>
  <c r="AC1924" i="26"/>
  <c r="AB1924" i="26"/>
  <c r="AD1920" i="26"/>
  <c r="AC1920" i="26"/>
  <c r="AB1920" i="26"/>
  <c r="AD1916" i="26"/>
  <c r="AC1916" i="26"/>
  <c r="AB1916" i="26"/>
  <c r="AD1912" i="26"/>
  <c r="AC1912" i="26"/>
  <c r="AB1912" i="26"/>
  <c r="AD1908" i="26"/>
  <c r="AC1908" i="26"/>
  <c r="AB1908" i="26"/>
  <c r="AD1904" i="26"/>
  <c r="AC1904" i="26"/>
  <c r="AB1904" i="26"/>
  <c r="AD1900" i="26"/>
  <c r="AC1900" i="26"/>
  <c r="AB1900" i="26"/>
  <c r="AD1896" i="26"/>
  <c r="AC1896" i="26"/>
  <c r="AB1896" i="26"/>
  <c r="AD1892" i="26"/>
  <c r="AC1892" i="26"/>
  <c r="AB1892" i="26"/>
  <c r="AD1888" i="26"/>
  <c r="AC1888" i="26"/>
  <c r="AB1888" i="26"/>
  <c r="AD1884" i="26"/>
  <c r="AC1884" i="26"/>
  <c r="AB1884" i="26"/>
  <c r="AD1880" i="26"/>
  <c r="AC1880" i="26"/>
  <c r="AB1880" i="26"/>
  <c r="AD1876" i="26"/>
  <c r="AC1876" i="26"/>
  <c r="AB1876" i="26"/>
  <c r="AD1872" i="26"/>
  <c r="AC1872" i="26"/>
  <c r="AB1872" i="26"/>
  <c r="AD1868" i="26"/>
  <c r="AC1868" i="26"/>
  <c r="AB1868" i="26"/>
  <c r="AD1864" i="26"/>
  <c r="AC1864" i="26"/>
  <c r="AB1864" i="26"/>
  <c r="AD1860" i="26"/>
  <c r="AC1860" i="26"/>
  <c r="AB1860" i="26"/>
  <c r="AD1856" i="26"/>
  <c r="AC1856" i="26"/>
  <c r="AB1856" i="26"/>
  <c r="AD1852" i="26"/>
  <c r="AC1852" i="26"/>
  <c r="AB1852" i="26"/>
  <c r="AD1848" i="26"/>
  <c r="AC1848" i="26"/>
  <c r="AB1848" i="26"/>
  <c r="AD1844" i="26"/>
  <c r="AC1844" i="26"/>
  <c r="AB1844" i="26"/>
  <c r="AD1840" i="26"/>
  <c r="AC1840" i="26"/>
  <c r="AB1840" i="26"/>
  <c r="AD1836" i="26"/>
  <c r="AC1836" i="26"/>
  <c r="AB1836" i="26"/>
  <c r="AD1832" i="26"/>
  <c r="AC1832" i="26"/>
  <c r="AB1832" i="26"/>
  <c r="AD1828" i="26"/>
  <c r="AC1828" i="26"/>
  <c r="AB1828" i="26"/>
  <c r="AD1824" i="26"/>
  <c r="AC1824" i="26"/>
  <c r="AB1824" i="26"/>
  <c r="AD1820" i="26"/>
  <c r="AC1820" i="26"/>
  <c r="AB1820" i="26"/>
  <c r="AD1816" i="26"/>
  <c r="AC1816" i="26"/>
  <c r="AB1816" i="26"/>
  <c r="AD1812" i="26"/>
  <c r="AC1812" i="26"/>
  <c r="AB1812" i="26"/>
  <c r="AD1808" i="26"/>
  <c r="AC1808" i="26"/>
  <c r="AB1808" i="26"/>
  <c r="AD1804" i="26"/>
  <c r="AC1804" i="26"/>
  <c r="AB1804" i="26"/>
  <c r="AD1800" i="26"/>
  <c r="AC1800" i="26"/>
  <c r="AB1800" i="26"/>
  <c r="AD1796" i="26"/>
  <c r="AC1796" i="26"/>
  <c r="AB1796" i="26"/>
  <c r="AD1792" i="26"/>
  <c r="AC1792" i="26"/>
  <c r="AB1792" i="26"/>
  <c r="AD1788" i="26"/>
  <c r="AC1788" i="26"/>
  <c r="AB1788" i="26"/>
  <c r="AD1784" i="26"/>
  <c r="AC1784" i="26"/>
  <c r="AB1784" i="26"/>
  <c r="AD1780" i="26"/>
  <c r="AC1780" i="26"/>
  <c r="AB1780" i="26"/>
  <c r="AD1776" i="26"/>
  <c r="AC1776" i="26"/>
  <c r="AB1776" i="26"/>
  <c r="AD1772" i="26"/>
  <c r="AC1772" i="26"/>
  <c r="AB1772" i="26"/>
  <c r="AD1768" i="26"/>
  <c r="AC1768" i="26"/>
  <c r="AB1768" i="26"/>
  <c r="AD1764" i="26"/>
  <c r="AC1764" i="26"/>
  <c r="AB1764" i="26"/>
  <c r="AD1760" i="26"/>
  <c r="AC1760" i="26"/>
  <c r="AB1760" i="26"/>
  <c r="AD1756" i="26"/>
  <c r="AC1756" i="26"/>
  <c r="AB1756" i="26"/>
  <c r="AD1752" i="26"/>
  <c r="AC1752" i="26"/>
  <c r="AB1752" i="26"/>
  <c r="AD1748" i="26"/>
  <c r="AC1748" i="26"/>
  <c r="AB1748" i="26"/>
  <c r="AD1744" i="26"/>
  <c r="AC1744" i="26"/>
  <c r="AB1744" i="26"/>
  <c r="AD1740" i="26"/>
  <c r="AC1740" i="26"/>
  <c r="AB1740" i="26"/>
  <c r="AD1736" i="26"/>
  <c r="AC1736" i="26"/>
  <c r="AB1736" i="26"/>
  <c r="AD1732" i="26"/>
  <c r="AC1732" i="26"/>
  <c r="AB1732" i="26"/>
  <c r="AD1728" i="26"/>
  <c r="AC1728" i="26"/>
  <c r="AB1728" i="26"/>
  <c r="AD1724" i="26"/>
  <c r="AC1724" i="26"/>
  <c r="AB1724" i="26"/>
  <c r="AD1720" i="26"/>
  <c r="AC1720" i="26"/>
  <c r="AB1720" i="26"/>
  <c r="AD1716" i="26"/>
  <c r="AC1716" i="26"/>
  <c r="AB1716" i="26"/>
  <c r="AD1712" i="26"/>
  <c r="AC1712" i="26"/>
  <c r="AB1712" i="26"/>
  <c r="AD1708" i="26"/>
  <c r="AC1708" i="26"/>
  <c r="AB1708" i="26"/>
  <c r="AD1704" i="26"/>
  <c r="AC1704" i="26"/>
  <c r="AB1704" i="26"/>
  <c r="AD1700" i="26"/>
  <c r="AC1700" i="26"/>
  <c r="AB1700" i="26"/>
  <c r="AD1696" i="26"/>
  <c r="AC1696" i="26"/>
  <c r="AB1696" i="26"/>
  <c r="AD1692" i="26"/>
  <c r="AC1692" i="26"/>
  <c r="AB1692" i="26"/>
  <c r="AD1688" i="26"/>
  <c r="AC1688" i="26"/>
  <c r="AB1688" i="26"/>
  <c r="AD1684" i="26"/>
  <c r="AC1684" i="26"/>
  <c r="AB1684" i="26"/>
  <c r="AD1680" i="26"/>
  <c r="AC1680" i="26"/>
  <c r="AB1680" i="26"/>
  <c r="AD1676" i="26"/>
  <c r="AC1676" i="26"/>
  <c r="AB1676" i="26"/>
  <c r="AD1672" i="26"/>
  <c r="AC1672" i="26"/>
  <c r="AB1672" i="26"/>
  <c r="AD1668" i="26"/>
  <c r="AC1668" i="26"/>
  <c r="AB1668" i="26"/>
  <c r="AD1664" i="26"/>
  <c r="AC1664" i="26"/>
  <c r="AB1664" i="26"/>
  <c r="AD1660" i="26"/>
  <c r="AC1660" i="26"/>
  <c r="AB1660" i="26"/>
  <c r="AD1656" i="26"/>
  <c r="AC1656" i="26"/>
  <c r="AB1656" i="26"/>
  <c r="AD1652" i="26"/>
  <c r="AC1652" i="26"/>
  <c r="AB1652" i="26"/>
  <c r="AD1648" i="26"/>
  <c r="AC1648" i="26"/>
  <c r="AB1648" i="26"/>
  <c r="AD1644" i="26"/>
  <c r="AC1644" i="26"/>
  <c r="AB1644" i="26"/>
  <c r="AD1640" i="26"/>
  <c r="AC1640" i="26"/>
  <c r="AB1640" i="26"/>
  <c r="AD1636" i="26"/>
  <c r="AC1636" i="26"/>
  <c r="AB1636" i="26"/>
  <c r="AD1632" i="26"/>
  <c r="AC1632" i="26"/>
  <c r="AB1632" i="26"/>
  <c r="AD1628" i="26"/>
  <c r="AC1628" i="26"/>
  <c r="AB1628" i="26"/>
  <c r="AD1624" i="26"/>
  <c r="AC1624" i="26"/>
  <c r="AB1624" i="26"/>
  <c r="AD1620" i="26"/>
  <c r="AC1620" i="26"/>
  <c r="AB1620" i="26"/>
  <c r="AD1616" i="26"/>
  <c r="AC1616" i="26"/>
  <c r="AB1616" i="26"/>
  <c r="AD1612" i="26"/>
  <c r="AC1612" i="26"/>
  <c r="AB1612" i="26"/>
  <c r="AD1608" i="26"/>
  <c r="AC1608" i="26"/>
  <c r="AB1608" i="26"/>
  <c r="AD1604" i="26"/>
  <c r="AC1604" i="26"/>
  <c r="AB1604" i="26"/>
  <c r="AD1600" i="26"/>
  <c r="AC1600" i="26"/>
  <c r="AB1600" i="26"/>
  <c r="AD1596" i="26"/>
  <c r="AC1596" i="26"/>
  <c r="AB1596" i="26"/>
  <c r="AD1592" i="26"/>
  <c r="AC1592" i="26"/>
  <c r="AB1592" i="26"/>
  <c r="AD1588" i="26"/>
  <c r="AC1588" i="26"/>
  <c r="AB1588" i="26"/>
  <c r="AD1584" i="26"/>
  <c r="AC1584" i="26"/>
  <c r="AB1584" i="26"/>
  <c r="AD1580" i="26"/>
  <c r="AC1580" i="26"/>
  <c r="AB1580" i="26"/>
  <c r="AD1576" i="26"/>
  <c r="AC1576" i="26"/>
  <c r="AB1576" i="26"/>
  <c r="AD1572" i="26"/>
  <c r="AC1572" i="26"/>
  <c r="AB1572" i="26"/>
  <c r="AD1568" i="26"/>
  <c r="AC1568" i="26"/>
  <c r="AB1568" i="26"/>
  <c r="AD1564" i="26"/>
  <c r="AC1564" i="26"/>
  <c r="AB1564" i="26"/>
  <c r="AD1560" i="26"/>
  <c r="AC1560" i="26"/>
  <c r="AB1560" i="26"/>
  <c r="AD1556" i="26"/>
  <c r="AC1556" i="26"/>
  <c r="AB1556" i="26"/>
  <c r="AD1552" i="26"/>
  <c r="AC1552" i="26"/>
  <c r="AB1552" i="26"/>
  <c r="AD1548" i="26"/>
  <c r="AC1548" i="26"/>
  <c r="AB1548" i="26"/>
  <c r="AD1544" i="26"/>
  <c r="AC1544" i="26"/>
  <c r="AB1544" i="26"/>
  <c r="AD1540" i="26"/>
  <c r="AC1540" i="26"/>
  <c r="AB1540" i="26"/>
  <c r="AD1536" i="26"/>
  <c r="AC1536" i="26"/>
  <c r="AB1536" i="26"/>
  <c r="AD1532" i="26"/>
  <c r="AC1532" i="26"/>
  <c r="AB1532" i="26"/>
  <c r="AD1528" i="26"/>
  <c r="AC1528" i="26"/>
  <c r="AB1528" i="26"/>
  <c r="AD1524" i="26"/>
  <c r="AC1524" i="26"/>
  <c r="AB1524" i="26"/>
  <c r="AD1520" i="26"/>
  <c r="AC1520" i="26"/>
  <c r="AB1520" i="26"/>
  <c r="AD1516" i="26"/>
  <c r="AC1516" i="26"/>
  <c r="AB1516" i="26"/>
  <c r="AD1512" i="26"/>
  <c r="AC1512" i="26"/>
  <c r="AB1512" i="26"/>
  <c r="AD1508" i="26"/>
  <c r="AC1508" i="26"/>
  <c r="AB1508" i="26"/>
  <c r="AD1504" i="26"/>
  <c r="AC1504" i="26"/>
  <c r="AB1504" i="26"/>
  <c r="AD1500" i="26"/>
  <c r="AC1500" i="26"/>
  <c r="AB1500" i="26"/>
  <c r="AD1496" i="26"/>
  <c r="AC1496" i="26"/>
  <c r="AB1496" i="26"/>
  <c r="AD1492" i="26"/>
  <c r="AC1492" i="26"/>
  <c r="AB1492" i="26"/>
  <c r="AD1488" i="26"/>
  <c r="AC1488" i="26"/>
  <c r="AB1488" i="26"/>
  <c r="AD1484" i="26"/>
  <c r="AC1484" i="26"/>
  <c r="AB1484" i="26"/>
  <c r="AD1480" i="26"/>
  <c r="AC1480" i="26"/>
  <c r="AB1480" i="26"/>
  <c r="AD1476" i="26"/>
  <c r="AC1476" i="26"/>
  <c r="AB1476" i="26"/>
  <c r="AD1472" i="26"/>
  <c r="AC1472" i="26"/>
  <c r="AB1472" i="26"/>
  <c r="AD1468" i="26"/>
  <c r="AC1468" i="26"/>
  <c r="AB1468" i="26"/>
  <c r="AD1464" i="26"/>
  <c r="AC1464" i="26"/>
  <c r="AB1464" i="26"/>
  <c r="AD1460" i="26"/>
  <c r="AC1460" i="26"/>
  <c r="AB1460" i="26"/>
  <c r="AD1456" i="26"/>
  <c r="AC1456" i="26"/>
  <c r="AB1456" i="26"/>
  <c r="AD1452" i="26"/>
  <c r="AC1452" i="26"/>
  <c r="AB1452" i="26"/>
  <c r="AD1448" i="26"/>
  <c r="AC1448" i="26"/>
  <c r="AB1448" i="26"/>
  <c r="AD1444" i="26"/>
  <c r="AC1444" i="26"/>
  <c r="AB1444" i="26"/>
  <c r="AD1440" i="26"/>
  <c r="AC1440" i="26"/>
  <c r="AB1440" i="26"/>
  <c r="AD1436" i="26"/>
  <c r="AC1436" i="26"/>
  <c r="AB1436" i="26"/>
  <c r="AD1432" i="26"/>
  <c r="AC1432" i="26"/>
  <c r="AB1432" i="26"/>
  <c r="AD1428" i="26"/>
  <c r="AC1428" i="26"/>
  <c r="AB1428" i="26"/>
  <c r="AD1424" i="26"/>
  <c r="AC1424" i="26"/>
  <c r="AB1424" i="26"/>
  <c r="AD1420" i="26"/>
  <c r="AC1420" i="26"/>
  <c r="AB1420" i="26"/>
  <c r="AD1416" i="26"/>
  <c r="AC1416" i="26"/>
  <c r="AB1416" i="26"/>
  <c r="AD1412" i="26"/>
  <c r="AC1412" i="26"/>
  <c r="AB1412" i="26"/>
  <c r="AD1408" i="26"/>
  <c r="AC1408" i="26"/>
  <c r="AB1408" i="26"/>
  <c r="AD1404" i="26"/>
  <c r="AC1404" i="26"/>
  <c r="AB1404" i="26"/>
  <c r="AD1400" i="26"/>
  <c r="AC1400" i="26"/>
  <c r="AB1400" i="26"/>
  <c r="AD1396" i="26"/>
  <c r="AC1396" i="26"/>
  <c r="AB1396" i="26"/>
  <c r="AD1392" i="26"/>
  <c r="AC1392" i="26"/>
  <c r="AB1392" i="26"/>
  <c r="AD1388" i="26"/>
  <c r="AC1388" i="26"/>
  <c r="AB1388" i="26"/>
  <c r="AD1384" i="26"/>
  <c r="AC1384" i="26"/>
  <c r="AB1384" i="26"/>
  <c r="AD1380" i="26"/>
  <c r="AC1380" i="26"/>
  <c r="AB1380" i="26"/>
  <c r="AD1376" i="26"/>
  <c r="AC1376" i="26"/>
  <c r="AB1376" i="26"/>
  <c r="AD1372" i="26"/>
  <c r="AC1372" i="26"/>
  <c r="AB1372" i="26"/>
  <c r="AD1368" i="26"/>
  <c r="AC1368" i="26"/>
  <c r="AB1368" i="26"/>
  <c r="AD1364" i="26"/>
  <c r="AC1364" i="26"/>
  <c r="AB1364" i="26"/>
  <c r="AD1360" i="26"/>
  <c r="AC1360" i="26"/>
  <c r="AB1360" i="26"/>
  <c r="AD1356" i="26"/>
  <c r="AC1356" i="26"/>
  <c r="AB1356" i="26"/>
  <c r="AD1352" i="26"/>
  <c r="AC1352" i="26"/>
  <c r="AB1352" i="26"/>
  <c r="AD1348" i="26"/>
  <c r="AC1348" i="26"/>
  <c r="AB1348" i="26"/>
  <c r="AD1344" i="26"/>
  <c r="AC1344" i="26"/>
  <c r="AB1344" i="26"/>
  <c r="AD1340" i="26"/>
  <c r="AC1340" i="26"/>
  <c r="AB1340" i="26"/>
  <c r="AD1336" i="26"/>
  <c r="AC1336" i="26"/>
  <c r="AB1336" i="26"/>
  <c r="AD1332" i="26"/>
  <c r="AC1332" i="26"/>
  <c r="AB1332" i="26"/>
  <c r="AD1328" i="26"/>
  <c r="AC1328" i="26"/>
  <c r="AB1328" i="26"/>
  <c r="AD1324" i="26"/>
  <c r="AC1324" i="26"/>
  <c r="AB1324" i="26"/>
  <c r="AD1320" i="26"/>
  <c r="AC1320" i="26"/>
  <c r="AB1320" i="26"/>
  <c r="AD1316" i="26"/>
  <c r="AC1316" i="26"/>
  <c r="AB1316" i="26"/>
  <c r="AD1312" i="26"/>
  <c r="AC1312" i="26"/>
  <c r="AB1312" i="26"/>
  <c r="AD1308" i="26"/>
  <c r="AC1308" i="26"/>
  <c r="AB1308" i="26"/>
  <c r="AD1304" i="26"/>
  <c r="AC1304" i="26"/>
  <c r="AB1304" i="26"/>
  <c r="AD1300" i="26"/>
  <c r="AC1300" i="26"/>
  <c r="AB1300" i="26"/>
  <c r="AD1296" i="26"/>
  <c r="AC1296" i="26"/>
  <c r="AB1296" i="26"/>
  <c r="AD1292" i="26"/>
  <c r="AC1292" i="26"/>
  <c r="AB1292" i="26"/>
  <c r="AD1288" i="26"/>
  <c r="AC1288" i="26"/>
  <c r="AB1288" i="26"/>
  <c r="AD1284" i="26"/>
  <c r="AC1284" i="26"/>
  <c r="AB1284" i="26"/>
  <c r="AD1280" i="26"/>
  <c r="AC1280" i="26"/>
  <c r="AB1280" i="26"/>
  <c r="AD1276" i="26"/>
  <c r="AC1276" i="26"/>
  <c r="AB1276" i="26"/>
  <c r="AD1272" i="26"/>
  <c r="AC1272" i="26"/>
  <c r="AB1272" i="26"/>
  <c r="AD1268" i="26"/>
  <c r="AC1268" i="26"/>
  <c r="AB1268" i="26"/>
  <c r="AD1264" i="26"/>
  <c r="AC1264" i="26"/>
  <c r="AB1264" i="26"/>
  <c r="AD1260" i="26"/>
  <c r="AC1260" i="26"/>
  <c r="AB1260" i="26"/>
  <c r="AD1256" i="26"/>
  <c r="AC1256" i="26"/>
  <c r="AB1256" i="26"/>
  <c r="AD1252" i="26"/>
  <c r="AC1252" i="26"/>
  <c r="AB1252" i="26"/>
  <c r="AD1248" i="26"/>
  <c r="AC1248" i="26"/>
  <c r="AB1248" i="26"/>
  <c r="AD1244" i="26"/>
  <c r="AC1244" i="26"/>
  <c r="AB1244" i="26"/>
  <c r="AD1240" i="26"/>
  <c r="AC1240" i="26"/>
  <c r="AB1240" i="26"/>
  <c r="AD1236" i="26"/>
  <c r="AC1236" i="26"/>
  <c r="AB1236" i="26"/>
  <c r="AD1232" i="26"/>
  <c r="AC1232" i="26"/>
  <c r="AB1232" i="26"/>
  <c r="AD1228" i="26"/>
  <c r="AC1228" i="26"/>
  <c r="AB1228" i="26"/>
  <c r="AD1224" i="26"/>
  <c r="AC1224" i="26"/>
  <c r="AB1224" i="26"/>
  <c r="AD1220" i="26"/>
  <c r="AC1220" i="26"/>
  <c r="AB1220" i="26"/>
  <c r="AD1216" i="26"/>
  <c r="AC1216" i="26"/>
  <c r="AB1216" i="26"/>
  <c r="AD1212" i="26"/>
  <c r="AC1212" i="26"/>
  <c r="AB1212" i="26"/>
  <c r="AD1208" i="26"/>
  <c r="AC1208" i="26"/>
  <c r="AB1208" i="26"/>
  <c r="AD1204" i="26"/>
  <c r="AC1204" i="26"/>
  <c r="AB1204" i="26"/>
  <c r="AD1200" i="26"/>
  <c r="AC1200" i="26"/>
  <c r="AB1200" i="26"/>
  <c r="AD1196" i="26"/>
  <c r="AC1196" i="26"/>
  <c r="AB1196" i="26"/>
  <c r="AD1192" i="26"/>
  <c r="AC1192" i="26"/>
  <c r="AB1192" i="26"/>
  <c r="AD1188" i="26"/>
  <c r="AC1188" i="26"/>
  <c r="AB1188" i="26"/>
  <c r="AD1184" i="26"/>
  <c r="AC1184" i="26"/>
  <c r="AB1184" i="26"/>
  <c r="AD1180" i="26"/>
  <c r="AC1180" i="26"/>
  <c r="AB1180" i="26"/>
  <c r="AD1176" i="26"/>
  <c r="AC1176" i="26"/>
  <c r="AB1176" i="26"/>
  <c r="AD1172" i="26"/>
  <c r="AC1172" i="26"/>
  <c r="AB1172" i="26"/>
  <c r="AD1168" i="26"/>
  <c r="AC1168" i="26"/>
  <c r="AB1168" i="26"/>
  <c r="AD1164" i="26"/>
  <c r="AC1164" i="26"/>
  <c r="AB1164" i="26"/>
  <c r="AD1160" i="26"/>
  <c r="AC1160" i="26"/>
  <c r="AB1160" i="26"/>
  <c r="AD1156" i="26"/>
  <c r="AC1156" i="26"/>
  <c r="AB1156" i="26"/>
  <c r="AD1152" i="26"/>
  <c r="AC1152" i="26"/>
  <c r="AB1152" i="26"/>
  <c r="AD1148" i="26"/>
  <c r="AC1148" i="26"/>
  <c r="AB1148" i="26"/>
  <c r="AD1144" i="26"/>
  <c r="AC1144" i="26"/>
  <c r="AB1144" i="26"/>
  <c r="AD1140" i="26"/>
  <c r="AC1140" i="26"/>
  <c r="AB1140" i="26"/>
  <c r="AD1136" i="26"/>
  <c r="AC1136" i="26"/>
  <c r="AB1136" i="26"/>
  <c r="AD1132" i="26"/>
  <c r="AC1132" i="26"/>
  <c r="AB1132" i="26"/>
  <c r="AD1128" i="26"/>
  <c r="AC1128" i="26"/>
  <c r="AB1128" i="26"/>
  <c r="AD1124" i="26"/>
  <c r="AC1124" i="26"/>
  <c r="AB1124" i="26"/>
  <c r="AD1120" i="26"/>
  <c r="AC1120" i="26"/>
  <c r="AB1120" i="26"/>
  <c r="AD1116" i="26"/>
  <c r="AC1116" i="26"/>
  <c r="AB1116" i="26"/>
  <c r="AD1112" i="26"/>
  <c r="AC1112" i="26"/>
  <c r="AB1112" i="26"/>
  <c r="AD1108" i="26"/>
  <c r="AC1108" i="26"/>
  <c r="AB1108" i="26"/>
  <c r="AD1104" i="26"/>
  <c r="AC1104" i="26"/>
  <c r="AB1104" i="26"/>
  <c r="AD1100" i="26"/>
  <c r="AC1100" i="26"/>
  <c r="AB1100" i="26"/>
  <c r="AD1096" i="26"/>
  <c r="AC1096" i="26"/>
  <c r="AB1096" i="26"/>
  <c r="AD1092" i="26"/>
  <c r="AC1092" i="26"/>
  <c r="AB1092" i="26"/>
  <c r="AD1088" i="26"/>
  <c r="AC1088" i="26"/>
  <c r="AB1088" i="26"/>
  <c r="AD1084" i="26"/>
  <c r="AC1084" i="26"/>
  <c r="AB1084" i="26"/>
  <c r="AD1080" i="26"/>
  <c r="AC1080" i="26"/>
  <c r="AB1080" i="26"/>
  <c r="AD1076" i="26"/>
  <c r="AC1076" i="26"/>
  <c r="AB1076" i="26"/>
  <c r="AD1072" i="26"/>
  <c r="AC1072" i="26"/>
  <c r="AB1072" i="26"/>
  <c r="AD1068" i="26"/>
  <c r="AC1068" i="26"/>
  <c r="AB1068" i="26"/>
  <c r="AD1064" i="26"/>
  <c r="AC1064" i="26"/>
  <c r="AB1064" i="26"/>
  <c r="AD1060" i="26"/>
  <c r="AC1060" i="26"/>
  <c r="AB1060" i="26"/>
  <c r="AD1056" i="26"/>
  <c r="AC1056" i="26"/>
  <c r="AB1056" i="26"/>
  <c r="AD1052" i="26"/>
  <c r="AC1052" i="26"/>
  <c r="AB1052" i="26"/>
  <c r="AD1048" i="26"/>
  <c r="AC1048" i="26"/>
  <c r="AB1048" i="26"/>
  <c r="AD1044" i="26"/>
  <c r="AC1044" i="26"/>
  <c r="AB1044" i="26"/>
  <c r="AD1040" i="26"/>
  <c r="AC1040" i="26"/>
  <c r="AB1040" i="26"/>
  <c r="AD1036" i="26"/>
  <c r="AC1036" i="26"/>
  <c r="AB1036" i="26"/>
  <c r="AD1032" i="26"/>
  <c r="AC1032" i="26"/>
  <c r="AB1032" i="26"/>
  <c r="AD1028" i="26"/>
  <c r="AC1028" i="26"/>
  <c r="AB1028" i="26"/>
  <c r="AD1024" i="26"/>
  <c r="AC1024" i="26"/>
  <c r="AB1024" i="26"/>
  <c r="AD1020" i="26"/>
  <c r="AC1020" i="26"/>
  <c r="AB1020" i="26"/>
  <c r="AD1016" i="26"/>
  <c r="AC1016" i="26"/>
  <c r="AB1016" i="26"/>
  <c r="AD1012" i="26"/>
  <c r="AC1012" i="26"/>
  <c r="AB1012" i="26"/>
  <c r="AD1008" i="26"/>
  <c r="AC1008" i="26"/>
  <c r="AB1008" i="26"/>
  <c r="AD1004" i="26"/>
  <c r="AC1004" i="26"/>
  <c r="AB1004" i="26"/>
  <c r="AD1000" i="26"/>
  <c r="AC1000" i="26"/>
  <c r="AB1000" i="26"/>
  <c r="AD996" i="26"/>
  <c r="AC996" i="26"/>
  <c r="AB996" i="26"/>
  <c r="AD992" i="26"/>
  <c r="AC992" i="26"/>
  <c r="AB992" i="26"/>
  <c r="AD988" i="26"/>
  <c r="AC988" i="26"/>
  <c r="AB988" i="26"/>
  <c r="AD984" i="26"/>
  <c r="AC984" i="26"/>
  <c r="AB984" i="26"/>
  <c r="AD980" i="26"/>
  <c r="AC980" i="26"/>
  <c r="AB980" i="26"/>
  <c r="AD976" i="26"/>
  <c r="AC976" i="26"/>
  <c r="AB976" i="26"/>
  <c r="AD972" i="26"/>
  <c r="AC972" i="26"/>
  <c r="AB972" i="26"/>
  <c r="AD968" i="26"/>
  <c r="AC968" i="26"/>
  <c r="AB968" i="26"/>
  <c r="AD964" i="26"/>
  <c r="AC964" i="26"/>
  <c r="AB964" i="26"/>
  <c r="AD960" i="26"/>
  <c r="AC960" i="26"/>
  <c r="AB960" i="26"/>
  <c r="AD956" i="26"/>
  <c r="AC956" i="26"/>
  <c r="AB956" i="26"/>
  <c r="AD952" i="26"/>
  <c r="AC952" i="26"/>
  <c r="AB952" i="26"/>
  <c r="AD948" i="26"/>
  <c r="AC948" i="26"/>
  <c r="AB948" i="26"/>
  <c r="AD944" i="26"/>
  <c r="AC944" i="26"/>
  <c r="AB944" i="26"/>
  <c r="AD940" i="26"/>
  <c r="AC940" i="26"/>
  <c r="AB940" i="26"/>
  <c r="AD936" i="26"/>
  <c r="AC936" i="26"/>
  <c r="AB936" i="26"/>
  <c r="AD932" i="26"/>
  <c r="AC932" i="26"/>
  <c r="AB932" i="26"/>
  <c r="AD928" i="26"/>
  <c r="AC928" i="26"/>
  <c r="AB928" i="26"/>
  <c r="AD924" i="26"/>
  <c r="AC924" i="26"/>
  <c r="AB924" i="26"/>
  <c r="AD920" i="26"/>
  <c r="AC920" i="26"/>
  <c r="AB920" i="26"/>
  <c r="AD916" i="26"/>
  <c r="AC916" i="26"/>
  <c r="AB916" i="26"/>
  <c r="AD912" i="26"/>
  <c r="AC912" i="26"/>
  <c r="AB912" i="26"/>
  <c r="AD908" i="26"/>
  <c r="AC908" i="26"/>
  <c r="AB908" i="26"/>
  <c r="AD904" i="26"/>
  <c r="AC904" i="26"/>
  <c r="AB904" i="26"/>
  <c r="AD900" i="26"/>
  <c r="AC900" i="26"/>
  <c r="AB900" i="26"/>
  <c r="AD896" i="26"/>
  <c r="AC896" i="26"/>
  <c r="AB896" i="26"/>
  <c r="AD892" i="26"/>
  <c r="AC892" i="26"/>
  <c r="AB892" i="26"/>
  <c r="AD888" i="26"/>
  <c r="AC888" i="26"/>
  <c r="AB888" i="26"/>
  <c r="AD884" i="26"/>
  <c r="AC884" i="26"/>
  <c r="AB884" i="26"/>
  <c r="AD880" i="26"/>
  <c r="AC880" i="26"/>
  <c r="AB880" i="26"/>
  <c r="AD876" i="26"/>
  <c r="AC876" i="26"/>
  <c r="AB876" i="26"/>
  <c r="AD872" i="26"/>
  <c r="AC872" i="26"/>
  <c r="AB872" i="26"/>
  <c r="AD868" i="26"/>
  <c r="AC868" i="26"/>
  <c r="AB868" i="26"/>
  <c r="AD864" i="26"/>
  <c r="AC864" i="26"/>
  <c r="AB864" i="26"/>
  <c r="AD860" i="26"/>
  <c r="AC860" i="26"/>
  <c r="AB860" i="26"/>
  <c r="AD856" i="26"/>
  <c r="AC856" i="26"/>
  <c r="AB856" i="26"/>
  <c r="AD852" i="26"/>
  <c r="AC852" i="26"/>
  <c r="AB852" i="26"/>
  <c r="AD848" i="26"/>
  <c r="AC848" i="26"/>
  <c r="AB848" i="26"/>
  <c r="AD844" i="26"/>
  <c r="AC844" i="26"/>
  <c r="AB844" i="26"/>
  <c r="AD840" i="26"/>
  <c r="AC840" i="26"/>
  <c r="AB840" i="26"/>
  <c r="AD836" i="26"/>
  <c r="AC836" i="26"/>
  <c r="AB836" i="26"/>
  <c r="AD832" i="26"/>
  <c r="AC832" i="26"/>
  <c r="AB832" i="26"/>
  <c r="AD828" i="26"/>
  <c r="AC828" i="26"/>
  <c r="AB828" i="26"/>
  <c r="AD824" i="26"/>
  <c r="AC824" i="26"/>
  <c r="AB824" i="26"/>
  <c r="AD820" i="26"/>
  <c r="AC820" i="26"/>
  <c r="AB820" i="26"/>
  <c r="AD816" i="26"/>
  <c r="AC816" i="26"/>
  <c r="AB816" i="26"/>
  <c r="AD812" i="26"/>
  <c r="AC812" i="26"/>
  <c r="AB812" i="26"/>
  <c r="AD808" i="26"/>
  <c r="AC808" i="26"/>
  <c r="AB808" i="26"/>
  <c r="AD804" i="26"/>
  <c r="AC804" i="26"/>
  <c r="AB804" i="26"/>
  <c r="AD800" i="26"/>
  <c r="AC800" i="26"/>
  <c r="AB800" i="26"/>
  <c r="AD796" i="26"/>
  <c r="AC796" i="26"/>
  <c r="AB796" i="26"/>
  <c r="AD792" i="26"/>
  <c r="AC792" i="26"/>
  <c r="AB792" i="26"/>
  <c r="AD788" i="26"/>
  <c r="AC788" i="26"/>
  <c r="AB788" i="26"/>
  <c r="AD784" i="26"/>
  <c r="AC784" i="26"/>
  <c r="AB784" i="26"/>
  <c r="AD780" i="26"/>
  <c r="AC780" i="26"/>
  <c r="AB780" i="26"/>
  <c r="AD776" i="26"/>
  <c r="AC776" i="26"/>
  <c r="AB776" i="26"/>
  <c r="AD772" i="26"/>
  <c r="AC772" i="26"/>
  <c r="AB772" i="26"/>
  <c r="AD768" i="26"/>
  <c r="AC768" i="26"/>
  <c r="AB768" i="26"/>
  <c r="AD764" i="26"/>
  <c r="AC764" i="26"/>
  <c r="AB764" i="26"/>
  <c r="AD760" i="26"/>
  <c r="AC760" i="26"/>
  <c r="AB760" i="26"/>
  <c r="AD756" i="26"/>
  <c r="AC756" i="26"/>
  <c r="AB756" i="26"/>
  <c r="AD752" i="26"/>
  <c r="AC752" i="26"/>
  <c r="AB752" i="26"/>
  <c r="AD748" i="26"/>
  <c r="AC748" i="26"/>
  <c r="AB748" i="26"/>
  <c r="AD744" i="26"/>
  <c r="AC744" i="26"/>
  <c r="AB744" i="26"/>
  <c r="AD740" i="26"/>
  <c r="AC740" i="26"/>
  <c r="AB740" i="26"/>
  <c r="AD736" i="26"/>
  <c r="AC736" i="26"/>
  <c r="AB736" i="26"/>
  <c r="AD732" i="26"/>
  <c r="AC732" i="26"/>
  <c r="AB732" i="26"/>
  <c r="AD728" i="26"/>
  <c r="AC728" i="26"/>
  <c r="AB728" i="26"/>
  <c r="AD724" i="26"/>
  <c r="AC724" i="26"/>
  <c r="AB724" i="26"/>
  <c r="AD720" i="26"/>
  <c r="AC720" i="26"/>
  <c r="AB720" i="26"/>
  <c r="AD716" i="26"/>
  <c r="AC716" i="26"/>
  <c r="AB716" i="26"/>
  <c r="AD712" i="26"/>
  <c r="AC712" i="26"/>
  <c r="AB712" i="26"/>
  <c r="AD708" i="26"/>
  <c r="AC708" i="26"/>
  <c r="AB708" i="26"/>
  <c r="AD704" i="26"/>
  <c r="AC704" i="26"/>
  <c r="AB704" i="26"/>
  <c r="AD700" i="26"/>
  <c r="AC700" i="26"/>
  <c r="AB700" i="26"/>
  <c r="AD696" i="26"/>
  <c r="AC696" i="26"/>
  <c r="AB696" i="26"/>
  <c r="AD692" i="26"/>
  <c r="AC692" i="26"/>
  <c r="AB692" i="26"/>
  <c r="AD688" i="26"/>
  <c r="AC688" i="26"/>
  <c r="AB688" i="26"/>
  <c r="AD684" i="26"/>
  <c r="AC684" i="26"/>
  <c r="AB684" i="26"/>
  <c r="AD680" i="26"/>
  <c r="AC680" i="26"/>
  <c r="AB680" i="26"/>
  <c r="AD676" i="26"/>
  <c r="AC676" i="26"/>
  <c r="AB676" i="26"/>
  <c r="AD672" i="26"/>
  <c r="AC672" i="26"/>
  <c r="AB672" i="26"/>
  <c r="AD668" i="26"/>
  <c r="AC668" i="26"/>
  <c r="AB668" i="26"/>
  <c r="AD664" i="26"/>
  <c r="AC664" i="26"/>
  <c r="AB664" i="26"/>
  <c r="AD660" i="26"/>
  <c r="AC660" i="26"/>
  <c r="AB660" i="26"/>
  <c r="AD656" i="26"/>
  <c r="AC656" i="26"/>
  <c r="AB656" i="26"/>
  <c r="AD652" i="26"/>
  <c r="AC652" i="26"/>
  <c r="AB652" i="26"/>
  <c r="AD648" i="26"/>
  <c r="AC648" i="26"/>
  <c r="AB648" i="26"/>
  <c r="AD644" i="26"/>
  <c r="AC644" i="26"/>
  <c r="AB644" i="26"/>
  <c r="AD640" i="26"/>
  <c r="AC640" i="26"/>
  <c r="AB640" i="26"/>
  <c r="AD636" i="26"/>
  <c r="AC636" i="26"/>
  <c r="AB636" i="26"/>
  <c r="AD632" i="26"/>
  <c r="AC632" i="26"/>
  <c r="AB632" i="26"/>
  <c r="AD628" i="26"/>
  <c r="AC628" i="26"/>
  <c r="AB628" i="26"/>
  <c r="AD624" i="26"/>
  <c r="AC624" i="26"/>
  <c r="AB624" i="26"/>
  <c r="AD620" i="26"/>
  <c r="AC620" i="26"/>
  <c r="AB620" i="26"/>
  <c r="AD616" i="26"/>
  <c r="AC616" i="26"/>
  <c r="AB616" i="26"/>
  <c r="AD612" i="26"/>
  <c r="AC612" i="26"/>
  <c r="AB612" i="26"/>
  <c r="AD608" i="26"/>
  <c r="AC608" i="26"/>
  <c r="AB608" i="26"/>
  <c r="AD604" i="26"/>
  <c r="AC604" i="26"/>
  <c r="AB604" i="26"/>
  <c r="AD600" i="26"/>
  <c r="AC600" i="26"/>
  <c r="AB600" i="26"/>
  <c r="AD596" i="26"/>
  <c r="AC596" i="26"/>
  <c r="AB596" i="26"/>
  <c r="AD592" i="26"/>
  <c r="AC592" i="26"/>
  <c r="AB592" i="26"/>
  <c r="AD588" i="26"/>
  <c r="AC588" i="26"/>
  <c r="AB588" i="26"/>
  <c r="AD584" i="26"/>
  <c r="AC584" i="26"/>
  <c r="AB584" i="26"/>
  <c r="AD580" i="26"/>
  <c r="AC580" i="26"/>
  <c r="AB580" i="26"/>
  <c r="AD576" i="26"/>
  <c r="AC576" i="26"/>
  <c r="AB576" i="26"/>
  <c r="AD572" i="26"/>
  <c r="AC572" i="26"/>
  <c r="AB572" i="26"/>
  <c r="AD568" i="26"/>
  <c r="AC568" i="26"/>
  <c r="AB568" i="26"/>
  <c r="AD564" i="26"/>
  <c r="AC564" i="26"/>
  <c r="AB564" i="26"/>
  <c r="AD560" i="26"/>
  <c r="AC560" i="26"/>
  <c r="AB560" i="26"/>
  <c r="AD556" i="26"/>
  <c r="AC556" i="26"/>
  <c r="AB556" i="26"/>
  <c r="AD552" i="26"/>
  <c r="AC552" i="26"/>
  <c r="AB552" i="26"/>
  <c r="AD548" i="26"/>
  <c r="AC548" i="26"/>
  <c r="AB548" i="26"/>
  <c r="AD544" i="26"/>
  <c r="AC544" i="26"/>
  <c r="AB544" i="26"/>
  <c r="AD540" i="26"/>
  <c r="AC540" i="26"/>
  <c r="AB540" i="26"/>
  <c r="AD536" i="26"/>
  <c r="AC536" i="26"/>
  <c r="AB536" i="26"/>
  <c r="AD532" i="26"/>
  <c r="AC532" i="26"/>
  <c r="AB532" i="26"/>
  <c r="AD528" i="26"/>
  <c r="AC528" i="26"/>
  <c r="AB528" i="26"/>
  <c r="AD524" i="26"/>
  <c r="AC524" i="26"/>
  <c r="AB524" i="26"/>
  <c r="AD520" i="26"/>
  <c r="AC520" i="26"/>
  <c r="AB520" i="26"/>
  <c r="AD516" i="26"/>
  <c r="AC516" i="26"/>
  <c r="AB516" i="26"/>
  <c r="AD512" i="26"/>
  <c r="AC512" i="26"/>
  <c r="AB512" i="26"/>
  <c r="AD508" i="26"/>
  <c r="AC508" i="26"/>
  <c r="AB508" i="26"/>
  <c r="AD504" i="26"/>
  <c r="AC504" i="26"/>
  <c r="AB504" i="26"/>
  <c r="AD500" i="26"/>
  <c r="AC500" i="26"/>
  <c r="AB500" i="26"/>
  <c r="AD496" i="26"/>
  <c r="AC496" i="26"/>
  <c r="AB496" i="26"/>
  <c r="AD492" i="26"/>
  <c r="AC492" i="26"/>
  <c r="AB492" i="26"/>
  <c r="AD488" i="26"/>
  <c r="AC488" i="26"/>
  <c r="AB488" i="26"/>
  <c r="AD484" i="26"/>
  <c r="AC484" i="26"/>
  <c r="AB484" i="26"/>
  <c r="AD480" i="26"/>
  <c r="AC480" i="26"/>
  <c r="AB480" i="26"/>
  <c r="AD476" i="26"/>
  <c r="AC476" i="26"/>
  <c r="AB476" i="26"/>
  <c r="AD472" i="26"/>
  <c r="AC472" i="26"/>
  <c r="AB472" i="26"/>
  <c r="AD468" i="26"/>
  <c r="AC468" i="26"/>
  <c r="AB468" i="26"/>
  <c r="AD464" i="26"/>
  <c r="AC464" i="26"/>
  <c r="AB464" i="26"/>
  <c r="AD460" i="26"/>
  <c r="AC460" i="26"/>
  <c r="AB460" i="26"/>
  <c r="AD456" i="26"/>
  <c r="AC456" i="26"/>
  <c r="AB456" i="26"/>
  <c r="AD452" i="26"/>
  <c r="AC452" i="26"/>
  <c r="AB452" i="26"/>
  <c r="AD448" i="26"/>
  <c r="AC448" i="26"/>
  <c r="AB448" i="26"/>
  <c r="AD444" i="26"/>
  <c r="AC444" i="26"/>
  <c r="AB444" i="26"/>
  <c r="AD440" i="26"/>
  <c r="AC440" i="26"/>
  <c r="AB440" i="26"/>
  <c r="AD436" i="26"/>
  <c r="AC436" i="26"/>
  <c r="AB436" i="26"/>
  <c r="AD432" i="26"/>
  <c r="AC432" i="26"/>
  <c r="AB432" i="26"/>
  <c r="AD428" i="26"/>
  <c r="AC428" i="26"/>
  <c r="AB428" i="26"/>
  <c r="AD424" i="26"/>
  <c r="AC424" i="26"/>
  <c r="AB424" i="26"/>
  <c r="AD420" i="26"/>
  <c r="AC420" i="26"/>
  <c r="AB420" i="26"/>
  <c r="AD416" i="26"/>
  <c r="AC416" i="26"/>
  <c r="AB416" i="26"/>
  <c r="AD412" i="26"/>
  <c r="AC412" i="26"/>
  <c r="AB412" i="26"/>
  <c r="AD408" i="26"/>
  <c r="AC408" i="26"/>
  <c r="AB408" i="26"/>
  <c r="AD404" i="26"/>
  <c r="AC404" i="26"/>
  <c r="AB404" i="26"/>
  <c r="AD400" i="26"/>
  <c r="AC400" i="26"/>
  <c r="AB400" i="26"/>
  <c r="AD396" i="26"/>
  <c r="AC396" i="26"/>
  <c r="AB396" i="26"/>
  <c r="AD392" i="26"/>
  <c r="AC392" i="26"/>
  <c r="AB392" i="26"/>
  <c r="AD388" i="26"/>
  <c r="AC388" i="26"/>
  <c r="AB388" i="26"/>
  <c r="AD384" i="26"/>
  <c r="AC384" i="26"/>
  <c r="AB384" i="26"/>
  <c r="AD380" i="26"/>
  <c r="AC380" i="26"/>
  <c r="AB380" i="26"/>
  <c r="AD376" i="26"/>
  <c r="AC376" i="26"/>
  <c r="AB376" i="26"/>
  <c r="AD372" i="26"/>
  <c r="AC372" i="26"/>
  <c r="AB372" i="26"/>
  <c r="AD368" i="26"/>
  <c r="AC368" i="26"/>
  <c r="AB368" i="26"/>
  <c r="AD364" i="26"/>
  <c r="AC364" i="26"/>
  <c r="AB364" i="26"/>
  <c r="AD360" i="26"/>
  <c r="AC360" i="26"/>
  <c r="AB360" i="26"/>
  <c r="AD356" i="26"/>
  <c r="AC356" i="26"/>
  <c r="AB356" i="26"/>
  <c r="AD352" i="26"/>
  <c r="AC352" i="26"/>
  <c r="AB352" i="26"/>
  <c r="AD348" i="26"/>
  <c r="AC348" i="26"/>
  <c r="AB348" i="26"/>
  <c r="AD344" i="26"/>
  <c r="AC344" i="26"/>
  <c r="AB344" i="26"/>
  <c r="AD340" i="26"/>
  <c r="AC340" i="26"/>
  <c r="AB340" i="26"/>
  <c r="AD336" i="26"/>
  <c r="AC336" i="26"/>
  <c r="AB336" i="26"/>
  <c r="AD332" i="26"/>
  <c r="AC332" i="26"/>
  <c r="AB332" i="26"/>
  <c r="AD328" i="26"/>
  <c r="AC328" i="26"/>
  <c r="AB328" i="26"/>
  <c r="AD324" i="26"/>
  <c r="AC324" i="26"/>
  <c r="AB324" i="26"/>
  <c r="AD320" i="26"/>
  <c r="AC320" i="26"/>
  <c r="AB320" i="26"/>
  <c r="AD316" i="26"/>
  <c r="AC316" i="26"/>
  <c r="AB316" i="26"/>
  <c r="AD312" i="26"/>
  <c r="AC312" i="26"/>
  <c r="AB312" i="26"/>
  <c r="AD308" i="26"/>
  <c r="AC308" i="26"/>
  <c r="AB308" i="26"/>
  <c r="AD304" i="26"/>
  <c r="AC304" i="26"/>
  <c r="AB304" i="26"/>
  <c r="AD300" i="26"/>
  <c r="AC300" i="26"/>
  <c r="AB300" i="26"/>
  <c r="AD296" i="26"/>
  <c r="AC296" i="26"/>
  <c r="AB296" i="26"/>
  <c r="AD292" i="26"/>
  <c r="AC292" i="26"/>
  <c r="AB292" i="26"/>
  <c r="AD288" i="26"/>
  <c r="AC288" i="26"/>
  <c r="AB288" i="26"/>
  <c r="AD284" i="26"/>
  <c r="AC284" i="26"/>
  <c r="AB284" i="26"/>
  <c r="AD280" i="26"/>
  <c r="AC280" i="26"/>
  <c r="AB280" i="26"/>
  <c r="AD276" i="26"/>
  <c r="AC276" i="26"/>
  <c r="AB276" i="26"/>
  <c r="AD272" i="26"/>
  <c r="AC272" i="26"/>
  <c r="AB272" i="26"/>
  <c r="AD268" i="26"/>
  <c r="AC268" i="26"/>
  <c r="AB268" i="26"/>
  <c r="AD264" i="26"/>
  <c r="AC264" i="26"/>
  <c r="AB264" i="26"/>
  <c r="AD260" i="26"/>
  <c r="AC260" i="26"/>
  <c r="AB260" i="26"/>
  <c r="AD256" i="26"/>
  <c r="AC256" i="26"/>
  <c r="AB256" i="26"/>
  <c r="AD252" i="26"/>
  <c r="AC252" i="26"/>
  <c r="AB252" i="26"/>
  <c r="AD248" i="26"/>
  <c r="AC248" i="26"/>
  <c r="AB248" i="26"/>
  <c r="AD244" i="26"/>
  <c r="AC244" i="26"/>
  <c r="AB244" i="26"/>
  <c r="AD240" i="26"/>
  <c r="AC240" i="26"/>
  <c r="AB240" i="26"/>
  <c r="AD236" i="26"/>
  <c r="AC236" i="26"/>
  <c r="AB236" i="26"/>
  <c r="AD232" i="26"/>
  <c r="AC232" i="26"/>
  <c r="AB232" i="26"/>
  <c r="AD228" i="26"/>
  <c r="AC228" i="26"/>
  <c r="AB228" i="26"/>
  <c r="AD224" i="26"/>
  <c r="AC224" i="26"/>
  <c r="AB224" i="26"/>
  <c r="AD220" i="26"/>
  <c r="AC220" i="26"/>
  <c r="AB220" i="26"/>
  <c r="AD216" i="26"/>
  <c r="AC216" i="26"/>
  <c r="AB216" i="26"/>
  <c r="AD212" i="26"/>
  <c r="AC212" i="26"/>
  <c r="AB212" i="26"/>
  <c r="AD208" i="26"/>
  <c r="AC208" i="26"/>
  <c r="AB208" i="26"/>
  <c r="AD204" i="26"/>
  <c r="AC204" i="26"/>
  <c r="AB204" i="26"/>
  <c r="AD200" i="26"/>
  <c r="AC200" i="26"/>
  <c r="AB200" i="26"/>
  <c r="AD196" i="26"/>
  <c r="AC196" i="26"/>
  <c r="AB196" i="26"/>
  <c r="AD192" i="26"/>
  <c r="AC192" i="26"/>
  <c r="AB192" i="26"/>
  <c r="AD188" i="26"/>
  <c r="AC188" i="26"/>
  <c r="AB188" i="26"/>
  <c r="AD184" i="26"/>
  <c r="AC184" i="26"/>
  <c r="AB184" i="26"/>
  <c r="AD180" i="26"/>
  <c r="AC180" i="26"/>
  <c r="AB180" i="26"/>
  <c r="AD176" i="26"/>
  <c r="AC176" i="26"/>
  <c r="AB176" i="26"/>
  <c r="AD172" i="26"/>
  <c r="AC172" i="26"/>
  <c r="AB172" i="26"/>
  <c r="AD168" i="26"/>
  <c r="AC168" i="26"/>
  <c r="AB168" i="26"/>
  <c r="AD164" i="26"/>
  <c r="AC164" i="26"/>
  <c r="AB164" i="26"/>
  <c r="AD160" i="26"/>
  <c r="AC160" i="26"/>
  <c r="AB160" i="26"/>
  <c r="AD156" i="26"/>
  <c r="AC156" i="26"/>
  <c r="AB156" i="26"/>
  <c r="AD152" i="26"/>
  <c r="AC152" i="26"/>
  <c r="AB152" i="26"/>
  <c r="AD148" i="26"/>
  <c r="AC148" i="26"/>
  <c r="AB148" i="26"/>
  <c r="AD144" i="26"/>
  <c r="AC144" i="26"/>
  <c r="AB144" i="26"/>
  <c r="AD140" i="26"/>
  <c r="AC140" i="26"/>
  <c r="AB140" i="26"/>
  <c r="AD136" i="26"/>
  <c r="AC136" i="26"/>
  <c r="AB136" i="26"/>
  <c r="AD132" i="26"/>
  <c r="AC132" i="26"/>
  <c r="AB132" i="26"/>
  <c r="AD128" i="26"/>
  <c r="AC128" i="26"/>
  <c r="AB128" i="26"/>
  <c r="AD124" i="26"/>
  <c r="AC124" i="26"/>
  <c r="AB124" i="26"/>
  <c r="AD120" i="26"/>
  <c r="AC120" i="26"/>
  <c r="AB120" i="26"/>
  <c r="AD116" i="26"/>
  <c r="AC116" i="26"/>
  <c r="AB116" i="26"/>
  <c r="AD112" i="26"/>
  <c r="AC112" i="26"/>
  <c r="AB112" i="26"/>
  <c r="AD108" i="26"/>
  <c r="AC108" i="26"/>
  <c r="AB108" i="26"/>
  <c r="AD104" i="26"/>
  <c r="AC104" i="26"/>
  <c r="AB104" i="26"/>
  <c r="AD100" i="26"/>
  <c r="AC100" i="26"/>
  <c r="AB100" i="26"/>
  <c r="AD96" i="26"/>
  <c r="AC96" i="26"/>
  <c r="AB96" i="26"/>
  <c r="AD92" i="26"/>
  <c r="AC92" i="26"/>
  <c r="AB92" i="26"/>
  <c r="AD88" i="26"/>
  <c r="AC88" i="26"/>
  <c r="AB88" i="26"/>
  <c r="AD84" i="26"/>
  <c r="AC84" i="26"/>
  <c r="AB84" i="26"/>
  <c r="AD80" i="26"/>
  <c r="AC80" i="26"/>
  <c r="AB80" i="26"/>
  <c r="AD76" i="26"/>
  <c r="AC76" i="26"/>
  <c r="AB76" i="26"/>
  <c r="AD72" i="26"/>
  <c r="AC72" i="26"/>
  <c r="AB72" i="26"/>
  <c r="AD68" i="26"/>
  <c r="AC68" i="26"/>
  <c r="AB68" i="26"/>
  <c r="AD64" i="26"/>
  <c r="AC64" i="26"/>
  <c r="AB64" i="26"/>
  <c r="AD60" i="26"/>
  <c r="AC60" i="26"/>
  <c r="AB60" i="26"/>
  <c r="AD56" i="26"/>
  <c r="AC56" i="26"/>
  <c r="AB56" i="26"/>
  <c r="AD52" i="26"/>
  <c r="AC52" i="26"/>
  <c r="AB52" i="26"/>
  <c r="AD48" i="26"/>
  <c r="AC48" i="26"/>
  <c r="AB48" i="26"/>
  <c r="AD44" i="26"/>
  <c r="AC44" i="26"/>
  <c r="AB44" i="26"/>
  <c r="AD40" i="26"/>
  <c r="AC40" i="26"/>
  <c r="AB40" i="26"/>
  <c r="AD36" i="26"/>
  <c r="AC36" i="26"/>
  <c r="AB36" i="26"/>
  <c r="AD32" i="26"/>
  <c r="AC32" i="26"/>
  <c r="AB32" i="26"/>
  <c r="AD28" i="26"/>
  <c r="AC28" i="26"/>
  <c r="AB28" i="26"/>
  <c r="AD24" i="26"/>
  <c r="AC24" i="26"/>
  <c r="AB24" i="26"/>
  <c r="AD20" i="26"/>
  <c r="AC20" i="26"/>
  <c r="AB20" i="26"/>
  <c r="AD16" i="26"/>
  <c r="AC16" i="26"/>
  <c r="AB16" i="26"/>
  <c r="AD12" i="26"/>
  <c r="AC12" i="26"/>
  <c r="AB12" i="26"/>
  <c r="AD8" i="26"/>
  <c r="AC8" i="26"/>
  <c r="AB8" i="26"/>
  <c r="AD3959" i="26"/>
  <c r="AC3959" i="26"/>
  <c r="AD3955" i="26"/>
  <c r="AC3955" i="26"/>
  <c r="AD3951" i="26"/>
  <c r="AC3951" i="26"/>
  <c r="AD3947" i="26"/>
  <c r="AC3947" i="26"/>
  <c r="AD3943" i="26"/>
  <c r="AC3943" i="26"/>
  <c r="AD3939" i="26"/>
  <c r="AC3939" i="26"/>
  <c r="AD3935" i="26"/>
  <c r="AC3935" i="26"/>
  <c r="AD3931" i="26"/>
  <c r="AC3931" i="26"/>
  <c r="AD3927" i="26"/>
  <c r="AC3927" i="26"/>
  <c r="AD3923" i="26"/>
  <c r="AC3923" i="26"/>
  <c r="AD3919" i="26"/>
  <c r="AC3919" i="26"/>
  <c r="AD3915" i="26"/>
  <c r="AC3915" i="26"/>
  <c r="AD3911" i="26"/>
  <c r="AC3911" i="26"/>
  <c r="AD3907" i="26"/>
  <c r="AC3907" i="26"/>
  <c r="AD3903" i="26"/>
  <c r="AC3903" i="26"/>
  <c r="AD3899" i="26"/>
  <c r="AC3899" i="26"/>
  <c r="AD3895" i="26"/>
  <c r="AC3895" i="26"/>
  <c r="AD3891" i="26"/>
  <c r="AC3891" i="26"/>
  <c r="AD3887" i="26"/>
  <c r="AC3887" i="26"/>
  <c r="AD3883" i="26"/>
  <c r="AC3883" i="26"/>
  <c r="AD3879" i="26"/>
  <c r="AC3879" i="26"/>
  <c r="AD3875" i="26"/>
  <c r="AC3875" i="26"/>
  <c r="AD3871" i="26"/>
  <c r="AC3871" i="26"/>
  <c r="AD3867" i="26"/>
  <c r="AC3867" i="26"/>
  <c r="AD3863" i="26"/>
  <c r="AC3863" i="26"/>
  <c r="AD3859" i="26"/>
  <c r="AC3859" i="26"/>
  <c r="AD3855" i="26"/>
  <c r="AC3855" i="26"/>
  <c r="AD3851" i="26"/>
  <c r="AC3851" i="26"/>
  <c r="AD3847" i="26"/>
  <c r="AC3847" i="26"/>
  <c r="AD3843" i="26"/>
  <c r="AC3843" i="26"/>
  <c r="AD3839" i="26"/>
  <c r="AC3839" i="26"/>
  <c r="AD3835" i="26"/>
  <c r="AC3835" i="26"/>
  <c r="AD3831" i="26"/>
  <c r="AC3831" i="26"/>
  <c r="AD3827" i="26"/>
  <c r="AC3827" i="26"/>
  <c r="AD3823" i="26"/>
  <c r="AC3823" i="26"/>
  <c r="AD3819" i="26"/>
  <c r="AC3819" i="26"/>
  <c r="AD3815" i="26"/>
  <c r="AC3815" i="26"/>
  <c r="AD3811" i="26"/>
  <c r="AC3811" i="26"/>
  <c r="AD3807" i="26"/>
  <c r="AC3807" i="26"/>
  <c r="AD3803" i="26"/>
  <c r="AC3803" i="26"/>
  <c r="AD3799" i="26"/>
  <c r="AC3799" i="26"/>
  <c r="AD3795" i="26"/>
  <c r="AC3795" i="26"/>
  <c r="AD3791" i="26"/>
  <c r="AC3791" i="26"/>
  <c r="AD3787" i="26"/>
  <c r="AC3787" i="26"/>
  <c r="AD3783" i="26"/>
  <c r="AC3783" i="26"/>
  <c r="AD3779" i="26"/>
  <c r="AC3779" i="26"/>
  <c r="AD3775" i="26"/>
  <c r="AC3775" i="26"/>
  <c r="AD3771" i="26"/>
  <c r="AC3771" i="26"/>
  <c r="AD3767" i="26"/>
  <c r="AC3767" i="26"/>
  <c r="AD3763" i="26"/>
  <c r="AC3763" i="26"/>
  <c r="AD3759" i="26"/>
  <c r="AC3759" i="26"/>
  <c r="AD3755" i="26"/>
  <c r="AC3755" i="26"/>
  <c r="AD3751" i="26"/>
  <c r="AC3751" i="26"/>
  <c r="AD3747" i="26"/>
  <c r="AC3747" i="26"/>
  <c r="AD3743" i="26"/>
  <c r="AC3743" i="26"/>
  <c r="AD3739" i="26"/>
  <c r="AC3739" i="26"/>
  <c r="AD3735" i="26"/>
  <c r="AC3735" i="26"/>
  <c r="AD3731" i="26"/>
  <c r="AC3731" i="26"/>
  <c r="AD3727" i="26"/>
  <c r="AC3727" i="26"/>
  <c r="AD3723" i="26"/>
  <c r="AC3723" i="26"/>
  <c r="AD3719" i="26"/>
  <c r="AC3719" i="26"/>
  <c r="AD3715" i="26"/>
  <c r="AC3715" i="26"/>
  <c r="AD3711" i="26"/>
  <c r="AC3711" i="26"/>
  <c r="AD3707" i="26"/>
  <c r="AC3707" i="26"/>
  <c r="AD3703" i="26"/>
  <c r="AC3703" i="26"/>
  <c r="AD3699" i="26"/>
  <c r="AC3699" i="26"/>
  <c r="AD3695" i="26"/>
  <c r="AC3695" i="26"/>
  <c r="AD3691" i="26"/>
  <c r="AC3691" i="26"/>
  <c r="AD3687" i="26"/>
  <c r="AC3687" i="26"/>
  <c r="AD3683" i="26"/>
  <c r="AC3683" i="26"/>
  <c r="AD3679" i="26"/>
  <c r="AC3679" i="26"/>
  <c r="AD3675" i="26"/>
  <c r="AC3675" i="26"/>
  <c r="AD3671" i="26"/>
  <c r="AC3671" i="26"/>
  <c r="AD3667" i="26"/>
  <c r="AC3667" i="26"/>
  <c r="AD3663" i="26"/>
  <c r="AC3663" i="26"/>
  <c r="AD3659" i="26"/>
  <c r="AC3659" i="26"/>
  <c r="AD3655" i="26"/>
  <c r="AC3655" i="26"/>
  <c r="AD3651" i="26"/>
  <c r="AC3651" i="26"/>
  <c r="AD3647" i="26"/>
  <c r="AC3647" i="26"/>
  <c r="AD3643" i="26"/>
  <c r="AC3643" i="26"/>
  <c r="AD3639" i="26"/>
  <c r="AC3639" i="26"/>
  <c r="AD3635" i="26"/>
  <c r="AC3635" i="26"/>
  <c r="AD3631" i="26"/>
  <c r="AC3631" i="26"/>
  <c r="AD3627" i="26"/>
  <c r="AC3627" i="26"/>
  <c r="AD3623" i="26"/>
  <c r="AC3623" i="26"/>
  <c r="AD3619" i="26"/>
  <c r="AC3619" i="26"/>
  <c r="AD3615" i="26"/>
  <c r="AC3615" i="26"/>
  <c r="AD3611" i="26"/>
  <c r="AC3611" i="26"/>
  <c r="AD3607" i="26"/>
  <c r="AC3607" i="26"/>
  <c r="AD3603" i="26"/>
  <c r="AC3603" i="26"/>
  <c r="AD3599" i="26"/>
  <c r="AC3599" i="26"/>
  <c r="AD3595" i="26"/>
  <c r="AC3595" i="26"/>
  <c r="AD3591" i="26"/>
  <c r="AC3591" i="26"/>
  <c r="AD3587" i="26"/>
  <c r="AC3587" i="26"/>
  <c r="AD3583" i="26"/>
  <c r="AC3583" i="26"/>
  <c r="AD3579" i="26"/>
  <c r="AC3579" i="26"/>
  <c r="AD3575" i="26"/>
  <c r="AC3575" i="26"/>
  <c r="AD3571" i="26"/>
  <c r="AC3571" i="26"/>
  <c r="AD3567" i="26"/>
  <c r="AC3567" i="26"/>
  <c r="AD3563" i="26"/>
  <c r="AC3563" i="26"/>
  <c r="AD3559" i="26"/>
  <c r="AC3559" i="26"/>
  <c r="AD3555" i="26"/>
  <c r="AC3555" i="26"/>
  <c r="AD3551" i="26"/>
  <c r="AC3551" i="26"/>
  <c r="AD3547" i="26"/>
  <c r="AC3547" i="26"/>
  <c r="AD3543" i="26"/>
  <c r="AC3543" i="26"/>
  <c r="AD3539" i="26"/>
  <c r="AC3539" i="26"/>
  <c r="AD3535" i="26"/>
  <c r="AC3535" i="26"/>
  <c r="AD3531" i="26"/>
  <c r="AC3531" i="26"/>
  <c r="AD3527" i="26"/>
  <c r="AC3527" i="26"/>
  <c r="AD3523" i="26"/>
  <c r="AC3523" i="26"/>
  <c r="AD3519" i="26"/>
  <c r="AC3519" i="26"/>
  <c r="AD3515" i="26"/>
  <c r="AC3515" i="26"/>
  <c r="AD3511" i="26"/>
  <c r="AC3511" i="26"/>
  <c r="AD3507" i="26"/>
  <c r="AC3507" i="26"/>
  <c r="AD3503" i="26"/>
  <c r="AC3503" i="26"/>
  <c r="AD3499" i="26"/>
  <c r="AC3499" i="26"/>
  <c r="AD3495" i="26"/>
  <c r="AC3495" i="26"/>
  <c r="AD3491" i="26"/>
  <c r="AC3491" i="26"/>
  <c r="AD3487" i="26"/>
  <c r="AC3487" i="26"/>
  <c r="AD3483" i="26"/>
  <c r="AC3483" i="26"/>
  <c r="AD3479" i="26"/>
  <c r="AC3479" i="26"/>
  <c r="AD3475" i="26"/>
  <c r="AC3475" i="26"/>
  <c r="AD3471" i="26"/>
  <c r="AC3471" i="26"/>
  <c r="AD3467" i="26"/>
  <c r="AC3467" i="26"/>
  <c r="AD3463" i="26"/>
  <c r="AC3463" i="26"/>
  <c r="AD3459" i="26"/>
  <c r="AC3459" i="26"/>
  <c r="AD3455" i="26"/>
  <c r="AC3455" i="26"/>
  <c r="AD3451" i="26"/>
  <c r="AC3451" i="26"/>
  <c r="AD3447" i="26"/>
  <c r="AC3447" i="26"/>
  <c r="AD3443" i="26"/>
  <c r="AC3443" i="26"/>
  <c r="AD3439" i="26"/>
  <c r="AC3439" i="26"/>
  <c r="AD3435" i="26"/>
  <c r="AC3435" i="26"/>
  <c r="AD3431" i="26"/>
  <c r="AC3431" i="26"/>
  <c r="AD3427" i="26"/>
  <c r="AC3427" i="26"/>
  <c r="AD3423" i="26"/>
  <c r="AC3423" i="26"/>
  <c r="AD3419" i="26"/>
  <c r="AC3419" i="26"/>
  <c r="AD3415" i="26"/>
  <c r="AC3415" i="26"/>
  <c r="AD3411" i="26"/>
  <c r="AC3411" i="26"/>
  <c r="AD3407" i="26"/>
  <c r="AC3407" i="26"/>
  <c r="AD3403" i="26"/>
  <c r="AC3403" i="26"/>
  <c r="AD3399" i="26"/>
  <c r="AC3399" i="26"/>
  <c r="AD3395" i="26"/>
  <c r="AC3395" i="26"/>
  <c r="AD3391" i="26"/>
  <c r="AC3391" i="26"/>
  <c r="AD3387" i="26"/>
  <c r="AC3387" i="26"/>
  <c r="AD3383" i="26"/>
  <c r="AC3383" i="26"/>
  <c r="AD3379" i="26"/>
  <c r="AC3379" i="26"/>
  <c r="AD3375" i="26"/>
  <c r="AC3375" i="26"/>
  <c r="AD3371" i="26"/>
  <c r="AC3371" i="26"/>
  <c r="AD3367" i="26"/>
  <c r="AC3367" i="26"/>
  <c r="AD3363" i="26"/>
  <c r="AC3363" i="26"/>
  <c r="AD3359" i="26"/>
  <c r="AC3359" i="26"/>
  <c r="AD3355" i="26"/>
  <c r="AC3355" i="26"/>
  <c r="AD3351" i="26"/>
  <c r="AC3351" i="26"/>
  <c r="AD3347" i="26"/>
  <c r="AC3347" i="26"/>
  <c r="AD3343" i="26"/>
  <c r="AC3343" i="26"/>
  <c r="AD3339" i="26"/>
  <c r="AC3339" i="26"/>
  <c r="AD3335" i="26"/>
  <c r="AC3335" i="26"/>
  <c r="AD3331" i="26"/>
  <c r="AC3331" i="26"/>
  <c r="AD3327" i="26"/>
  <c r="AC3327" i="26"/>
  <c r="AD3323" i="26"/>
  <c r="AC3323" i="26"/>
  <c r="AD3319" i="26"/>
  <c r="AC3319" i="26"/>
  <c r="AD3315" i="26"/>
  <c r="AC3315" i="26"/>
  <c r="AD3311" i="26"/>
  <c r="AC3311" i="26"/>
  <c r="AD3307" i="26"/>
  <c r="AC3307" i="26"/>
  <c r="AD3303" i="26"/>
  <c r="AC3303" i="26"/>
  <c r="AD3299" i="26"/>
  <c r="AC3299" i="26"/>
  <c r="AD3295" i="26"/>
  <c r="AC3295" i="26"/>
  <c r="AD3291" i="26"/>
  <c r="AC3291" i="26"/>
  <c r="AD3287" i="26"/>
  <c r="AC3287" i="26"/>
  <c r="AD3283" i="26"/>
  <c r="AC3283" i="26"/>
  <c r="AD3279" i="26"/>
  <c r="AC3279" i="26"/>
  <c r="AD3275" i="26"/>
  <c r="AC3275" i="26"/>
  <c r="AD3271" i="26"/>
  <c r="AC3271" i="26"/>
  <c r="AD3267" i="26"/>
  <c r="AC3267" i="26"/>
  <c r="AD3263" i="26"/>
  <c r="AC3263" i="26"/>
  <c r="AD3259" i="26"/>
  <c r="AC3259" i="26"/>
  <c r="AD3255" i="26"/>
  <c r="AC3255" i="26"/>
  <c r="AD3251" i="26"/>
  <c r="AC3251" i="26"/>
  <c r="AD3247" i="26"/>
  <c r="AC3247" i="26"/>
  <c r="AD3243" i="26"/>
  <c r="AC3243" i="26"/>
  <c r="AD3239" i="26"/>
  <c r="AC3239" i="26"/>
  <c r="AD3235" i="26"/>
  <c r="AC3235" i="26"/>
  <c r="AD3231" i="26"/>
  <c r="AC3231" i="26"/>
  <c r="AD3227" i="26"/>
  <c r="AC3227" i="26"/>
  <c r="AD3223" i="26"/>
  <c r="AC3223" i="26"/>
  <c r="AD3219" i="26"/>
  <c r="AC3219" i="26"/>
  <c r="AD3215" i="26"/>
  <c r="AC3215" i="26"/>
  <c r="AD3211" i="26"/>
  <c r="AC3211" i="26"/>
  <c r="AD3207" i="26"/>
  <c r="AC3207" i="26"/>
  <c r="AD3203" i="26"/>
  <c r="AC3203" i="26"/>
  <c r="AD3199" i="26"/>
  <c r="AC3199" i="26"/>
  <c r="AD3195" i="26"/>
  <c r="AC3195" i="26"/>
  <c r="AD3191" i="26"/>
  <c r="AC3191" i="26"/>
  <c r="AD3187" i="26"/>
  <c r="AC3187" i="26"/>
  <c r="AD3183" i="26"/>
  <c r="AC3183" i="26"/>
  <c r="AD3179" i="26"/>
  <c r="AC3179" i="26"/>
  <c r="AD3175" i="26"/>
  <c r="AC3175" i="26"/>
  <c r="AD3171" i="26"/>
  <c r="AC3171" i="26"/>
  <c r="AD3167" i="26"/>
  <c r="AC3167" i="26"/>
  <c r="AD3163" i="26"/>
  <c r="AC3163" i="26"/>
  <c r="AD3159" i="26"/>
  <c r="AC3159" i="26"/>
  <c r="AD3155" i="26"/>
  <c r="AC3155" i="26"/>
  <c r="AD3151" i="26"/>
  <c r="AC3151" i="26"/>
  <c r="AD3147" i="26"/>
  <c r="AC3147" i="26"/>
  <c r="AD3143" i="26"/>
  <c r="AC3143" i="26"/>
  <c r="AD3139" i="26"/>
  <c r="AC3139" i="26"/>
  <c r="AD3135" i="26"/>
  <c r="AC3135" i="26"/>
  <c r="AD3131" i="26"/>
  <c r="AC3131" i="26"/>
  <c r="AD3127" i="26"/>
  <c r="AC3127" i="26"/>
  <c r="AD3123" i="26"/>
  <c r="AC3123" i="26"/>
  <c r="AD3119" i="26"/>
  <c r="AC3119" i="26"/>
  <c r="AD3115" i="26"/>
  <c r="AC3115" i="26"/>
  <c r="AD3111" i="26"/>
  <c r="AC3111" i="26"/>
  <c r="AD3107" i="26"/>
  <c r="AC3107" i="26"/>
  <c r="AD3103" i="26"/>
  <c r="AC3103" i="26"/>
  <c r="AD3099" i="26"/>
  <c r="AC3099" i="26"/>
  <c r="AD3095" i="26"/>
  <c r="AC3095" i="26"/>
  <c r="AD3091" i="26"/>
  <c r="AC3091" i="26"/>
  <c r="AD3087" i="26"/>
  <c r="AC3087" i="26"/>
  <c r="AD3083" i="26"/>
  <c r="AC3083" i="26"/>
  <c r="AD3079" i="26"/>
  <c r="AC3079" i="26"/>
  <c r="AD3075" i="26"/>
  <c r="AC3075" i="26"/>
  <c r="AD3071" i="26"/>
  <c r="AC3071" i="26"/>
  <c r="AD3067" i="26"/>
  <c r="AC3067" i="26"/>
  <c r="AD3063" i="26"/>
  <c r="AC3063" i="26"/>
  <c r="AD3059" i="26"/>
  <c r="AC3059" i="26"/>
  <c r="AD3055" i="26"/>
  <c r="AC3055" i="26"/>
  <c r="AD3051" i="26"/>
  <c r="AC3051" i="26"/>
  <c r="AD3047" i="26"/>
  <c r="AC3047" i="26"/>
  <c r="AD3043" i="26"/>
  <c r="AC3043" i="26"/>
  <c r="AD3039" i="26"/>
  <c r="AC3039" i="26"/>
  <c r="AD3035" i="26"/>
  <c r="AC3035" i="26"/>
  <c r="AD3031" i="26"/>
  <c r="AC3031" i="26"/>
  <c r="AD3027" i="26"/>
  <c r="AC3027" i="26"/>
  <c r="AD3023" i="26"/>
  <c r="AC3023" i="26"/>
  <c r="AD3019" i="26"/>
  <c r="AC3019" i="26"/>
  <c r="AD3015" i="26"/>
  <c r="AC3015" i="26"/>
  <c r="AD3011" i="26"/>
  <c r="AC3011" i="26"/>
  <c r="AD3007" i="26"/>
  <c r="AC3007" i="26"/>
  <c r="AD3003" i="26"/>
  <c r="AC3003" i="26"/>
  <c r="AD2999" i="26"/>
  <c r="AC2999" i="26"/>
  <c r="AD2995" i="26"/>
  <c r="AC2995" i="26"/>
  <c r="AD2991" i="26"/>
  <c r="AC2991" i="26"/>
  <c r="AD2987" i="26"/>
  <c r="AC2987" i="26"/>
  <c r="AD2983" i="26"/>
  <c r="AC2983" i="26"/>
  <c r="AD2979" i="26"/>
  <c r="AC2979" i="26"/>
  <c r="AD2975" i="26"/>
  <c r="AC2975" i="26"/>
  <c r="AD2971" i="26"/>
  <c r="AC2971" i="26"/>
  <c r="AD2967" i="26"/>
  <c r="AC2967" i="26"/>
  <c r="AD2963" i="26"/>
  <c r="AC2963" i="26"/>
  <c r="AD2959" i="26"/>
  <c r="AC2959" i="26"/>
  <c r="AD2955" i="26"/>
  <c r="AC2955" i="26"/>
  <c r="AD2951" i="26"/>
  <c r="AC2951" i="26"/>
  <c r="AD2947" i="26"/>
  <c r="AC2947" i="26"/>
  <c r="AD2943" i="26"/>
  <c r="AC2943" i="26"/>
  <c r="AD2939" i="26"/>
  <c r="AC2939" i="26"/>
  <c r="AD2935" i="26"/>
  <c r="AC2935" i="26"/>
  <c r="AD2931" i="26"/>
  <c r="AC2931" i="26"/>
  <c r="AD2927" i="26"/>
  <c r="AC2927" i="26"/>
  <c r="AD2923" i="26"/>
  <c r="AC2923" i="26"/>
  <c r="AD2919" i="26"/>
  <c r="AC2919" i="26"/>
  <c r="AD2915" i="26"/>
  <c r="AC2915" i="26"/>
  <c r="AD2911" i="26"/>
  <c r="AC2911" i="26"/>
  <c r="AD2907" i="26"/>
  <c r="AC2907" i="26"/>
  <c r="AD2903" i="26"/>
  <c r="AC2903" i="26"/>
  <c r="AD2899" i="26"/>
  <c r="AC2899" i="26"/>
  <c r="AD2895" i="26"/>
  <c r="AC2895" i="26"/>
  <c r="AD2891" i="26"/>
  <c r="AC2891" i="26"/>
  <c r="AD2887" i="26"/>
  <c r="AC2887" i="26"/>
  <c r="AD2883" i="26"/>
  <c r="AC2883" i="26"/>
  <c r="AD2879" i="26"/>
  <c r="AC2879" i="26"/>
  <c r="AD2875" i="26"/>
  <c r="AC2875" i="26"/>
  <c r="AD2871" i="26"/>
  <c r="AC2871" i="26"/>
  <c r="AD2867" i="26"/>
  <c r="AC2867" i="26"/>
  <c r="AD2863" i="26"/>
  <c r="AC2863" i="26"/>
  <c r="AD2859" i="26"/>
  <c r="AC2859" i="26"/>
  <c r="AD2855" i="26"/>
  <c r="AC2855" i="26"/>
  <c r="AD2851" i="26"/>
  <c r="AC2851" i="26"/>
  <c r="AD2847" i="26"/>
  <c r="AC2847" i="26"/>
  <c r="AD2843" i="26"/>
  <c r="AC2843" i="26"/>
  <c r="AD2839" i="26"/>
  <c r="AC2839" i="26"/>
  <c r="AD2835" i="26"/>
  <c r="AC2835" i="26"/>
  <c r="AD2831" i="26"/>
  <c r="AC2831" i="26"/>
  <c r="AD2827" i="26"/>
  <c r="AC2827" i="26"/>
  <c r="AD2823" i="26"/>
  <c r="AC2823" i="26"/>
  <c r="AD2819" i="26"/>
  <c r="AC2819" i="26"/>
  <c r="AD2815" i="26"/>
  <c r="AC2815" i="26"/>
  <c r="AD2811" i="26"/>
  <c r="AC2811" i="26"/>
  <c r="AD2807" i="26"/>
  <c r="AC2807" i="26"/>
  <c r="AD2803" i="26"/>
  <c r="AC2803" i="26"/>
  <c r="AD2799" i="26"/>
  <c r="AC2799" i="26"/>
  <c r="AD2795" i="26"/>
  <c r="AC2795" i="26"/>
  <c r="AD2791" i="26"/>
  <c r="AC2791" i="26"/>
  <c r="AD2787" i="26"/>
  <c r="AC2787" i="26"/>
  <c r="AD2783" i="26"/>
  <c r="AC2783" i="26"/>
  <c r="AD2779" i="26"/>
  <c r="AC2779" i="26"/>
  <c r="AD2775" i="26"/>
  <c r="AC2775" i="26"/>
  <c r="AD2771" i="26"/>
  <c r="AC2771" i="26"/>
  <c r="AD2767" i="26"/>
  <c r="AC2767" i="26"/>
  <c r="AD2763" i="26"/>
  <c r="AC2763" i="26"/>
  <c r="AD2759" i="26"/>
  <c r="AC2759" i="26"/>
  <c r="AD2755" i="26"/>
  <c r="AC2755" i="26"/>
  <c r="AD2751" i="26"/>
  <c r="AC2751" i="26"/>
  <c r="AD2747" i="26"/>
  <c r="AC2747" i="26"/>
  <c r="AD2743" i="26"/>
  <c r="AC2743" i="26"/>
  <c r="AD2739" i="26"/>
  <c r="AC2739" i="26"/>
  <c r="AD2735" i="26"/>
  <c r="AC2735" i="26"/>
  <c r="AD2731" i="26"/>
  <c r="AC2731" i="26"/>
  <c r="AD2727" i="26"/>
  <c r="AC2727" i="26"/>
  <c r="AD2723" i="26"/>
  <c r="AC2723" i="26"/>
  <c r="AD2719" i="26"/>
  <c r="AC2719" i="26"/>
  <c r="AD2715" i="26"/>
  <c r="AC2715" i="26"/>
  <c r="AD2711" i="26"/>
  <c r="AC2711" i="26"/>
  <c r="AD2707" i="26"/>
  <c r="AC2707" i="26"/>
  <c r="AD2703" i="26"/>
  <c r="AC2703" i="26"/>
  <c r="AD2699" i="26"/>
  <c r="AC2699" i="26"/>
  <c r="AD2695" i="26"/>
  <c r="AC2695" i="26"/>
  <c r="AD2691" i="26"/>
  <c r="AC2691" i="26"/>
  <c r="AD2687" i="26"/>
  <c r="AC2687" i="26"/>
  <c r="AD2683" i="26"/>
  <c r="AC2683" i="26"/>
  <c r="AD2679" i="26"/>
  <c r="AC2679" i="26"/>
  <c r="AD2675" i="26"/>
  <c r="AC2675" i="26"/>
  <c r="AD2671" i="26"/>
  <c r="AC2671" i="26"/>
  <c r="AD2667" i="26"/>
  <c r="AC2667" i="26"/>
  <c r="AD2663" i="26"/>
  <c r="AC2663" i="26"/>
  <c r="AD2659" i="26"/>
  <c r="AC2659" i="26"/>
  <c r="AD2655" i="26"/>
  <c r="AC2655" i="26"/>
  <c r="AD2651" i="26"/>
  <c r="AC2651" i="26"/>
  <c r="AD2647" i="26"/>
  <c r="AC2647" i="26"/>
  <c r="AD2643" i="26"/>
  <c r="AC2643" i="26"/>
  <c r="AD2639" i="26"/>
  <c r="AC2639" i="26"/>
  <c r="AD2635" i="26"/>
  <c r="AC2635" i="26"/>
  <c r="AD2631" i="26"/>
  <c r="AC2631" i="26"/>
  <c r="AD2627" i="26"/>
  <c r="AC2627" i="26"/>
  <c r="AD2623" i="26"/>
  <c r="AC2623" i="26"/>
  <c r="AD2619" i="26"/>
  <c r="AC2619" i="26"/>
  <c r="AD2615" i="26"/>
  <c r="AC2615" i="26"/>
  <c r="AD2611" i="26"/>
  <c r="AC2611" i="26"/>
  <c r="AD2607" i="26"/>
  <c r="AC2607" i="26"/>
  <c r="AD2603" i="26"/>
  <c r="AC2603" i="26"/>
  <c r="AD2599" i="26"/>
  <c r="AC2599" i="26"/>
  <c r="AD2595" i="26"/>
  <c r="AC2595" i="26"/>
  <c r="AD2591" i="26"/>
  <c r="AC2591" i="26"/>
  <c r="AD2587" i="26"/>
  <c r="AC2587" i="26"/>
  <c r="AD2583" i="26"/>
  <c r="AC2583" i="26"/>
  <c r="AD2579" i="26"/>
  <c r="AC2579" i="26"/>
  <c r="AD2575" i="26"/>
  <c r="AC2575" i="26"/>
  <c r="AD2571" i="26"/>
  <c r="AC2571" i="26"/>
  <c r="AD2567" i="26"/>
  <c r="AC2567" i="26"/>
  <c r="AD2563" i="26"/>
  <c r="AC2563" i="26"/>
  <c r="AD2559" i="26"/>
  <c r="AC2559" i="26"/>
  <c r="AD2555" i="26"/>
  <c r="AC2555" i="26"/>
  <c r="AD2551" i="26"/>
  <c r="AC2551" i="26"/>
  <c r="AD2547" i="26"/>
  <c r="AC2547" i="26"/>
  <c r="AD2543" i="26"/>
  <c r="AC2543" i="26"/>
  <c r="AD2539" i="26"/>
  <c r="AC2539" i="26"/>
  <c r="AD2535" i="26"/>
  <c r="AC2535" i="26"/>
  <c r="AD2531" i="26"/>
  <c r="AC2531" i="26"/>
  <c r="AD2527" i="26"/>
  <c r="AC2527" i="26"/>
  <c r="AD2523" i="26"/>
  <c r="AC2523" i="26"/>
  <c r="AD2519" i="26"/>
  <c r="AC2519" i="26"/>
  <c r="AD2515" i="26"/>
  <c r="AC2515" i="26"/>
  <c r="AD2511" i="26"/>
  <c r="AC2511" i="26"/>
  <c r="AD2507" i="26"/>
  <c r="AC2507" i="26"/>
  <c r="AD2503" i="26"/>
  <c r="AC2503" i="26"/>
  <c r="AD2499" i="26"/>
  <c r="AC2499" i="26"/>
  <c r="AD2495" i="26"/>
  <c r="AC2495" i="26"/>
  <c r="AD2491" i="26"/>
  <c r="AC2491" i="26"/>
  <c r="AD2487" i="26"/>
  <c r="AC2487" i="26"/>
  <c r="AD2483" i="26"/>
  <c r="AC2483" i="26"/>
  <c r="AD2479" i="26"/>
  <c r="AC2479" i="26"/>
  <c r="AD2475" i="26"/>
  <c r="AC2475" i="26"/>
  <c r="AD2471" i="26"/>
  <c r="AC2471" i="26"/>
  <c r="AD2467" i="26"/>
  <c r="AC2467" i="26"/>
  <c r="AD2463" i="26"/>
  <c r="AC2463" i="26"/>
  <c r="AD2459" i="26"/>
  <c r="AC2459" i="26"/>
  <c r="AD2455" i="26"/>
  <c r="AC2455" i="26"/>
  <c r="AD2451" i="26"/>
  <c r="AC2451" i="26"/>
  <c r="AD2447" i="26"/>
  <c r="AC2447" i="26"/>
  <c r="AD2443" i="26"/>
  <c r="AC2443" i="26"/>
  <c r="AB2443" i="26"/>
  <c r="AD2439" i="26"/>
  <c r="AC2439" i="26"/>
  <c r="AB2439" i="26"/>
  <c r="AD2435" i="26"/>
  <c r="AC2435" i="26"/>
  <c r="AB2435" i="26"/>
  <c r="AD2431" i="26"/>
  <c r="AC2431" i="26"/>
  <c r="AB2431" i="26"/>
  <c r="AD2427" i="26"/>
  <c r="AC2427" i="26"/>
  <c r="AB2427" i="26"/>
  <c r="AD2423" i="26"/>
  <c r="AC2423" i="26"/>
  <c r="AB2423" i="26"/>
  <c r="AD2419" i="26"/>
  <c r="AC2419" i="26"/>
  <c r="AB2419" i="26"/>
  <c r="AD2415" i="26"/>
  <c r="AC2415" i="26"/>
  <c r="AB2415" i="26"/>
  <c r="AD2411" i="26"/>
  <c r="AC2411" i="26"/>
  <c r="AB2411" i="26"/>
  <c r="AD2407" i="26"/>
  <c r="AC2407" i="26"/>
  <c r="AB2407" i="26"/>
  <c r="AD2403" i="26"/>
  <c r="AC2403" i="26"/>
  <c r="AB2403" i="26"/>
  <c r="AD2399" i="26"/>
  <c r="AC2399" i="26"/>
  <c r="AB2399" i="26"/>
  <c r="AD2395" i="26"/>
  <c r="AC2395" i="26"/>
  <c r="AB2395" i="26"/>
  <c r="AD2391" i="26"/>
  <c r="AC2391" i="26"/>
  <c r="AB2391" i="26"/>
  <c r="AD2387" i="26"/>
  <c r="AC2387" i="26"/>
  <c r="AB2387" i="26"/>
  <c r="AD2383" i="26"/>
  <c r="AC2383" i="26"/>
  <c r="AB2383" i="26"/>
  <c r="AD2379" i="26"/>
  <c r="AC2379" i="26"/>
  <c r="AB2379" i="26"/>
  <c r="AD2375" i="26"/>
  <c r="AC2375" i="26"/>
  <c r="AB2375" i="26"/>
  <c r="AD2371" i="26"/>
  <c r="AC2371" i="26"/>
  <c r="AB2371" i="26"/>
  <c r="AD2367" i="26"/>
  <c r="AC2367" i="26"/>
  <c r="AB2367" i="26"/>
  <c r="AD2363" i="26"/>
  <c r="AC2363" i="26"/>
  <c r="AB2363" i="26"/>
  <c r="AD2359" i="26"/>
  <c r="AC2359" i="26"/>
  <c r="AB2359" i="26"/>
  <c r="AD2355" i="26"/>
  <c r="AC2355" i="26"/>
  <c r="AB2355" i="26"/>
  <c r="AD2351" i="26"/>
  <c r="AC2351" i="26"/>
  <c r="AB2351" i="26"/>
  <c r="AD2347" i="26"/>
  <c r="AC2347" i="26"/>
  <c r="AB2347" i="26"/>
  <c r="AD2343" i="26"/>
  <c r="AC2343" i="26"/>
  <c r="AB2343" i="26"/>
  <c r="AD2339" i="26"/>
  <c r="AC2339" i="26"/>
  <c r="AB2339" i="26"/>
  <c r="AD2335" i="26"/>
  <c r="AC2335" i="26"/>
  <c r="AB2335" i="26"/>
  <c r="AD2331" i="26"/>
  <c r="AC2331" i="26"/>
  <c r="AB2331" i="26"/>
  <c r="AD2327" i="26"/>
  <c r="AC2327" i="26"/>
  <c r="AB2327" i="26"/>
  <c r="AD2323" i="26"/>
  <c r="AC2323" i="26"/>
  <c r="AB2323" i="26"/>
  <c r="AD2319" i="26"/>
  <c r="AC2319" i="26"/>
  <c r="AB2319" i="26"/>
  <c r="AD2315" i="26"/>
  <c r="AC2315" i="26"/>
  <c r="AB2315" i="26"/>
  <c r="AD2311" i="26"/>
  <c r="AC2311" i="26"/>
  <c r="AB2311" i="26"/>
  <c r="AD2307" i="26"/>
  <c r="AC2307" i="26"/>
  <c r="AB2307" i="26"/>
  <c r="AD2303" i="26"/>
  <c r="AC2303" i="26"/>
  <c r="AB2303" i="26"/>
  <c r="AD2299" i="26"/>
  <c r="AC2299" i="26"/>
  <c r="AB2299" i="26"/>
  <c r="AD2295" i="26"/>
  <c r="AC2295" i="26"/>
  <c r="AB2295" i="26"/>
  <c r="AD2291" i="26"/>
  <c r="AC2291" i="26"/>
  <c r="AB2291" i="26"/>
  <c r="AD2287" i="26"/>
  <c r="AC2287" i="26"/>
  <c r="AB2287" i="26"/>
  <c r="AD2283" i="26"/>
  <c r="AC2283" i="26"/>
  <c r="AB2283" i="26"/>
  <c r="AD2279" i="26"/>
  <c r="AC2279" i="26"/>
  <c r="AB2279" i="26"/>
  <c r="AD2275" i="26"/>
  <c r="AC2275" i="26"/>
  <c r="AB2275" i="26"/>
  <c r="AD2271" i="26"/>
  <c r="AC2271" i="26"/>
  <c r="AB2271" i="26"/>
  <c r="AD2267" i="26"/>
  <c r="AC2267" i="26"/>
  <c r="AB2267" i="26"/>
  <c r="AD2263" i="26"/>
  <c r="AC2263" i="26"/>
  <c r="AB2263" i="26"/>
  <c r="AD2259" i="26"/>
  <c r="AC2259" i="26"/>
  <c r="AB2259" i="26"/>
  <c r="AD2255" i="26"/>
  <c r="AC2255" i="26"/>
  <c r="AB2255" i="26"/>
  <c r="AD2251" i="26"/>
  <c r="AC2251" i="26"/>
  <c r="AB2251" i="26"/>
  <c r="AD2247" i="26"/>
  <c r="AC2247" i="26"/>
  <c r="AB2247" i="26"/>
  <c r="AD2243" i="26"/>
  <c r="AC2243" i="26"/>
  <c r="AB2243" i="26"/>
  <c r="AD2239" i="26"/>
  <c r="AC2239" i="26"/>
  <c r="AB2239" i="26"/>
  <c r="AD2235" i="26"/>
  <c r="AC2235" i="26"/>
  <c r="AB2235" i="26"/>
  <c r="AD2231" i="26"/>
  <c r="AC2231" i="26"/>
  <c r="AB2231" i="26"/>
  <c r="AD2227" i="26"/>
  <c r="AC2227" i="26"/>
  <c r="AB2227" i="26"/>
  <c r="AD2223" i="26"/>
  <c r="AC2223" i="26"/>
  <c r="AB2223" i="26"/>
  <c r="AD2219" i="26"/>
  <c r="AC2219" i="26"/>
  <c r="AB2219" i="26"/>
  <c r="AD2215" i="26"/>
  <c r="AC2215" i="26"/>
  <c r="AB2215" i="26"/>
  <c r="AD2211" i="26"/>
  <c r="AC2211" i="26"/>
  <c r="AB2211" i="26"/>
  <c r="AD2207" i="26"/>
  <c r="AC2207" i="26"/>
  <c r="AB2207" i="26"/>
  <c r="AD2203" i="26"/>
  <c r="AC2203" i="26"/>
  <c r="AB2203" i="26"/>
  <c r="AD2199" i="26"/>
  <c r="AC2199" i="26"/>
  <c r="AB2199" i="26"/>
  <c r="AD2195" i="26"/>
  <c r="AC2195" i="26"/>
  <c r="AB2195" i="26"/>
  <c r="AD2191" i="26"/>
  <c r="AC2191" i="26"/>
  <c r="AB2191" i="26"/>
  <c r="AD2187" i="26"/>
  <c r="AC2187" i="26"/>
  <c r="AB2187" i="26"/>
  <c r="AD2183" i="26"/>
  <c r="AC2183" i="26"/>
  <c r="AB2183" i="26"/>
  <c r="AD2179" i="26"/>
  <c r="AC2179" i="26"/>
  <c r="AB2179" i="26"/>
  <c r="AD2175" i="26"/>
  <c r="AC2175" i="26"/>
  <c r="AB2175" i="26"/>
  <c r="AD2171" i="26"/>
  <c r="AC2171" i="26"/>
  <c r="AB2171" i="26"/>
  <c r="AD2167" i="26"/>
  <c r="AC2167" i="26"/>
  <c r="AB2167" i="26"/>
  <c r="AD2163" i="26"/>
  <c r="AC2163" i="26"/>
  <c r="AB2163" i="26"/>
  <c r="AD2159" i="26"/>
  <c r="AC2159" i="26"/>
  <c r="AB2159" i="26"/>
  <c r="AD2155" i="26"/>
  <c r="AC2155" i="26"/>
  <c r="AB2155" i="26"/>
  <c r="AD2151" i="26"/>
  <c r="AC2151" i="26"/>
  <c r="AB2151" i="26"/>
  <c r="AD2147" i="26"/>
  <c r="AC2147" i="26"/>
  <c r="AB2147" i="26"/>
  <c r="AD2143" i="26"/>
  <c r="AC2143" i="26"/>
  <c r="AB2143" i="26"/>
  <c r="AD2139" i="26"/>
  <c r="AC2139" i="26"/>
  <c r="AB2139" i="26"/>
  <c r="AD2135" i="26"/>
  <c r="AC2135" i="26"/>
  <c r="AB2135" i="26"/>
  <c r="AD2131" i="26"/>
  <c r="AC2131" i="26"/>
  <c r="AB2131" i="26"/>
  <c r="AD2127" i="26"/>
  <c r="AC2127" i="26"/>
  <c r="AB2127" i="26"/>
  <c r="AD2123" i="26"/>
  <c r="AC2123" i="26"/>
  <c r="AB2123" i="26"/>
  <c r="AD2119" i="26"/>
  <c r="AC2119" i="26"/>
  <c r="AB2119" i="26"/>
  <c r="AD2115" i="26"/>
  <c r="AC2115" i="26"/>
  <c r="AB2115" i="26"/>
  <c r="AD2111" i="26"/>
  <c r="AC2111" i="26"/>
  <c r="AB2111" i="26"/>
  <c r="AD2107" i="26"/>
  <c r="AC2107" i="26"/>
  <c r="AB2107" i="26"/>
  <c r="AD2103" i="26"/>
  <c r="AC2103" i="26"/>
  <c r="AB2103" i="26"/>
  <c r="AD2099" i="26"/>
  <c r="AC2099" i="26"/>
  <c r="AB2099" i="26"/>
  <c r="AD2095" i="26"/>
  <c r="AC2095" i="26"/>
  <c r="AB2095" i="26"/>
  <c r="AD2091" i="26"/>
  <c r="AC2091" i="26"/>
  <c r="AB2091" i="26"/>
  <c r="AD2087" i="26"/>
  <c r="AC2087" i="26"/>
  <c r="AB2087" i="26"/>
  <c r="AD2083" i="26"/>
  <c r="AC2083" i="26"/>
  <c r="AB2083" i="26"/>
  <c r="AD2079" i="26"/>
  <c r="AC2079" i="26"/>
  <c r="AB2079" i="26"/>
  <c r="AD2075" i="26"/>
  <c r="AC2075" i="26"/>
  <c r="AB2075" i="26"/>
  <c r="AD2071" i="26"/>
  <c r="AC2071" i="26"/>
  <c r="AB2071" i="26"/>
  <c r="AD2067" i="26"/>
  <c r="AC2067" i="26"/>
  <c r="AB2067" i="26"/>
  <c r="AD2063" i="26"/>
  <c r="AC2063" i="26"/>
  <c r="AB2063" i="26"/>
  <c r="AD2059" i="26"/>
  <c r="AC2059" i="26"/>
  <c r="AB2059" i="26"/>
  <c r="AD2055" i="26"/>
  <c r="AC2055" i="26"/>
  <c r="AB2055" i="26"/>
  <c r="AD2051" i="26"/>
  <c r="AC2051" i="26"/>
  <c r="AB2051" i="26"/>
  <c r="AD2047" i="26"/>
  <c r="AC2047" i="26"/>
  <c r="AB2047" i="26"/>
  <c r="AD2043" i="26"/>
  <c r="AC2043" i="26"/>
  <c r="AB2043" i="26"/>
  <c r="AD2039" i="26"/>
  <c r="AC2039" i="26"/>
  <c r="AB2039" i="26"/>
  <c r="AD2035" i="26"/>
  <c r="AC2035" i="26"/>
  <c r="AB2035" i="26"/>
  <c r="AD2031" i="26"/>
  <c r="AC2031" i="26"/>
  <c r="AB2031" i="26"/>
  <c r="AD2027" i="26"/>
  <c r="AC2027" i="26"/>
  <c r="AB2027" i="26"/>
  <c r="AD2023" i="26"/>
  <c r="AC2023" i="26"/>
  <c r="AB2023" i="26"/>
  <c r="AD2019" i="26"/>
  <c r="AC2019" i="26"/>
  <c r="AB2019" i="26"/>
  <c r="AD2015" i="26"/>
  <c r="AC2015" i="26"/>
  <c r="AB2015" i="26"/>
  <c r="AD2011" i="26"/>
  <c r="AC2011" i="26"/>
  <c r="AB2011" i="26"/>
  <c r="AD2007" i="26"/>
  <c r="AC2007" i="26"/>
  <c r="AB2007" i="26"/>
  <c r="AD2003" i="26"/>
  <c r="AC2003" i="26"/>
  <c r="AB2003" i="26"/>
  <c r="AD1999" i="26"/>
  <c r="AC1999" i="26"/>
  <c r="AB1999" i="26"/>
  <c r="AD1995" i="26"/>
  <c r="AC1995" i="26"/>
  <c r="AB1995" i="26"/>
  <c r="AD1991" i="26"/>
  <c r="AC1991" i="26"/>
  <c r="AB1991" i="26"/>
  <c r="AD1987" i="26"/>
  <c r="AC1987" i="26"/>
  <c r="AB1987" i="26"/>
  <c r="AD1983" i="26"/>
  <c r="AC1983" i="26"/>
  <c r="AB1983" i="26"/>
  <c r="AD1979" i="26"/>
  <c r="AC1979" i="26"/>
  <c r="AB1979" i="26"/>
  <c r="AD1975" i="26"/>
  <c r="AC1975" i="26"/>
  <c r="AB1975" i="26"/>
  <c r="AD1971" i="26"/>
  <c r="AC1971" i="26"/>
  <c r="AB1971" i="26"/>
  <c r="AD1967" i="26"/>
  <c r="AC1967" i="26"/>
  <c r="AB1967" i="26"/>
  <c r="AD1963" i="26"/>
  <c r="AC1963" i="26"/>
  <c r="AB1963" i="26"/>
  <c r="AD1959" i="26"/>
  <c r="AC1959" i="26"/>
  <c r="AB1959" i="26"/>
  <c r="AD1955" i="26"/>
  <c r="AC1955" i="26"/>
  <c r="AB1955" i="26"/>
  <c r="AD1951" i="26"/>
  <c r="AC1951" i="26"/>
  <c r="AB1951" i="26"/>
  <c r="AD1947" i="26"/>
  <c r="AC1947" i="26"/>
  <c r="AB1947" i="26"/>
  <c r="AD1943" i="26"/>
  <c r="AC1943" i="26"/>
  <c r="AB1943" i="26"/>
  <c r="AD1939" i="26"/>
  <c r="AC1939" i="26"/>
  <c r="AB1939" i="26"/>
  <c r="AD1935" i="26"/>
  <c r="AC1935" i="26"/>
  <c r="AB1935" i="26"/>
  <c r="AD1931" i="26"/>
  <c r="AC1931" i="26"/>
  <c r="AB1931" i="26"/>
  <c r="AD1927" i="26"/>
  <c r="AC1927" i="26"/>
  <c r="AB1927" i="26"/>
  <c r="AD1923" i="26"/>
  <c r="AC1923" i="26"/>
  <c r="AB1923" i="26"/>
  <c r="AD1919" i="26"/>
  <c r="AC1919" i="26"/>
  <c r="AB1919" i="26"/>
  <c r="AD1915" i="26"/>
  <c r="AC1915" i="26"/>
  <c r="AB1915" i="26"/>
  <c r="AD1911" i="26"/>
  <c r="AC1911" i="26"/>
  <c r="AB1911" i="26"/>
  <c r="AD1907" i="26"/>
  <c r="AC1907" i="26"/>
  <c r="AB1907" i="26"/>
  <c r="AD1903" i="26"/>
  <c r="AC1903" i="26"/>
  <c r="AB1903" i="26"/>
  <c r="AD1899" i="26"/>
  <c r="AC1899" i="26"/>
  <c r="AB1899" i="26"/>
  <c r="AD1895" i="26"/>
  <c r="AC1895" i="26"/>
  <c r="AB1895" i="26"/>
  <c r="AD1891" i="26"/>
  <c r="AC1891" i="26"/>
  <c r="AB1891" i="26"/>
  <c r="AD1887" i="26"/>
  <c r="AC1887" i="26"/>
  <c r="AB1887" i="26"/>
  <c r="AD1883" i="26"/>
  <c r="AC1883" i="26"/>
  <c r="AB1883" i="26"/>
  <c r="AD1879" i="26"/>
  <c r="AC1879" i="26"/>
  <c r="AB1879" i="26"/>
  <c r="AD1875" i="26"/>
  <c r="AC1875" i="26"/>
  <c r="AB1875" i="26"/>
  <c r="AD1871" i="26"/>
  <c r="AC1871" i="26"/>
  <c r="AB1871" i="26"/>
  <c r="AD1867" i="26"/>
  <c r="AC1867" i="26"/>
  <c r="AB1867" i="26"/>
  <c r="AD1863" i="26"/>
  <c r="AC1863" i="26"/>
  <c r="AB1863" i="26"/>
  <c r="AD1859" i="26"/>
  <c r="AC1859" i="26"/>
  <c r="AB1859" i="26"/>
  <c r="AD1855" i="26"/>
  <c r="AC1855" i="26"/>
  <c r="AB1855" i="26"/>
  <c r="AD1851" i="26"/>
  <c r="AC1851" i="26"/>
  <c r="AB1851" i="26"/>
  <c r="AD1847" i="26"/>
  <c r="AC1847" i="26"/>
  <c r="AB1847" i="26"/>
  <c r="AD1843" i="26"/>
  <c r="AC1843" i="26"/>
  <c r="AB1843" i="26"/>
  <c r="AD1839" i="26"/>
  <c r="AC1839" i="26"/>
  <c r="AB1839" i="26"/>
  <c r="AD1835" i="26"/>
  <c r="AC1835" i="26"/>
  <c r="AB1835" i="26"/>
  <c r="AD1831" i="26"/>
  <c r="AC1831" i="26"/>
  <c r="AB1831" i="26"/>
  <c r="AD1827" i="26"/>
  <c r="AC1827" i="26"/>
  <c r="AB1827" i="26"/>
  <c r="AD1823" i="26"/>
  <c r="AC1823" i="26"/>
  <c r="AB1823" i="26"/>
  <c r="AD1819" i="26"/>
  <c r="AC1819" i="26"/>
  <c r="AB1819" i="26"/>
  <c r="AD1815" i="26"/>
  <c r="AC1815" i="26"/>
  <c r="AB1815" i="26"/>
  <c r="AD1811" i="26"/>
  <c r="AC1811" i="26"/>
  <c r="AB1811" i="26"/>
  <c r="AD1807" i="26"/>
  <c r="AC1807" i="26"/>
  <c r="AB1807" i="26"/>
  <c r="AD1803" i="26"/>
  <c r="AC1803" i="26"/>
  <c r="AB1803" i="26"/>
  <c r="AD1799" i="26"/>
  <c r="AC1799" i="26"/>
  <c r="AB1799" i="26"/>
  <c r="AD1795" i="26"/>
  <c r="AC1795" i="26"/>
  <c r="AB1795" i="26"/>
  <c r="AD1791" i="26"/>
  <c r="AC1791" i="26"/>
  <c r="AB1791" i="26"/>
  <c r="AD1787" i="26"/>
  <c r="AC1787" i="26"/>
  <c r="AB1787" i="26"/>
  <c r="AD1783" i="26"/>
  <c r="AC1783" i="26"/>
  <c r="AB1783" i="26"/>
  <c r="AD1779" i="26"/>
  <c r="AC1779" i="26"/>
  <c r="AB1779" i="26"/>
  <c r="AD1775" i="26"/>
  <c r="AC1775" i="26"/>
  <c r="AB1775" i="26"/>
  <c r="AD1771" i="26"/>
  <c r="AC1771" i="26"/>
  <c r="AB1771" i="26"/>
  <c r="AD1767" i="26"/>
  <c r="AC1767" i="26"/>
  <c r="AB1767" i="26"/>
  <c r="AD1763" i="26"/>
  <c r="AC1763" i="26"/>
  <c r="AB1763" i="26"/>
  <c r="AD1759" i="26"/>
  <c r="AC1759" i="26"/>
  <c r="AB1759" i="26"/>
  <c r="AD1755" i="26"/>
  <c r="AC1755" i="26"/>
  <c r="AB1755" i="26"/>
  <c r="AD1751" i="26"/>
  <c r="AC1751" i="26"/>
  <c r="AB1751" i="26"/>
  <c r="AD1747" i="26"/>
  <c r="AC1747" i="26"/>
  <c r="AB1747" i="26"/>
  <c r="AD1743" i="26"/>
  <c r="AC1743" i="26"/>
  <c r="AB1743" i="26"/>
  <c r="AD1739" i="26"/>
  <c r="AC1739" i="26"/>
  <c r="AB1739" i="26"/>
  <c r="AD1735" i="26"/>
  <c r="AC1735" i="26"/>
  <c r="AB1735" i="26"/>
  <c r="AD1731" i="26"/>
  <c r="AC1731" i="26"/>
  <c r="AB1731" i="26"/>
  <c r="AD1727" i="26"/>
  <c r="AC1727" i="26"/>
  <c r="AB1727" i="26"/>
  <c r="AD1723" i="26"/>
  <c r="AC1723" i="26"/>
  <c r="AB1723" i="26"/>
  <c r="AD1719" i="26"/>
  <c r="AC1719" i="26"/>
  <c r="AB1719" i="26"/>
  <c r="AD1715" i="26"/>
  <c r="AC1715" i="26"/>
  <c r="AB1715" i="26"/>
  <c r="AD1711" i="26"/>
  <c r="AC1711" i="26"/>
  <c r="AB1711" i="26"/>
  <c r="AD1707" i="26"/>
  <c r="AC1707" i="26"/>
  <c r="AB1707" i="26"/>
  <c r="AD1703" i="26"/>
  <c r="AC1703" i="26"/>
  <c r="AB1703" i="26"/>
  <c r="AD1699" i="26"/>
  <c r="AC1699" i="26"/>
  <c r="AB1699" i="26"/>
  <c r="AD1695" i="26"/>
  <c r="AC1695" i="26"/>
  <c r="AB1695" i="26"/>
  <c r="AD1691" i="26"/>
  <c r="AC1691" i="26"/>
  <c r="AB1691" i="26"/>
  <c r="AD1687" i="26"/>
  <c r="AC1687" i="26"/>
  <c r="AB1687" i="26"/>
  <c r="AD1683" i="26"/>
  <c r="AC1683" i="26"/>
  <c r="AB1683" i="26"/>
  <c r="AD1679" i="26"/>
  <c r="AC1679" i="26"/>
  <c r="AB1679" i="26"/>
  <c r="AD1675" i="26"/>
  <c r="AC1675" i="26"/>
  <c r="AB1675" i="26"/>
  <c r="AD1671" i="26"/>
  <c r="AC1671" i="26"/>
  <c r="AB1671" i="26"/>
  <c r="AD1667" i="26"/>
  <c r="AC1667" i="26"/>
  <c r="AB1667" i="26"/>
  <c r="AD1663" i="26"/>
  <c r="AC1663" i="26"/>
  <c r="AB1663" i="26"/>
  <c r="AD1659" i="26"/>
  <c r="AC1659" i="26"/>
  <c r="AB1659" i="26"/>
  <c r="AD1655" i="26"/>
  <c r="AC1655" i="26"/>
  <c r="AB1655" i="26"/>
  <c r="AD1651" i="26"/>
  <c r="AC1651" i="26"/>
  <c r="AB1651" i="26"/>
  <c r="AD1647" i="26"/>
  <c r="AC1647" i="26"/>
  <c r="AB1647" i="26"/>
  <c r="AD1643" i="26"/>
  <c r="AC1643" i="26"/>
  <c r="AB1643" i="26"/>
  <c r="AD1639" i="26"/>
  <c r="AC1639" i="26"/>
  <c r="AB1639" i="26"/>
  <c r="AD1635" i="26"/>
  <c r="AC1635" i="26"/>
  <c r="AB1635" i="26"/>
  <c r="AD1631" i="26"/>
  <c r="AC1631" i="26"/>
  <c r="AB1631" i="26"/>
  <c r="AD1627" i="26"/>
  <c r="AC1627" i="26"/>
  <c r="AB1627" i="26"/>
  <c r="AD1623" i="26"/>
  <c r="AC1623" i="26"/>
  <c r="AB1623" i="26"/>
  <c r="AD1619" i="26"/>
  <c r="AC1619" i="26"/>
  <c r="AB1619" i="26"/>
  <c r="AD1615" i="26"/>
  <c r="AC1615" i="26"/>
  <c r="AB1615" i="26"/>
  <c r="AD1611" i="26"/>
  <c r="AC1611" i="26"/>
  <c r="AB1611" i="26"/>
  <c r="AD1607" i="26"/>
  <c r="AC1607" i="26"/>
  <c r="AB1607" i="26"/>
  <c r="AD1603" i="26"/>
  <c r="AC1603" i="26"/>
  <c r="AB1603" i="26"/>
  <c r="AD1599" i="26"/>
  <c r="AC1599" i="26"/>
  <c r="AB1599" i="26"/>
  <c r="AD1595" i="26"/>
  <c r="AC1595" i="26"/>
  <c r="AB1595" i="26"/>
  <c r="AD1591" i="26"/>
  <c r="AC1591" i="26"/>
  <c r="AB1591" i="26"/>
  <c r="AD1587" i="26"/>
  <c r="AC1587" i="26"/>
  <c r="AB1587" i="26"/>
  <c r="AD1583" i="26"/>
  <c r="AC1583" i="26"/>
  <c r="AB1583" i="26"/>
  <c r="AD1579" i="26"/>
  <c r="AC1579" i="26"/>
  <c r="AB1579" i="26"/>
  <c r="AD1575" i="26"/>
  <c r="AC1575" i="26"/>
  <c r="AB1575" i="26"/>
  <c r="AD1571" i="26"/>
  <c r="AC1571" i="26"/>
  <c r="AB1571" i="26"/>
  <c r="AD1567" i="26"/>
  <c r="AC1567" i="26"/>
  <c r="AB1567" i="26"/>
  <c r="AD1563" i="26"/>
  <c r="AC1563" i="26"/>
  <c r="AB1563" i="26"/>
  <c r="AD1559" i="26"/>
  <c r="AC1559" i="26"/>
  <c r="AB1559" i="26"/>
  <c r="AD1555" i="26"/>
  <c r="AC1555" i="26"/>
  <c r="AB1555" i="26"/>
  <c r="AD1551" i="26"/>
  <c r="AC1551" i="26"/>
  <c r="AB1551" i="26"/>
  <c r="AD1547" i="26"/>
  <c r="AC1547" i="26"/>
  <c r="AB1547" i="26"/>
  <c r="AD1543" i="26"/>
  <c r="AC1543" i="26"/>
  <c r="AB1543" i="26"/>
  <c r="AD1539" i="26"/>
  <c r="AC1539" i="26"/>
  <c r="AB1539" i="26"/>
  <c r="AD1535" i="26"/>
  <c r="AC1535" i="26"/>
  <c r="AB1535" i="26"/>
  <c r="AD1531" i="26"/>
  <c r="AC1531" i="26"/>
  <c r="AB1531" i="26"/>
  <c r="AD1527" i="26"/>
  <c r="AC1527" i="26"/>
  <c r="AB1527" i="26"/>
  <c r="AD1523" i="26"/>
  <c r="AC1523" i="26"/>
  <c r="AB1523" i="26"/>
  <c r="AD1519" i="26"/>
  <c r="AC1519" i="26"/>
  <c r="AB1519" i="26"/>
  <c r="AD1515" i="26"/>
  <c r="AC1515" i="26"/>
  <c r="AB1515" i="26"/>
  <c r="AD1511" i="26"/>
  <c r="AC1511" i="26"/>
  <c r="AB1511" i="26"/>
  <c r="AD1507" i="26"/>
  <c r="AC1507" i="26"/>
  <c r="AB1507" i="26"/>
  <c r="AD1503" i="26"/>
  <c r="AC1503" i="26"/>
  <c r="AB1503" i="26"/>
  <c r="AD1499" i="26"/>
  <c r="AC1499" i="26"/>
  <c r="AB1499" i="26"/>
  <c r="AD1495" i="26"/>
  <c r="AC1495" i="26"/>
  <c r="AB1495" i="26"/>
  <c r="AD1491" i="26"/>
  <c r="AC1491" i="26"/>
  <c r="AB1491" i="26"/>
  <c r="AD1487" i="26"/>
  <c r="AC1487" i="26"/>
  <c r="AB1487" i="26"/>
  <c r="AD1483" i="26"/>
  <c r="AC1483" i="26"/>
  <c r="AB1483" i="26"/>
  <c r="AD1479" i="26"/>
  <c r="AC1479" i="26"/>
  <c r="AB1479" i="26"/>
  <c r="AD1475" i="26"/>
  <c r="AC1475" i="26"/>
  <c r="AB1475" i="26"/>
  <c r="AD1471" i="26"/>
  <c r="AC1471" i="26"/>
  <c r="AB1471" i="26"/>
  <c r="AD1467" i="26"/>
  <c r="AC1467" i="26"/>
  <c r="AB1467" i="26"/>
  <c r="AD1463" i="26"/>
  <c r="AC1463" i="26"/>
  <c r="AB1463" i="26"/>
  <c r="AD1459" i="26"/>
  <c r="AC1459" i="26"/>
  <c r="AB1459" i="26"/>
  <c r="AD1455" i="26"/>
  <c r="AC1455" i="26"/>
  <c r="AB1455" i="26"/>
  <c r="AD1451" i="26"/>
  <c r="AC1451" i="26"/>
  <c r="AB1451" i="26"/>
  <c r="AD1447" i="26"/>
  <c r="AC1447" i="26"/>
  <c r="AB1447" i="26"/>
  <c r="AD1443" i="26"/>
  <c r="AC1443" i="26"/>
  <c r="AB1443" i="26"/>
  <c r="AD1439" i="26"/>
  <c r="AC1439" i="26"/>
  <c r="AB1439" i="26"/>
  <c r="AD1435" i="26"/>
  <c r="AC1435" i="26"/>
  <c r="AB1435" i="26"/>
  <c r="AD1431" i="26"/>
  <c r="AC1431" i="26"/>
  <c r="AB1431" i="26"/>
  <c r="AD1427" i="26"/>
  <c r="AC1427" i="26"/>
  <c r="AB1427" i="26"/>
  <c r="AD1423" i="26"/>
  <c r="AC1423" i="26"/>
  <c r="AB1423" i="26"/>
  <c r="AD1419" i="26"/>
  <c r="AC1419" i="26"/>
  <c r="AB1419" i="26"/>
  <c r="AD1415" i="26"/>
  <c r="AC1415" i="26"/>
  <c r="AB1415" i="26"/>
  <c r="AD1411" i="26"/>
  <c r="AC1411" i="26"/>
  <c r="AB1411" i="26"/>
  <c r="AD1407" i="26"/>
  <c r="AC1407" i="26"/>
  <c r="AB1407" i="26"/>
  <c r="AD1403" i="26"/>
  <c r="AC1403" i="26"/>
  <c r="AB1403" i="26"/>
  <c r="AD1399" i="26"/>
  <c r="AC1399" i="26"/>
  <c r="AB1399" i="26"/>
  <c r="AD1395" i="26"/>
  <c r="AC1395" i="26"/>
  <c r="AB1395" i="26"/>
  <c r="AD1391" i="26"/>
  <c r="AC1391" i="26"/>
  <c r="AB1391" i="26"/>
  <c r="AD1387" i="26"/>
  <c r="AC1387" i="26"/>
  <c r="AB1387" i="26"/>
  <c r="AD1383" i="26"/>
  <c r="AC1383" i="26"/>
  <c r="AB1383" i="26"/>
  <c r="AD1379" i="26"/>
  <c r="AC1379" i="26"/>
  <c r="AB1379" i="26"/>
  <c r="AD1375" i="26"/>
  <c r="AC1375" i="26"/>
  <c r="AB1375" i="26"/>
  <c r="AD1371" i="26"/>
  <c r="AC1371" i="26"/>
  <c r="AB1371" i="26"/>
  <c r="AD1367" i="26"/>
  <c r="AC1367" i="26"/>
  <c r="AB1367" i="26"/>
  <c r="AD1363" i="26"/>
  <c r="AC1363" i="26"/>
  <c r="AB1363" i="26"/>
  <c r="AD1359" i="26"/>
  <c r="AC1359" i="26"/>
  <c r="AB1359" i="26"/>
  <c r="AD1355" i="26"/>
  <c r="AC1355" i="26"/>
  <c r="AB1355" i="26"/>
  <c r="AD1351" i="26"/>
  <c r="AC1351" i="26"/>
  <c r="AB1351" i="26"/>
  <c r="AD1347" i="26"/>
  <c r="AC1347" i="26"/>
  <c r="AB1347" i="26"/>
  <c r="AD1343" i="26"/>
  <c r="AC1343" i="26"/>
  <c r="AB1343" i="26"/>
  <c r="AD1339" i="26"/>
  <c r="AC1339" i="26"/>
  <c r="AB1339" i="26"/>
  <c r="AD1335" i="26"/>
  <c r="AC1335" i="26"/>
  <c r="AB1335" i="26"/>
  <c r="AD1331" i="26"/>
  <c r="AC1331" i="26"/>
  <c r="AB1331" i="26"/>
  <c r="AD1327" i="26"/>
  <c r="AC1327" i="26"/>
  <c r="AB1327" i="26"/>
  <c r="AD1323" i="26"/>
  <c r="AC1323" i="26"/>
  <c r="AB1323" i="26"/>
  <c r="AD1319" i="26"/>
  <c r="AC1319" i="26"/>
  <c r="AB1319" i="26"/>
  <c r="AD1315" i="26"/>
  <c r="AC1315" i="26"/>
  <c r="AB1315" i="26"/>
  <c r="AD1311" i="26"/>
  <c r="AC1311" i="26"/>
  <c r="AB1311" i="26"/>
  <c r="AD1307" i="26"/>
  <c r="AC1307" i="26"/>
  <c r="AB1307" i="26"/>
  <c r="AD1303" i="26"/>
  <c r="AC1303" i="26"/>
  <c r="AB1303" i="26"/>
  <c r="AD1299" i="26"/>
  <c r="AC1299" i="26"/>
  <c r="AB1299" i="26"/>
  <c r="AD1295" i="26"/>
  <c r="AC1295" i="26"/>
  <c r="AB1295" i="26"/>
  <c r="AD1291" i="26"/>
  <c r="AC1291" i="26"/>
  <c r="AB1291" i="26"/>
  <c r="AD1287" i="26"/>
  <c r="AC1287" i="26"/>
  <c r="AB1287" i="26"/>
  <c r="AD1283" i="26"/>
  <c r="AC1283" i="26"/>
  <c r="AB1283" i="26"/>
  <c r="AD1279" i="26"/>
  <c r="AC1279" i="26"/>
  <c r="AB1279" i="26"/>
  <c r="AD1275" i="26"/>
  <c r="AC1275" i="26"/>
  <c r="AB1275" i="26"/>
  <c r="AD1271" i="26"/>
  <c r="AC1271" i="26"/>
  <c r="AB1271" i="26"/>
  <c r="AD1267" i="26"/>
  <c r="AC1267" i="26"/>
  <c r="AB1267" i="26"/>
  <c r="AD1263" i="26"/>
  <c r="AC1263" i="26"/>
  <c r="AB1263" i="26"/>
  <c r="AD1259" i="26"/>
  <c r="AC1259" i="26"/>
  <c r="AB1259" i="26"/>
  <c r="AD1255" i="26"/>
  <c r="AC1255" i="26"/>
  <c r="AB1255" i="26"/>
  <c r="AD1251" i="26"/>
  <c r="AC1251" i="26"/>
  <c r="AB1251" i="26"/>
  <c r="AD1247" i="26"/>
  <c r="AC1247" i="26"/>
  <c r="AB1247" i="26"/>
  <c r="AD1243" i="26"/>
  <c r="AC1243" i="26"/>
  <c r="AB1243" i="26"/>
  <c r="AD1239" i="26"/>
  <c r="AC1239" i="26"/>
  <c r="AB1239" i="26"/>
  <c r="AD1235" i="26"/>
  <c r="AC1235" i="26"/>
  <c r="AB1235" i="26"/>
  <c r="AD1231" i="26"/>
  <c r="AC1231" i="26"/>
  <c r="AB1231" i="26"/>
  <c r="AD1227" i="26"/>
  <c r="AC1227" i="26"/>
  <c r="AB1227" i="26"/>
  <c r="AD1223" i="26"/>
  <c r="AC1223" i="26"/>
  <c r="AB1223" i="26"/>
  <c r="AD1219" i="26"/>
  <c r="AC1219" i="26"/>
  <c r="AB1219" i="26"/>
  <c r="AD1215" i="26"/>
  <c r="AC1215" i="26"/>
  <c r="AB1215" i="26"/>
  <c r="AD1211" i="26"/>
  <c r="AC1211" i="26"/>
  <c r="AB1211" i="26"/>
  <c r="AD1207" i="26"/>
  <c r="AC1207" i="26"/>
  <c r="AB1207" i="26"/>
  <c r="AD1203" i="26"/>
  <c r="AC1203" i="26"/>
  <c r="AB1203" i="26"/>
  <c r="AD1199" i="26"/>
  <c r="AC1199" i="26"/>
  <c r="AB1199" i="26"/>
  <c r="AD1195" i="26"/>
  <c r="AC1195" i="26"/>
  <c r="AB1195" i="26"/>
  <c r="AD1191" i="26"/>
  <c r="AC1191" i="26"/>
  <c r="AB1191" i="26"/>
  <c r="AD1187" i="26"/>
  <c r="AC1187" i="26"/>
  <c r="AB1187" i="26"/>
  <c r="AD1183" i="26"/>
  <c r="AC1183" i="26"/>
  <c r="AB1183" i="26"/>
  <c r="AD1179" i="26"/>
  <c r="AC1179" i="26"/>
  <c r="AB1179" i="26"/>
  <c r="AD1175" i="26"/>
  <c r="AC1175" i="26"/>
  <c r="AB1175" i="26"/>
  <c r="AD1171" i="26"/>
  <c r="AC1171" i="26"/>
  <c r="AB1171" i="26"/>
  <c r="AD1167" i="26"/>
  <c r="AC1167" i="26"/>
  <c r="AB1167" i="26"/>
  <c r="AD1163" i="26"/>
  <c r="AC1163" i="26"/>
  <c r="AB1163" i="26"/>
  <c r="AD1159" i="26"/>
  <c r="AC1159" i="26"/>
  <c r="AB1159" i="26"/>
  <c r="AD1155" i="26"/>
  <c r="AC1155" i="26"/>
  <c r="AB1155" i="26"/>
  <c r="AD1151" i="26"/>
  <c r="AC1151" i="26"/>
  <c r="AB1151" i="26"/>
  <c r="AD1147" i="26"/>
  <c r="AC1147" i="26"/>
  <c r="AB1147" i="26"/>
  <c r="AD1143" i="26"/>
  <c r="AC1143" i="26"/>
  <c r="AB1143" i="26"/>
  <c r="AD1139" i="26"/>
  <c r="AC1139" i="26"/>
  <c r="AB1139" i="26"/>
  <c r="AD1135" i="26"/>
  <c r="AC1135" i="26"/>
  <c r="AB1135" i="26"/>
  <c r="AD1131" i="26"/>
  <c r="AC1131" i="26"/>
  <c r="AB1131" i="26"/>
  <c r="AD1127" i="26"/>
  <c r="AC1127" i="26"/>
  <c r="AB1127" i="26"/>
  <c r="AD1123" i="26"/>
  <c r="AC1123" i="26"/>
  <c r="AB1123" i="26"/>
  <c r="AD1119" i="26"/>
  <c r="AC1119" i="26"/>
  <c r="AB1119" i="26"/>
  <c r="AD1115" i="26"/>
  <c r="AC1115" i="26"/>
  <c r="AB1115" i="26"/>
  <c r="AD1111" i="26"/>
  <c r="AC1111" i="26"/>
  <c r="AB1111" i="26"/>
  <c r="AD1107" i="26"/>
  <c r="AC1107" i="26"/>
  <c r="AB1107" i="26"/>
  <c r="AD1103" i="26"/>
  <c r="AC1103" i="26"/>
  <c r="AB1103" i="26"/>
  <c r="AD1099" i="26"/>
  <c r="AC1099" i="26"/>
  <c r="AB1099" i="26"/>
  <c r="AD1095" i="26"/>
  <c r="AC1095" i="26"/>
  <c r="AB1095" i="26"/>
  <c r="AD1091" i="26"/>
  <c r="AC1091" i="26"/>
  <c r="AB1091" i="26"/>
  <c r="AD1087" i="26"/>
  <c r="AC1087" i="26"/>
  <c r="AB1087" i="26"/>
  <c r="AD1083" i="26"/>
  <c r="AC1083" i="26"/>
  <c r="AB1083" i="26"/>
  <c r="AD1079" i="26"/>
  <c r="AC1079" i="26"/>
  <c r="AB1079" i="26"/>
  <c r="AD1075" i="26"/>
  <c r="AC1075" i="26"/>
  <c r="AB1075" i="26"/>
  <c r="AD1071" i="26"/>
  <c r="AC1071" i="26"/>
  <c r="AB1071" i="26"/>
  <c r="AD1067" i="26"/>
  <c r="AC1067" i="26"/>
  <c r="AB1067" i="26"/>
  <c r="AD1063" i="26"/>
  <c r="AC1063" i="26"/>
  <c r="AB1063" i="26"/>
  <c r="AD1059" i="26"/>
  <c r="AC1059" i="26"/>
  <c r="AB1059" i="26"/>
  <c r="AD1055" i="26"/>
  <c r="AC1055" i="26"/>
  <c r="AB1055" i="26"/>
  <c r="AD1051" i="26"/>
  <c r="AC1051" i="26"/>
  <c r="AB1051" i="26"/>
  <c r="AD1047" i="26"/>
  <c r="AC1047" i="26"/>
  <c r="AB1047" i="26"/>
  <c r="AD1043" i="26"/>
  <c r="AC1043" i="26"/>
  <c r="AB1043" i="26"/>
  <c r="AD1039" i="26"/>
  <c r="AC1039" i="26"/>
  <c r="AB1039" i="26"/>
  <c r="AD1035" i="26"/>
  <c r="AC1035" i="26"/>
  <c r="AB1035" i="26"/>
  <c r="AD1031" i="26"/>
  <c r="AC1031" i="26"/>
  <c r="AB1031" i="26"/>
  <c r="AD1027" i="26"/>
  <c r="AC1027" i="26"/>
  <c r="AB1027" i="26"/>
  <c r="AD1023" i="26"/>
  <c r="AC1023" i="26"/>
  <c r="AB1023" i="26"/>
  <c r="AD1019" i="26"/>
  <c r="AC1019" i="26"/>
  <c r="AB1019" i="26"/>
  <c r="AD1015" i="26"/>
  <c r="AC1015" i="26"/>
  <c r="AB1015" i="26"/>
  <c r="AD1011" i="26"/>
  <c r="AC1011" i="26"/>
  <c r="AB1011" i="26"/>
  <c r="AD1007" i="26"/>
  <c r="AC1007" i="26"/>
  <c r="AB1007" i="26"/>
  <c r="AD1003" i="26"/>
  <c r="AC1003" i="26"/>
  <c r="AB1003" i="26"/>
  <c r="AD999" i="26"/>
  <c r="AC999" i="26"/>
  <c r="AB999" i="26"/>
  <c r="AD995" i="26"/>
  <c r="AC995" i="26"/>
  <c r="AB995" i="26"/>
  <c r="AD991" i="26"/>
  <c r="AC991" i="26"/>
  <c r="AB991" i="26"/>
  <c r="AD987" i="26"/>
  <c r="AC987" i="26"/>
  <c r="AB987" i="26"/>
  <c r="AD983" i="26"/>
  <c r="AC983" i="26"/>
  <c r="AB983" i="26"/>
  <c r="AD979" i="26"/>
  <c r="AC979" i="26"/>
  <c r="AB979" i="26"/>
  <c r="AD975" i="26"/>
  <c r="AC975" i="26"/>
  <c r="AB975" i="26"/>
  <c r="AD971" i="26"/>
  <c r="AC971" i="26"/>
  <c r="AB971" i="26"/>
  <c r="AD967" i="26"/>
  <c r="AC967" i="26"/>
  <c r="AB967" i="26"/>
  <c r="AD963" i="26"/>
  <c r="AC963" i="26"/>
  <c r="AB963" i="26"/>
  <c r="AD959" i="26"/>
  <c r="AC959" i="26"/>
  <c r="AB959" i="26"/>
  <c r="AD955" i="26"/>
  <c r="AC955" i="26"/>
  <c r="AB955" i="26"/>
  <c r="AD951" i="26"/>
  <c r="AC951" i="26"/>
  <c r="AB951" i="26"/>
  <c r="AD947" i="26"/>
  <c r="AC947" i="26"/>
  <c r="AB947" i="26"/>
  <c r="AD943" i="26"/>
  <c r="AC943" i="26"/>
  <c r="AB943" i="26"/>
  <c r="AD939" i="26"/>
  <c r="AC939" i="26"/>
  <c r="AB939" i="26"/>
  <c r="AD935" i="26"/>
  <c r="AC935" i="26"/>
  <c r="AB935" i="26"/>
  <c r="AD931" i="26"/>
  <c r="AC931" i="26"/>
  <c r="AB931" i="26"/>
  <c r="AD927" i="26"/>
  <c r="AC927" i="26"/>
  <c r="AB927" i="26"/>
  <c r="AD923" i="26"/>
  <c r="AC923" i="26"/>
  <c r="AB923" i="26"/>
  <c r="AD919" i="26"/>
  <c r="AC919" i="26"/>
  <c r="AB919" i="26"/>
  <c r="AD915" i="26"/>
  <c r="AC915" i="26"/>
  <c r="AB915" i="26"/>
  <c r="AD911" i="26"/>
  <c r="AC911" i="26"/>
  <c r="AB911" i="26"/>
  <c r="AD907" i="26"/>
  <c r="AC907" i="26"/>
  <c r="AB907" i="26"/>
  <c r="AD903" i="26"/>
  <c r="AC903" i="26"/>
  <c r="AB903" i="26"/>
  <c r="AD899" i="26"/>
  <c r="AC899" i="26"/>
  <c r="AB899" i="26"/>
  <c r="AD895" i="26"/>
  <c r="AC895" i="26"/>
  <c r="AB895" i="26"/>
  <c r="AD891" i="26"/>
  <c r="AC891" i="26"/>
  <c r="AB891" i="26"/>
  <c r="AD887" i="26"/>
  <c r="AC887" i="26"/>
  <c r="AB887" i="26"/>
  <c r="AD883" i="26"/>
  <c r="AC883" i="26"/>
  <c r="AB883" i="26"/>
  <c r="AD879" i="26"/>
  <c r="AC879" i="26"/>
  <c r="AB879" i="26"/>
  <c r="AD875" i="26"/>
  <c r="AC875" i="26"/>
  <c r="AB875" i="26"/>
  <c r="AD871" i="26"/>
  <c r="AC871" i="26"/>
  <c r="AB871" i="26"/>
  <c r="AD867" i="26"/>
  <c r="AC867" i="26"/>
  <c r="AB867" i="26"/>
  <c r="AD863" i="26"/>
  <c r="AC863" i="26"/>
  <c r="AB863" i="26"/>
  <c r="AD859" i="26"/>
  <c r="AC859" i="26"/>
  <c r="AB859" i="26"/>
  <c r="AD855" i="26"/>
  <c r="AC855" i="26"/>
  <c r="AB855" i="26"/>
  <c r="AD851" i="26"/>
  <c r="AC851" i="26"/>
  <c r="AB851" i="26"/>
  <c r="AD847" i="26"/>
  <c r="AC847" i="26"/>
  <c r="AB847" i="26"/>
  <c r="AD843" i="26"/>
  <c r="AC843" i="26"/>
  <c r="AB843" i="26"/>
  <c r="AD839" i="26"/>
  <c r="AC839" i="26"/>
  <c r="AB839" i="26"/>
  <c r="AD835" i="26"/>
  <c r="AC835" i="26"/>
  <c r="AB835" i="26"/>
  <c r="AD831" i="26"/>
  <c r="AC831" i="26"/>
  <c r="AB831" i="26"/>
  <c r="AD827" i="26"/>
  <c r="AC827" i="26"/>
  <c r="AB827" i="26"/>
  <c r="AD823" i="26"/>
  <c r="AC823" i="26"/>
  <c r="AB823" i="26"/>
  <c r="AD819" i="26"/>
  <c r="AC819" i="26"/>
  <c r="AB819" i="26"/>
  <c r="AD815" i="26"/>
  <c r="AC815" i="26"/>
  <c r="AB815" i="26"/>
  <c r="AD811" i="26"/>
  <c r="AC811" i="26"/>
  <c r="AB811" i="26"/>
  <c r="AD807" i="26"/>
  <c r="AC807" i="26"/>
  <c r="AB807" i="26"/>
  <c r="AD803" i="26"/>
  <c r="AC803" i="26"/>
  <c r="AB803" i="26"/>
  <c r="AD799" i="26"/>
  <c r="AC799" i="26"/>
  <c r="AB799" i="26"/>
  <c r="AD795" i="26"/>
  <c r="AC795" i="26"/>
  <c r="AB795" i="26"/>
  <c r="AD791" i="26"/>
  <c r="AC791" i="26"/>
  <c r="AB791" i="26"/>
  <c r="AD787" i="26"/>
  <c r="AC787" i="26"/>
  <c r="AB787" i="26"/>
  <c r="AD783" i="26"/>
  <c r="AC783" i="26"/>
  <c r="AB783" i="26"/>
  <c r="AD779" i="26"/>
  <c r="AC779" i="26"/>
  <c r="AB779" i="26"/>
  <c r="AD775" i="26"/>
  <c r="AC775" i="26"/>
  <c r="AB775" i="26"/>
  <c r="AD771" i="26"/>
  <c r="AC771" i="26"/>
  <c r="AB771" i="26"/>
  <c r="AD767" i="26"/>
  <c r="AC767" i="26"/>
  <c r="AB767" i="26"/>
  <c r="AD763" i="26"/>
  <c r="AC763" i="26"/>
  <c r="AB763" i="26"/>
  <c r="AD759" i="26"/>
  <c r="AC759" i="26"/>
  <c r="AB759" i="26"/>
  <c r="AD755" i="26"/>
  <c r="AC755" i="26"/>
  <c r="AB755" i="26"/>
  <c r="AD751" i="26"/>
  <c r="AC751" i="26"/>
  <c r="AB751" i="26"/>
  <c r="AD747" i="26"/>
  <c r="AC747" i="26"/>
  <c r="AB747" i="26"/>
  <c r="AD743" i="26"/>
  <c r="AC743" i="26"/>
  <c r="AB743" i="26"/>
  <c r="AD739" i="26"/>
  <c r="AC739" i="26"/>
  <c r="AB739" i="26"/>
  <c r="AD735" i="26"/>
  <c r="AC735" i="26"/>
  <c r="AB735" i="26"/>
  <c r="AD731" i="26"/>
  <c r="AC731" i="26"/>
  <c r="AB731" i="26"/>
  <c r="AD727" i="26"/>
  <c r="AC727" i="26"/>
  <c r="AB727" i="26"/>
  <c r="AD723" i="26"/>
  <c r="AC723" i="26"/>
  <c r="AB723" i="26"/>
  <c r="AD719" i="26"/>
  <c r="AC719" i="26"/>
  <c r="AB719" i="26"/>
  <c r="AD715" i="26"/>
  <c r="AC715" i="26"/>
  <c r="AB715" i="26"/>
  <c r="AD711" i="26"/>
  <c r="AC711" i="26"/>
  <c r="AB711" i="26"/>
  <c r="AD707" i="26"/>
  <c r="AC707" i="26"/>
  <c r="AB707" i="26"/>
  <c r="AD703" i="26"/>
  <c r="AC703" i="26"/>
  <c r="AB703" i="26"/>
  <c r="AD699" i="26"/>
  <c r="AC699" i="26"/>
  <c r="AB699" i="26"/>
  <c r="AD695" i="26"/>
  <c r="AC695" i="26"/>
  <c r="AB695" i="26"/>
  <c r="AD691" i="26"/>
  <c r="AC691" i="26"/>
  <c r="AB691" i="26"/>
  <c r="AD687" i="26"/>
  <c r="AC687" i="26"/>
  <c r="AB687" i="26"/>
  <c r="AD683" i="26"/>
  <c r="AC683" i="26"/>
  <c r="AB683" i="26"/>
  <c r="AD679" i="26"/>
  <c r="AC679" i="26"/>
  <c r="AB679" i="26"/>
  <c r="AD675" i="26"/>
  <c r="AC675" i="26"/>
  <c r="AB675" i="26"/>
  <c r="AD671" i="26"/>
  <c r="AC671" i="26"/>
  <c r="AB671" i="26"/>
  <c r="AD667" i="26"/>
  <c r="AC667" i="26"/>
  <c r="AB667" i="26"/>
  <c r="AD663" i="26"/>
  <c r="AC663" i="26"/>
  <c r="AB663" i="26"/>
  <c r="AD659" i="26"/>
  <c r="AC659" i="26"/>
  <c r="AB659" i="26"/>
  <c r="AD655" i="26"/>
  <c r="AC655" i="26"/>
  <c r="AB655" i="26"/>
  <c r="AD651" i="26"/>
  <c r="AC651" i="26"/>
  <c r="AB651" i="26"/>
  <c r="AD647" i="26"/>
  <c r="AC647" i="26"/>
  <c r="AB647" i="26"/>
  <c r="AD643" i="26"/>
  <c r="AC643" i="26"/>
  <c r="AB643" i="26"/>
  <c r="AD639" i="26"/>
  <c r="AC639" i="26"/>
  <c r="AB639" i="26"/>
  <c r="AD635" i="26"/>
  <c r="AC635" i="26"/>
  <c r="AB635" i="26"/>
  <c r="AD631" i="26"/>
  <c r="AC631" i="26"/>
  <c r="AB631" i="26"/>
  <c r="AD627" i="26"/>
  <c r="AC627" i="26"/>
  <c r="AB627" i="26"/>
  <c r="AD623" i="26"/>
  <c r="AC623" i="26"/>
  <c r="AB623" i="26"/>
  <c r="AD619" i="26"/>
  <c r="AC619" i="26"/>
  <c r="AB619" i="26"/>
  <c r="AD615" i="26"/>
  <c r="AC615" i="26"/>
  <c r="AB615" i="26"/>
  <c r="AD611" i="26"/>
  <c r="AC611" i="26"/>
  <c r="AB611" i="26"/>
  <c r="AD607" i="26"/>
  <c r="AC607" i="26"/>
  <c r="AB607" i="26"/>
  <c r="AD603" i="26"/>
  <c r="AC603" i="26"/>
  <c r="AB603" i="26"/>
  <c r="AD599" i="26"/>
  <c r="AC599" i="26"/>
  <c r="AB599" i="26"/>
  <c r="AD595" i="26"/>
  <c r="AC595" i="26"/>
  <c r="AB595" i="26"/>
  <c r="AD591" i="26"/>
  <c r="AC591" i="26"/>
  <c r="AB591" i="26"/>
  <c r="AD587" i="26"/>
  <c r="AC587" i="26"/>
  <c r="AB587" i="26"/>
  <c r="AD583" i="26"/>
  <c r="AC583" i="26"/>
  <c r="AB583" i="26"/>
  <c r="AD579" i="26"/>
  <c r="AC579" i="26"/>
  <c r="AB579" i="26"/>
  <c r="AD575" i="26"/>
  <c r="AC575" i="26"/>
  <c r="AB575" i="26"/>
  <c r="AD571" i="26"/>
  <c r="AC571" i="26"/>
  <c r="AB571" i="26"/>
  <c r="AD567" i="26"/>
  <c r="AC567" i="26"/>
  <c r="AB567" i="26"/>
  <c r="AD563" i="26"/>
  <c r="AC563" i="26"/>
  <c r="AB563" i="26"/>
  <c r="AD559" i="26"/>
  <c r="AC559" i="26"/>
  <c r="AB559" i="26"/>
  <c r="AD555" i="26"/>
  <c r="AC555" i="26"/>
  <c r="AB555" i="26"/>
  <c r="AD551" i="26"/>
  <c r="AC551" i="26"/>
  <c r="AB551" i="26"/>
  <c r="AD547" i="26"/>
  <c r="AC547" i="26"/>
  <c r="AB547" i="26"/>
  <c r="AD543" i="26"/>
  <c r="AC543" i="26"/>
  <c r="AB543" i="26"/>
  <c r="AD539" i="26"/>
  <c r="AC539" i="26"/>
  <c r="AB539" i="26"/>
  <c r="AD535" i="26"/>
  <c r="AC535" i="26"/>
  <c r="AB535" i="26"/>
  <c r="AD531" i="26"/>
  <c r="AC531" i="26"/>
  <c r="AB531" i="26"/>
  <c r="AD527" i="26"/>
  <c r="AC527" i="26"/>
  <c r="AB527" i="26"/>
  <c r="AD523" i="26"/>
  <c r="AC523" i="26"/>
  <c r="AB523" i="26"/>
  <c r="AD519" i="26"/>
  <c r="AC519" i="26"/>
  <c r="AB519" i="26"/>
  <c r="AD515" i="26"/>
  <c r="AC515" i="26"/>
  <c r="AB515" i="26"/>
  <c r="AD511" i="26"/>
  <c r="AC511" i="26"/>
  <c r="AB511" i="26"/>
  <c r="AD507" i="26"/>
  <c r="AC507" i="26"/>
  <c r="AB507" i="26"/>
  <c r="AD503" i="26"/>
  <c r="AC503" i="26"/>
  <c r="AB503" i="26"/>
  <c r="AD499" i="26"/>
  <c r="AC499" i="26"/>
  <c r="AB499" i="26"/>
  <c r="AD495" i="26"/>
  <c r="AC495" i="26"/>
  <c r="AB495" i="26"/>
  <c r="AD491" i="26"/>
  <c r="AC491" i="26"/>
  <c r="AB491" i="26"/>
  <c r="AD487" i="26"/>
  <c r="AC487" i="26"/>
  <c r="AB487" i="26"/>
  <c r="AD483" i="26"/>
  <c r="AC483" i="26"/>
  <c r="AB483" i="26"/>
  <c r="AD479" i="26"/>
  <c r="AC479" i="26"/>
  <c r="AB479" i="26"/>
  <c r="AD475" i="26"/>
  <c r="AC475" i="26"/>
  <c r="AB475" i="26"/>
  <c r="AD471" i="26"/>
  <c r="AC471" i="26"/>
  <c r="AB471" i="26"/>
  <c r="AD467" i="26"/>
  <c r="AC467" i="26"/>
  <c r="AB467" i="26"/>
  <c r="AD463" i="26"/>
  <c r="AC463" i="26"/>
  <c r="AB463" i="26"/>
  <c r="AD459" i="26"/>
  <c r="AC459" i="26"/>
  <c r="AB459" i="26"/>
  <c r="AD455" i="26"/>
  <c r="AC455" i="26"/>
  <c r="AB455" i="26"/>
  <c r="AD451" i="26"/>
  <c r="AC451" i="26"/>
  <c r="AB451" i="26"/>
  <c r="AD447" i="26"/>
  <c r="AC447" i="26"/>
  <c r="AB447" i="26"/>
  <c r="AD443" i="26"/>
  <c r="AC443" i="26"/>
  <c r="AB443" i="26"/>
  <c r="AD439" i="26"/>
  <c r="AC439" i="26"/>
  <c r="AB439" i="26"/>
  <c r="AD435" i="26"/>
  <c r="AC435" i="26"/>
  <c r="AB435" i="26"/>
  <c r="AD431" i="26"/>
  <c r="AC431" i="26"/>
  <c r="AB431" i="26"/>
  <c r="AD427" i="26"/>
  <c r="AC427" i="26"/>
  <c r="AB427" i="26"/>
  <c r="AD423" i="26"/>
  <c r="AC423" i="26"/>
  <c r="AB423" i="26"/>
  <c r="AD419" i="26"/>
  <c r="AC419" i="26"/>
  <c r="AB419" i="26"/>
  <c r="AD415" i="26"/>
  <c r="AC415" i="26"/>
  <c r="AB415" i="26"/>
  <c r="AD411" i="26"/>
  <c r="AC411" i="26"/>
  <c r="AB411" i="26"/>
  <c r="AD407" i="26"/>
  <c r="AC407" i="26"/>
  <c r="AB407" i="26"/>
  <c r="AD403" i="26"/>
  <c r="AC403" i="26"/>
  <c r="AB403" i="26"/>
  <c r="AD399" i="26"/>
  <c r="AC399" i="26"/>
  <c r="AB399" i="26"/>
  <c r="AD395" i="26"/>
  <c r="AC395" i="26"/>
  <c r="AB395" i="26"/>
  <c r="AD391" i="26"/>
  <c r="AC391" i="26"/>
  <c r="AB391" i="26"/>
  <c r="AD387" i="26"/>
  <c r="AC387" i="26"/>
  <c r="AB387" i="26"/>
  <c r="AD383" i="26"/>
  <c r="AC383" i="26"/>
  <c r="AB383" i="26"/>
  <c r="AD379" i="26"/>
  <c r="AC379" i="26"/>
  <c r="AB379" i="26"/>
  <c r="AD375" i="26"/>
  <c r="AC375" i="26"/>
  <c r="AB375" i="26"/>
  <c r="AD371" i="26"/>
  <c r="AC371" i="26"/>
  <c r="AB371" i="26"/>
  <c r="AD367" i="26"/>
  <c r="AC367" i="26"/>
  <c r="AB367" i="26"/>
  <c r="AD363" i="26"/>
  <c r="AC363" i="26"/>
  <c r="AB363" i="26"/>
  <c r="AD359" i="26"/>
  <c r="AC359" i="26"/>
  <c r="AB359" i="26"/>
  <c r="AD355" i="26"/>
  <c r="AC355" i="26"/>
  <c r="AB355" i="26"/>
  <c r="AD351" i="26"/>
  <c r="AC351" i="26"/>
  <c r="AB351" i="26"/>
  <c r="AD347" i="26"/>
  <c r="AC347" i="26"/>
  <c r="AB347" i="26"/>
  <c r="AD343" i="26"/>
  <c r="AC343" i="26"/>
  <c r="AB343" i="26"/>
  <c r="AD339" i="26"/>
  <c r="AC339" i="26"/>
  <c r="AB339" i="26"/>
  <c r="AD335" i="26"/>
  <c r="AC335" i="26"/>
  <c r="AB335" i="26"/>
  <c r="AD331" i="26"/>
  <c r="AC331" i="26"/>
  <c r="AB331" i="26"/>
  <c r="AD327" i="26"/>
  <c r="AC327" i="26"/>
  <c r="AB327" i="26"/>
  <c r="AD323" i="26"/>
  <c r="AC323" i="26"/>
  <c r="AB323" i="26"/>
  <c r="AD319" i="26"/>
  <c r="AC319" i="26"/>
  <c r="AB319" i="26"/>
  <c r="AD315" i="26"/>
  <c r="AC315" i="26"/>
  <c r="AB315" i="26"/>
  <c r="AD311" i="26"/>
  <c r="AC311" i="26"/>
  <c r="AB311" i="26"/>
  <c r="AD307" i="26"/>
  <c r="AC307" i="26"/>
  <c r="AB307" i="26"/>
  <c r="AD303" i="26"/>
  <c r="AC303" i="26"/>
  <c r="AB303" i="26"/>
  <c r="AD299" i="26"/>
  <c r="AC299" i="26"/>
  <c r="AB299" i="26"/>
  <c r="AD295" i="26"/>
  <c r="AC295" i="26"/>
  <c r="AB295" i="26"/>
  <c r="AD291" i="26"/>
  <c r="AC291" i="26"/>
  <c r="AB291" i="26"/>
  <c r="AD287" i="26"/>
  <c r="AC287" i="26"/>
  <c r="AB287" i="26"/>
  <c r="AD283" i="26"/>
  <c r="AC283" i="26"/>
  <c r="AB283" i="26"/>
  <c r="AD279" i="26"/>
  <c r="AC279" i="26"/>
  <c r="AB279" i="26"/>
  <c r="AD275" i="26"/>
  <c r="AC275" i="26"/>
  <c r="AB275" i="26"/>
  <c r="AD271" i="26"/>
  <c r="AC271" i="26"/>
  <c r="AB271" i="26"/>
  <c r="AD267" i="26"/>
  <c r="AC267" i="26"/>
  <c r="AB267" i="26"/>
  <c r="AD263" i="26"/>
  <c r="AC263" i="26"/>
  <c r="AB263" i="26"/>
  <c r="AD259" i="26"/>
  <c r="AC259" i="26"/>
  <c r="AB259" i="26"/>
  <c r="AD255" i="26"/>
  <c r="AC255" i="26"/>
  <c r="AB255" i="26"/>
  <c r="AD251" i="26"/>
  <c r="AC251" i="26"/>
  <c r="AB251" i="26"/>
  <c r="AD247" i="26"/>
  <c r="AC247" i="26"/>
  <c r="AB247" i="26"/>
  <c r="AD243" i="26"/>
  <c r="AC243" i="26"/>
  <c r="AB243" i="26"/>
  <c r="AD239" i="26"/>
  <c r="AC239" i="26"/>
  <c r="AB239" i="26"/>
  <c r="AD235" i="26"/>
  <c r="AC235" i="26"/>
  <c r="AB235" i="26"/>
  <c r="AD231" i="26"/>
  <c r="AC231" i="26"/>
  <c r="AB231" i="26"/>
  <c r="AD227" i="26"/>
  <c r="AC227" i="26"/>
  <c r="AB227" i="26"/>
  <c r="AD223" i="26"/>
  <c r="AC223" i="26"/>
  <c r="AB223" i="26"/>
  <c r="AD219" i="26"/>
  <c r="AC219" i="26"/>
  <c r="AB219" i="26"/>
  <c r="AD215" i="26"/>
  <c r="AC215" i="26"/>
  <c r="AB215" i="26"/>
  <c r="AD211" i="26"/>
  <c r="AC211" i="26"/>
  <c r="AB211" i="26"/>
  <c r="AD207" i="26"/>
  <c r="AC207" i="26"/>
  <c r="AB207" i="26"/>
  <c r="AD203" i="26"/>
  <c r="AC203" i="26"/>
  <c r="AB203" i="26"/>
  <c r="AD199" i="26"/>
  <c r="AC199" i="26"/>
  <c r="AB199" i="26"/>
  <c r="AD195" i="26"/>
  <c r="AC195" i="26"/>
  <c r="AB195" i="26"/>
  <c r="AD191" i="26"/>
  <c r="AC191" i="26"/>
  <c r="AB191" i="26"/>
  <c r="AD187" i="26"/>
  <c r="AC187" i="26"/>
  <c r="AB187" i="26"/>
  <c r="AD183" i="26"/>
  <c r="AC183" i="26"/>
  <c r="AB183" i="26"/>
  <c r="AD179" i="26"/>
  <c r="AC179" i="26"/>
  <c r="AB179" i="26"/>
  <c r="AD175" i="26"/>
  <c r="AC175" i="26"/>
  <c r="AB175" i="26"/>
  <c r="AD171" i="26"/>
  <c r="AC171" i="26"/>
  <c r="AB171" i="26"/>
  <c r="AD167" i="26"/>
  <c r="AC167" i="26"/>
  <c r="AB167" i="26"/>
  <c r="AD163" i="26"/>
  <c r="AC163" i="26"/>
  <c r="AB163" i="26"/>
  <c r="AD159" i="26"/>
  <c r="AC159" i="26"/>
  <c r="AB159" i="26"/>
  <c r="AD155" i="26"/>
  <c r="AC155" i="26"/>
  <c r="AB155" i="26"/>
  <c r="AD151" i="26"/>
  <c r="AC151" i="26"/>
  <c r="AB151" i="26"/>
  <c r="AD147" i="26"/>
  <c r="AC147" i="26"/>
  <c r="AB147" i="26"/>
  <c r="AD143" i="26"/>
  <c r="AC143" i="26"/>
  <c r="AB143" i="26"/>
  <c r="AD139" i="26"/>
  <c r="AC139" i="26"/>
  <c r="AB139" i="26"/>
  <c r="AD135" i="26"/>
  <c r="AC135" i="26"/>
  <c r="AB135" i="26"/>
  <c r="AD131" i="26"/>
  <c r="AC131" i="26"/>
  <c r="AB131" i="26"/>
  <c r="AD127" i="26"/>
  <c r="AC127" i="26"/>
  <c r="AB127" i="26"/>
  <c r="AD123" i="26"/>
  <c r="AC123" i="26"/>
  <c r="AB123" i="26"/>
  <c r="AD119" i="26"/>
  <c r="AC119" i="26"/>
  <c r="AB119" i="26"/>
  <c r="AD115" i="26"/>
  <c r="AC115" i="26"/>
  <c r="AB115" i="26"/>
  <c r="AD111" i="26"/>
  <c r="AC111" i="26"/>
  <c r="AB111" i="26"/>
  <c r="AD107" i="26"/>
  <c r="AC107" i="26"/>
  <c r="AB107" i="26"/>
  <c r="AD103" i="26"/>
  <c r="AC103" i="26"/>
  <c r="AB103" i="26"/>
  <c r="AD99" i="26"/>
  <c r="AC99" i="26"/>
  <c r="AB99" i="26"/>
  <c r="AD95" i="26"/>
  <c r="AC95" i="26"/>
  <c r="AB95" i="26"/>
  <c r="AD91" i="26"/>
  <c r="AC91" i="26"/>
  <c r="AB91" i="26"/>
  <c r="AD87" i="26"/>
  <c r="AC87" i="26"/>
  <c r="AB87" i="26"/>
  <c r="AD83" i="26"/>
  <c r="AC83" i="26"/>
  <c r="AB83" i="26"/>
  <c r="AD79" i="26"/>
  <c r="AC79" i="26"/>
  <c r="AB79" i="26"/>
  <c r="AD75" i="26"/>
  <c r="AC75" i="26"/>
  <c r="AB75" i="26"/>
  <c r="AD71" i="26"/>
  <c r="AC71" i="26"/>
  <c r="AB71" i="26"/>
  <c r="AD67" i="26"/>
  <c r="AC67" i="26"/>
  <c r="AB67" i="26"/>
  <c r="AD63" i="26"/>
  <c r="AC63" i="26"/>
  <c r="AB63" i="26"/>
  <c r="AD59" i="26"/>
  <c r="AC59" i="26"/>
  <c r="AB59" i="26"/>
  <c r="AD55" i="26"/>
  <c r="AC55" i="26"/>
  <c r="AB55" i="26"/>
  <c r="AD51" i="26"/>
  <c r="AC51" i="26"/>
  <c r="AB51" i="26"/>
  <c r="AD47" i="26"/>
  <c r="AC47" i="26"/>
  <c r="AB47" i="26"/>
  <c r="AD43" i="26"/>
  <c r="AC43" i="26"/>
  <c r="AB43" i="26"/>
  <c r="AD39" i="26"/>
  <c r="AC39" i="26"/>
  <c r="AB39" i="26"/>
  <c r="AD35" i="26"/>
  <c r="AC35" i="26"/>
  <c r="AB35" i="26"/>
  <c r="AD31" i="26"/>
  <c r="AC31" i="26"/>
  <c r="AB31" i="26"/>
  <c r="AD27" i="26"/>
  <c r="AC27" i="26"/>
  <c r="AB27" i="26"/>
  <c r="AD23" i="26"/>
  <c r="AC23" i="26"/>
  <c r="AB23" i="26"/>
  <c r="AD19" i="26"/>
  <c r="AC19" i="26"/>
  <c r="AB19" i="26"/>
  <c r="AD15" i="26"/>
  <c r="AC15" i="26"/>
  <c r="AB15" i="26"/>
  <c r="AD11" i="26"/>
  <c r="AC11" i="26"/>
  <c r="AB11" i="26"/>
  <c r="AD7" i="26"/>
  <c r="AC7" i="26"/>
  <c r="AB7" i="26"/>
  <c r="AB3830" i="26"/>
  <c r="AB3826" i="26"/>
  <c r="AB3822" i="26"/>
  <c r="AB3818" i="26"/>
  <c r="AB3814" i="26"/>
  <c r="AB3810" i="26"/>
  <c r="AB3806" i="26"/>
  <c r="AB3802" i="26"/>
  <c r="AB3798" i="26"/>
  <c r="AB3794" i="26"/>
  <c r="AB3790" i="26"/>
  <c r="AB3786" i="26"/>
  <c r="AB3782" i="26"/>
  <c r="AB3778" i="26"/>
  <c r="AB3774" i="26"/>
  <c r="AB3770" i="26"/>
  <c r="AB3766" i="26"/>
  <c r="AB3762" i="26"/>
  <c r="AB3758" i="26"/>
  <c r="AB3754" i="26"/>
  <c r="AB3750" i="26"/>
  <c r="AB3746" i="26"/>
  <c r="AB3742" i="26"/>
  <c r="AB3738" i="26"/>
  <c r="AB3734" i="26"/>
  <c r="AB3730" i="26"/>
  <c r="AB3726" i="26"/>
  <c r="AB3722" i="26"/>
  <c r="AB3718" i="26"/>
  <c r="AB3714" i="26"/>
  <c r="AB3710" i="26"/>
  <c r="AB3706" i="26"/>
  <c r="AB3702" i="26"/>
  <c r="AB3698" i="26"/>
  <c r="AB3694" i="26"/>
  <c r="AB3690" i="26"/>
  <c r="AB3686" i="26"/>
  <c r="AB3682" i="26"/>
  <c r="AB3678" i="26"/>
  <c r="AB3674" i="26"/>
  <c r="AB3670" i="26"/>
  <c r="AB3666" i="26"/>
  <c r="AB3662" i="26"/>
  <c r="AB3658" i="26"/>
  <c r="AB3654" i="26"/>
  <c r="AB3650" i="26"/>
  <c r="AB3646" i="26"/>
  <c r="AB3642" i="26"/>
  <c r="AB3638" i="26"/>
  <c r="AB3634" i="26"/>
  <c r="AB3630" i="26"/>
  <c r="AB3626" i="26"/>
  <c r="AB3622" i="26"/>
  <c r="AB3618" i="26"/>
  <c r="AB3614" i="26"/>
  <c r="AB3610" i="26"/>
  <c r="AB3606" i="26"/>
  <c r="AB3602" i="26"/>
  <c r="AB3598" i="26"/>
  <c r="AB3594" i="26"/>
  <c r="AB3590" i="26"/>
  <c r="AB3586" i="26"/>
  <c r="AB3582" i="26"/>
  <c r="AB3578" i="26"/>
  <c r="AB3574" i="26"/>
  <c r="AB3570" i="26"/>
  <c r="AB3566" i="26"/>
  <c r="AB3562" i="26"/>
  <c r="AB3558" i="26"/>
  <c r="AB3554" i="26"/>
  <c r="AB3550" i="26"/>
  <c r="AB3546" i="26"/>
  <c r="AB3542" i="26"/>
  <c r="AB3538" i="26"/>
  <c r="AB3534" i="26"/>
  <c r="AB3530" i="26"/>
  <c r="AB3526" i="26"/>
  <c r="AB3522" i="26"/>
  <c r="AB3518" i="26"/>
  <c r="AB3514" i="26"/>
  <c r="AB3510" i="26"/>
  <c r="AB3506" i="26"/>
  <c r="AB3502" i="26"/>
  <c r="AB3498" i="26"/>
  <c r="AB3494" i="26"/>
  <c r="AB3490" i="26"/>
  <c r="AB3486" i="26"/>
  <c r="AB3482" i="26"/>
  <c r="AB3478" i="26"/>
  <c r="AB3474" i="26"/>
  <c r="AB3470" i="26"/>
  <c r="AB3466" i="26"/>
  <c r="AB3462" i="26"/>
  <c r="AB3458" i="26"/>
  <c r="AB3454" i="26"/>
  <c r="AB3450" i="26"/>
  <c r="AB3446" i="26"/>
  <c r="AB3442" i="26"/>
  <c r="AB3438" i="26"/>
  <c r="AB3434" i="26"/>
  <c r="AB3430" i="26"/>
  <c r="AB3426" i="26"/>
  <c r="AB3422" i="26"/>
  <c r="AB3418" i="26"/>
  <c r="AB3414" i="26"/>
  <c r="AB3410" i="26"/>
  <c r="AB3406" i="26"/>
  <c r="AB3402" i="26"/>
  <c r="AB3398" i="26"/>
  <c r="AB3394" i="26"/>
  <c r="AB3390" i="26"/>
  <c r="AB3386" i="26"/>
  <c r="AB3382" i="26"/>
  <c r="AB3378" i="26"/>
  <c r="AB3374" i="26"/>
  <c r="AB3370" i="26"/>
  <c r="AB3366" i="26"/>
  <c r="AB3362" i="26"/>
  <c r="AB3358" i="26"/>
  <c r="AB3354" i="26"/>
  <c r="AB3350" i="26"/>
  <c r="AB3346" i="26"/>
  <c r="AB3342" i="26"/>
  <c r="AB3338" i="26"/>
  <c r="AB3334" i="26"/>
  <c r="AB3330" i="26"/>
  <c r="AB3326" i="26"/>
  <c r="AB3322" i="26"/>
  <c r="AB3318" i="26"/>
  <c r="AB3314" i="26"/>
  <c r="AB3310" i="26"/>
  <c r="AB3306" i="26"/>
  <c r="AB3302" i="26"/>
  <c r="AB3298" i="26"/>
  <c r="AB3294" i="26"/>
  <c r="AB3290" i="26"/>
  <c r="AB3286" i="26"/>
  <c r="AB3282" i="26"/>
  <c r="AB3278" i="26"/>
  <c r="AB3274" i="26"/>
  <c r="AB3270" i="26"/>
  <c r="AB3266" i="26"/>
  <c r="AB3262" i="26"/>
  <c r="AB3258" i="26"/>
  <c r="AB3254" i="26"/>
  <c r="AB3250" i="26"/>
  <c r="AB3246" i="26"/>
  <c r="AB3242" i="26"/>
  <c r="AB3238" i="26"/>
  <c r="AB3234" i="26"/>
  <c r="AB3230" i="26"/>
  <c r="AB3226" i="26"/>
  <c r="AB3222" i="26"/>
  <c r="AB3218" i="26"/>
  <c r="AB3214" i="26"/>
  <c r="AB3210" i="26"/>
  <c r="AB3206" i="26"/>
  <c r="AB3202" i="26"/>
  <c r="AB3198" i="26"/>
  <c r="AB3194" i="26"/>
  <c r="AB3190" i="26"/>
  <c r="AB3186" i="26"/>
  <c r="AB3182" i="26"/>
  <c r="AB3178" i="26"/>
  <c r="AB3174" i="26"/>
  <c r="AB3170" i="26"/>
  <c r="AB3166" i="26"/>
  <c r="AB3162" i="26"/>
  <c r="AB3158" i="26"/>
  <c r="AB3154" i="26"/>
  <c r="AB3150" i="26"/>
  <c r="AB3146" i="26"/>
  <c r="AB3142" i="26"/>
  <c r="AB3138" i="26"/>
  <c r="AB3134" i="26"/>
  <c r="AB3130" i="26"/>
  <c r="AB3126" i="26"/>
  <c r="AB3122" i="26"/>
  <c r="AB3118" i="26"/>
  <c r="AB3114" i="26"/>
  <c r="AB3110" i="26"/>
  <c r="AB3106" i="26"/>
  <c r="AB3102" i="26"/>
  <c r="AB3098" i="26"/>
  <c r="AB3094" i="26"/>
  <c r="AB3090" i="26"/>
  <c r="AB3086" i="26"/>
  <c r="AB3082" i="26"/>
  <c r="AB3078" i="26"/>
  <c r="AB3074" i="26"/>
  <c r="AB3070" i="26"/>
  <c r="AB3066" i="26"/>
  <c r="AB3062" i="26"/>
  <c r="AB3058" i="26"/>
  <c r="AB3054" i="26"/>
  <c r="AB3050" i="26"/>
  <c r="AB3046" i="26"/>
  <c r="AB3042" i="26"/>
  <c r="AB3038" i="26"/>
  <c r="AB3034" i="26"/>
  <c r="AB3030" i="26"/>
  <c r="AB3026" i="26"/>
  <c r="AB3022" i="26"/>
  <c r="AB3018" i="26"/>
  <c r="AB3014" i="26"/>
  <c r="AB3010" i="26"/>
  <c r="AB3006" i="26"/>
  <c r="AB3002" i="26"/>
  <c r="AB2998" i="26"/>
  <c r="AB2994" i="26"/>
  <c r="AB2990" i="26"/>
  <c r="AB2986" i="26"/>
  <c r="AB2982" i="26"/>
  <c r="AB2978" i="26"/>
  <c r="AB2974" i="26"/>
  <c r="AB2970" i="26"/>
  <c r="AB2966" i="26"/>
  <c r="AB2962" i="26"/>
  <c r="AB2958" i="26"/>
  <c r="AB2954" i="26"/>
  <c r="AB2950" i="26"/>
  <c r="AB2946" i="26"/>
  <c r="AB2942" i="26"/>
  <c r="AB2938" i="26"/>
  <c r="AB2934" i="26"/>
  <c r="AB2930" i="26"/>
  <c r="AB2926" i="26"/>
  <c r="AB2922" i="26"/>
  <c r="AB2918" i="26"/>
  <c r="AB2914" i="26"/>
  <c r="AB2910" i="26"/>
  <c r="AB2906" i="26"/>
  <c r="AB2902" i="26"/>
  <c r="AB2898" i="26"/>
  <c r="AB2894" i="26"/>
  <c r="AB2890" i="26"/>
  <c r="AB2886" i="26"/>
  <c r="AB2882" i="26"/>
  <c r="AB2878" i="26"/>
  <c r="AB2874" i="26"/>
  <c r="AB2870" i="26"/>
  <c r="AB2866" i="26"/>
  <c r="AB2862" i="26"/>
  <c r="AB2858" i="26"/>
  <c r="AB2854" i="26"/>
  <c r="AB2850" i="26"/>
  <c r="AB2846" i="26"/>
  <c r="AB2842" i="26"/>
  <c r="AB2838" i="26"/>
  <c r="AB2834" i="26"/>
  <c r="AB2830" i="26"/>
  <c r="AB2826" i="26"/>
  <c r="AB2822" i="26"/>
  <c r="AB2818" i="26"/>
  <c r="AB2814" i="26"/>
  <c r="AB2810" i="26"/>
  <c r="AB2806" i="26"/>
  <c r="AB2802" i="26"/>
  <c r="AB2798" i="26"/>
  <c r="AB2794" i="26"/>
  <c r="AB2790" i="26"/>
  <c r="AB2786" i="26"/>
  <c r="AB2782" i="26"/>
  <c r="AB2778" i="26"/>
  <c r="AB2774" i="26"/>
  <c r="AB2770" i="26"/>
  <c r="AB2766" i="26"/>
  <c r="AB2762" i="26"/>
  <c r="AB2758" i="26"/>
  <c r="AB2754" i="26"/>
  <c r="AB2750" i="26"/>
  <c r="AB2746" i="26"/>
  <c r="AB2742" i="26"/>
  <c r="AB2738" i="26"/>
  <c r="AB2734" i="26"/>
  <c r="AB2730" i="26"/>
  <c r="AB2726" i="26"/>
  <c r="AB2722" i="26"/>
  <c r="AB2718" i="26"/>
  <c r="AB2714" i="26"/>
  <c r="AB2710" i="26"/>
  <c r="AB2706" i="26"/>
  <c r="AB2702" i="26"/>
  <c r="AB2698" i="26"/>
  <c r="AB2694" i="26"/>
  <c r="AB2690" i="26"/>
  <c r="AB2686" i="26"/>
  <c r="AB2682" i="26"/>
  <c r="AB2678" i="26"/>
  <c r="AB2674" i="26"/>
  <c r="AB2670" i="26"/>
  <c r="AB2666" i="26"/>
  <c r="AB2662" i="26"/>
  <c r="AB2658" i="26"/>
  <c r="AB2654" i="26"/>
  <c r="AB2650" i="26"/>
  <c r="AB2646" i="26"/>
  <c r="AB2642" i="26"/>
  <c r="AB2638" i="26"/>
  <c r="AB2634" i="26"/>
  <c r="AB2630" i="26"/>
  <c r="AB2626" i="26"/>
  <c r="AB2622" i="26"/>
  <c r="AB2618" i="26"/>
  <c r="AB2614" i="26"/>
  <c r="AB2610" i="26"/>
  <c r="AB2606" i="26"/>
  <c r="AB2602" i="26"/>
  <c r="AB2597" i="26"/>
  <c r="AB2589" i="26"/>
  <c r="AB2581" i="26"/>
  <c r="AB2573" i="26"/>
  <c r="AB2565" i="26"/>
  <c r="AB2557" i="26"/>
  <c r="AB2549" i="26"/>
  <c r="AB2541" i="26"/>
  <c r="AB2533" i="26"/>
  <c r="AB2525" i="26"/>
  <c r="AB2517" i="26"/>
  <c r="AB2509" i="26"/>
  <c r="AB2501" i="26"/>
  <c r="AB2493" i="26"/>
  <c r="AB2485" i="26"/>
  <c r="AB2477" i="26"/>
  <c r="AB2469" i="26"/>
  <c r="AB2461" i="26"/>
  <c r="AB2453" i="26"/>
  <c r="AB2445" i="26"/>
  <c r="AB3964" i="3" l="1"/>
  <c r="G422" i="3"/>
  <c r="C427" i="3" l="1"/>
  <c r="Z428" i="3"/>
  <c r="Z427" i="3" s="1"/>
  <c r="AE19" i="26"/>
  <c r="AE12" i="26"/>
  <c r="AG5" i="26"/>
  <c r="AF5" i="26"/>
  <c r="AG12" i="26"/>
  <c r="AF12" i="26"/>
  <c r="AG19" i="26"/>
  <c r="AF19" i="26"/>
  <c r="AF21" i="26" l="1"/>
  <c r="AH32" i="26" s="1"/>
  <c r="AG14" i="26"/>
  <c r="AF7" i="26"/>
  <c r="AH30" i="26" s="1"/>
  <c r="AG7" i="26"/>
  <c r="AG21" i="26"/>
  <c r="AF14" i="26"/>
  <c r="AH31" i="26" s="1"/>
  <c r="W3967" i="3" l="1"/>
  <c r="V3967" i="3"/>
  <c r="Y3967" i="3"/>
  <c r="W3966" i="3"/>
  <c r="Y3966" i="3"/>
  <c r="X3967" i="3"/>
  <c r="X3966" i="3"/>
  <c r="V3966" i="3"/>
  <c r="V3970" i="3" l="1"/>
  <c r="V3969" i="3" s="1"/>
  <c r="W3970" i="3"/>
  <c r="W3969" i="3" s="1"/>
  <c r="X3970" i="3"/>
  <c r="X3969" i="3" s="1"/>
  <c r="Y3970" i="3"/>
  <c r="Y3969" i="3" s="1"/>
</calcChain>
</file>

<file path=xl/sharedStrings.xml><?xml version="1.0" encoding="utf-8"?>
<sst xmlns="http://schemas.openxmlformats.org/spreadsheetml/2006/main" count="2045" uniqueCount="215">
  <si>
    <t>'05-Aug-2015'</t>
  </si>
  <si>
    <t>CLEAR</t>
  </si>
  <si>
    <t>RAIN</t>
  </si>
  <si>
    <t>CLOUD</t>
  </si>
  <si>
    <t>DATE</t>
  </si>
  <si>
    <t>LABEL</t>
  </si>
  <si>
    <t>WEATHER (CATEGORICAL)</t>
  </si>
  <si>
    <t>LOGGER (CATEGORICAL)</t>
  </si>
  <si>
    <t>OUTPUTS</t>
  </si>
  <si>
    <t>'21-May-2015'</t>
  </si>
  <si>
    <t>'22-May-2015'</t>
  </si>
  <si>
    <t>'23-May-2015'</t>
  </si>
  <si>
    <t>'24-May-2015'</t>
  </si>
  <si>
    <t>'25-May-2015'</t>
  </si>
  <si>
    <t>'26-May-2015'</t>
  </si>
  <si>
    <t>'27-May-2015'</t>
  </si>
  <si>
    <t>'28-May-2015'</t>
  </si>
  <si>
    <t>'29-May-2015'</t>
  </si>
  <si>
    <t>'30-May-2015'</t>
  </si>
  <si>
    <t>'31-May-2015'</t>
  </si>
  <si>
    <t>'01-Jun-2015'</t>
  </si>
  <si>
    <t>'02-Jun-2015'</t>
  </si>
  <si>
    <t>'03-Jun-2015'</t>
  </si>
  <si>
    <t>'04-Jun-2015'</t>
  </si>
  <si>
    <t>'05-Jun-2015'</t>
  </si>
  <si>
    <t>'06-Jun-2015'</t>
  </si>
  <si>
    <t>'07-Jun-2015'</t>
  </si>
  <si>
    <t>'08-Jun-2015'</t>
  </si>
  <si>
    <t>'09-Jun-2015'</t>
  </si>
  <si>
    <t>'10-Jun-2015'</t>
  </si>
  <si>
    <t>'11-Jun-2015'</t>
  </si>
  <si>
    <t>'12-Jun-2015'</t>
  </si>
  <si>
    <t>'13-Jun-2015'</t>
  </si>
  <si>
    <t>'14-Jun-2015'</t>
  </si>
  <si>
    <t>'16-Jun-2015'</t>
  </si>
  <si>
    <t>'17-Jun-2015'</t>
  </si>
  <si>
    <t>'18-Jun-2015'</t>
  </si>
  <si>
    <t>'19-Jun-2015'</t>
  </si>
  <si>
    <t>'20-Jun-2015'</t>
  </si>
  <si>
    <t>'21-Jun-2015'</t>
  </si>
  <si>
    <t>'22-Jun-2015'</t>
  </si>
  <si>
    <t>'23-Jun-2015'</t>
  </si>
  <si>
    <t>'24-Jun-2015'</t>
  </si>
  <si>
    <t>'25-Jun-2015'</t>
  </si>
  <si>
    <t>'26-Jun-2015'</t>
  </si>
  <si>
    <t>'27-Jun-2015'</t>
  </si>
  <si>
    <t>'28-Jun-2015'</t>
  </si>
  <si>
    <t>'29-Jun-2015'</t>
  </si>
  <si>
    <t>'30-Jun-2015'</t>
  </si>
  <si>
    <t>'01-Jul-2015'</t>
  </si>
  <si>
    <t>'02-Jul-2015'</t>
  </si>
  <si>
    <t>'03-Jul-2015'</t>
  </si>
  <si>
    <t>'04-Jul-2015'</t>
  </si>
  <si>
    <t>'05-Jul-2015'</t>
  </si>
  <si>
    <t>'06-Jul-2015'</t>
  </si>
  <si>
    <t>'07-Jul-2015'</t>
  </si>
  <si>
    <t>'08-Jul-2015'</t>
  </si>
  <si>
    <t>'09-Jul-2015'</t>
  </si>
  <si>
    <t>'10-Jul-2015'</t>
  </si>
  <si>
    <t>'11-Jul-2015'</t>
  </si>
  <si>
    <t>'12-Jul-2015'</t>
  </si>
  <si>
    <t>'13-Jul-2015'</t>
  </si>
  <si>
    <t>'14-Jul-2015'</t>
  </si>
  <si>
    <t>'15-Jul-2015'</t>
  </si>
  <si>
    <t>'16-Jul-2015'</t>
  </si>
  <si>
    <t>'17-Jul-2015'</t>
  </si>
  <si>
    <t>'18-Jul-2015'</t>
  </si>
  <si>
    <t>'19-Jul-2015'</t>
  </si>
  <si>
    <t>'20-Jul-2015'</t>
  </si>
  <si>
    <t>'21-Jul-2015'</t>
  </si>
  <si>
    <t>'22-Jul-2015'</t>
  </si>
  <si>
    <t>'23-Jul-2015'</t>
  </si>
  <si>
    <t>'24-Jul-2015'</t>
  </si>
  <si>
    <t>'25-Jul-2015'</t>
  </si>
  <si>
    <t>'26-Jul-2015'</t>
  </si>
  <si>
    <t>'27-Jul-2015'</t>
  </si>
  <si>
    <t>'28-Jul-2015'</t>
  </si>
  <si>
    <t>'29-Jul-2015'</t>
  </si>
  <si>
    <t>'30-Jul-2015'</t>
  </si>
  <si>
    <t>'31-Jul-2015'</t>
  </si>
  <si>
    <t>'01-Aug-2015'</t>
  </si>
  <si>
    <t>'02-Aug-2015'</t>
  </si>
  <si>
    <t>'03-Aug-2015'</t>
  </si>
  <si>
    <t>'04-Aug-2015'</t>
  </si>
  <si>
    <t>'06-Aug-2015'</t>
  </si>
  <si>
    <t>'07-Aug-2015'</t>
  </si>
  <si>
    <t>'08-Aug-2015'</t>
  </si>
  <si>
    <t>'09-Aug-2015'</t>
  </si>
  <si>
    <t>'10-Aug-2015'</t>
  </si>
  <si>
    <t>'12-Aug-2015'</t>
  </si>
  <si>
    <t>'13-Aug-2015'</t>
  </si>
  <si>
    <t>'14-Aug-2015'</t>
  </si>
  <si>
    <t>'15-Aug-2015'</t>
  </si>
  <si>
    <t>'16-Aug-2015'</t>
  </si>
  <si>
    <t>'17-Aug-2015'</t>
  </si>
  <si>
    <t>'18-Aug-2015'</t>
  </si>
  <si>
    <t>'19-Aug-2015'</t>
  </si>
  <si>
    <t>'20-Aug-2015'</t>
  </si>
  <si>
    <t>'21-Aug-2015'</t>
  </si>
  <si>
    <t>'22-Aug-2015'</t>
  </si>
  <si>
    <t>'23-Aug-2015'</t>
  </si>
  <si>
    <t>'24-Aug-2015'</t>
  </si>
  <si>
    <t>'25-Aug-2015'</t>
  </si>
  <si>
    <t>'26-Aug-2015'</t>
  </si>
  <si>
    <t>'27-Aug-2015'</t>
  </si>
  <si>
    <t>'28-Aug-2015'</t>
  </si>
  <si>
    <t>'29-Aug-2015'</t>
  </si>
  <si>
    <t>'30-Aug-2015'</t>
  </si>
  <si>
    <t>'31-Aug-2015'</t>
  </si>
  <si>
    <t>'01-Sep-2015'</t>
  </si>
  <si>
    <t>'02-Sep-2015'</t>
  </si>
  <si>
    <t>'03-Sep-2015'</t>
  </si>
  <si>
    <t>'04-Sep-2015'</t>
  </si>
  <si>
    <t>'05-Sep-2015'</t>
  </si>
  <si>
    <t>'06-Sep-2015'</t>
  </si>
  <si>
    <t>'07-Sep-2015'</t>
  </si>
  <si>
    <t>'08-Sep-2015'</t>
  </si>
  <si>
    <t>'09-Sep-2015'</t>
  </si>
  <si>
    <t>'10-Sep-2015'</t>
  </si>
  <si>
    <t>'11-Sep-2015'</t>
  </si>
  <si>
    <t>'12-Sep-2015'</t>
  </si>
  <si>
    <t>'13-Sep-2015'</t>
  </si>
  <si>
    <t>'14-Sep-2015'</t>
  </si>
  <si>
    <t>BOATS</t>
  </si>
  <si>
    <t>'15-Jun-2015'</t>
  </si>
  <si>
    <t>'11-Aug-2015'</t>
  </si>
  <si>
    <t>HOLIDAY (CATEGORICAL)</t>
  </si>
  <si>
    <t>F</t>
  </si>
  <si>
    <t>MAX</t>
  </si>
  <si>
    <t>MIN</t>
  </si>
  <si>
    <t>Pinput</t>
  </si>
  <si>
    <t>1-P</t>
  </si>
  <si>
    <t>B</t>
  </si>
  <si>
    <t>A</t>
  </si>
  <si>
    <t>Poutput</t>
  </si>
  <si>
    <t>ANN RANGES</t>
  </si>
  <si>
    <t>FLAG</t>
  </si>
  <si>
    <t>TR</t>
  </si>
  <si>
    <t>TS</t>
  </si>
  <si>
    <t>VAL</t>
  </si>
  <si>
    <t>ALL</t>
  </si>
  <si>
    <t xml:space="preserve">Itr </t>
  </si>
  <si>
    <t xml:space="preserve"> HN </t>
  </si>
  <si>
    <t xml:space="preserve"> MARE-tr </t>
  </si>
  <si>
    <t xml:space="preserve"> MARE-ts </t>
  </si>
  <si>
    <t xml:space="preserve"> R2tr </t>
  </si>
  <si>
    <t xml:space="preserve"> R2ts </t>
  </si>
  <si>
    <t xml:space="preserve"> SSENtr </t>
  </si>
  <si>
    <t xml:space="preserve"> SSENts</t>
  </si>
  <si>
    <t xml:space="preserve"> SSENcomb</t>
  </si>
  <si>
    <t>Initial HN</t>
  </si>
  <si>
    <t>MARE</t>
  </si>
  <si>
    <t>R2</t>
  </si>
  <si>
    <t>ASE</t>
  </si>
  <si>
    <t>FINAL STRUCTURE</t>
  </si>
  <si>
    <t>FINAL BUILD</t>
  </si>
  <si>
    <t>No</t>
  </si>
  <si>
    <t>index</t>
  </si>
  <si>
    <t>actual</t>
  </si>
  <si>
    <t xml:space="preserve">			</t>
  </si>
  <si>
    <t>predictions</t>
  </si>
  <si>
    <t>T</t>
  </si>
  <si>
    <t>ABS</t>
  </si>
  <si>
    <t>% Success</t>
  </si>
  <si>
    <r>
      <t>Absolute (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>0)</t>
    </r>
  </si>
  <si>
    <t>Tolerance</t>
  </si>
  <si>
    <t>PREC</t>
  </si>
  <si>
    <t>LOG1</t>
  </si>
  <si>
    <t>LOG2</t>
  </si>
  <si>
    <t>LOG3</t>
  </si>
  <si>
    <t>LOG4</t>
  </si>
  <si>
    <t>PROBABILITY WEIGHT</t>
  </si>
  <si>
    <t>INDEX</t>
  </si>
  <si>
    <t xml:space="preserve">    -1.#IND00 </t>
  </si>
  <si>
    <t xml:space="preserve">	</t>
  </si>
  <si>
    <t>outputs</t>
  </si>
  <si>
    <t>RANGED2</t>
  </si>
  <si>
    <t>RANGED4</t>
  </si>
  <si>
    <t>± 2</t>
  </si>
  <si>
    <t>± 4</t>
  </si>
  <si>
    <t>Min TEMP</t>
  </si>
  <si>
    <t>Max TEMP</t>
  </si>
  <si>
    <t>Max WATER DEPTH</t>
  </si>
  <si>
    <t>Min WATER DEPTH</t>
  </si>
  <si>
    <t>Max RIVER STAGE</t>
  </si>
  <si>
    <t>Min RIVER STAGE</t>
  </si>
  <si>
    <t>PW Day Prior</t>
  </si>
  <si>
    <t>HOLIDAY Day Prior</t>
  </si>
  <si>
    <t>WEATHER Day Prior</t>
  </si>
  <si>
    <t>PRED Day-1</t>
  </si>
  <si>
    <t>Min RS Day-1</t>
  </si>
  <si>
    <t>Max RS Day-1</t>
  </si>
  <si>
    <t>Min WD Day-1</t>
  </si>
  <si>
    <t>Max WD Day-1</t>
  </si>
  <si>
    <t>Min TEMP Day-1</t>
  </si>
  <si>
    <t>Max TEMP Day-1</t>
  </si>
  <si>
    <t>CLEAR Day-1</t>
  </si>
  <si>
    <t>RAIN Day-1</t>
  </si>
  <si>
    <t>CLOUD Day-1</t>
  </si>
  <si>
    <t>21-May-2015'</t>
  </si>
  <si>
    <t>22-May-2015'</t>
  </si>
  <si>
    <t>PW Day-1</t>
  </si>
  <si>
    <t>HOLIDAY Day-1</t>
  </si>
  <si>
    <t>10-10-2000</t>
  </si>
  <si>
    <t>7-7-1400</t>
  </si>
  <si>
    <t>8-8-1400</t>
  </si>
  <si>
    <t>10-10-19900</t>
  </si>
  <si>
    <t>28-10-1</t>
  </si>
  <si>
    <t>INPUT max/min</t>
  </si>
  <si>
    <t>Output max/min</t>
  </si>
  <si>
    <t>BIAS HN</t>
  </si>
  <si>
    <t>HN CW TO OP</t>
  </si>
  <si>
    <t>CW to MATLAB</t>
  </si>
  <si>
    <t>TRAINING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</si>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</sst>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0" borderId="9" xfId="0" applyBorder="1"/>
    <xf numFmtId="0" fontId="0" fillId="0" borderId="10" xfId="0" applyBorder="1"/>
    <xf numFmtId="0" fontId="0" fillId="2" borderId="0" xfId="0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3" borderId="0" xfId="0" applyFill="1" applyBorder="1" applyAlignment="1"/>
    <xf numFmtId="0" fontId="0" fillId="0" borderId="1" xfId="0" applyFill="1" applyBorder="1" applyAlignment="1"/>
    <xf numFmtId="0" fontId="0" fillId="0" borderId="0" xfId="0" applyFill="1"/>
    <xf numFmtId="0" fontId="0" fillId="0" borderId="0" xfId="0" quotePrefix="1"/>
    <xf numFmtId="0" fontId="0" fillId="8" borderId="0" xfId="0" applyFill="1" applyBorder="1"/>
    <xf numFmtId="0" fontId="0" fillId="2" borderId="0" xfId="0" applyFill="1" applyBorder="1" applyAlignment="1">
      <alignment horizontal="center"/>
    </xf>
    <xf numFmtId="0" fontId="0" fillId="0" borderId="11" xfId="0" applyBorder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1" xfId="0" quotePrefix="1" applyBorder="1"/>
    <xf numFmtId="11" fontId="0" fillId="0" borderId="0" xfId="0" applyNumberFormat="1"/>
    <xf numFmtId="11" fontId="0" fillId="0" borderId="16" xfId="0" applyNumberFormat="1" applyBorder="1"/>
    <xf numFmtId="11" fontId="0" fillId="0" borderId="17" xfId="0" applyNumberFormat="1" applyBorder="1"/>
    <xf numFmtId="11" fontId="0" fillId="0" borderId="18" xfId="0" applyNumberFormat="1" applyBorder="1"/>
    <xf numFmtId="11" fontId="0" fillId="0" borderId="19" xfId="0" applyNumberFormat="1" applyBorder="1"/>
    <xf numFmtId="11" fontId="0" fillId="0" borderId="18" xfId="0" applyNumberFormat="1" applyBorder="1" applyAlignment="1">
      <alignment horizontal="left"/>
    </xf>
    <xf numFmtId="11" fontId="0" fillId="0" borderId="20" xfId="0" applyNumberFormat="1" applyBorder="1" applyAlignment="1">
      <alignment horizontal="left"/>
    </xf>
    <xf numFmtId="11" fontId="0" fillId="0" borderId="21" xfId="0" applyNumberFormat="1" applyBorder="1"/>
    <xf numFmtId="0" fontId="0" fillId="2" borderId="0" xfId="0" applyFill="1"/>
    <xf numFmtId="0" fontId="0" fillId="2" borderId="0" xfId="0" applyNumberFormat="1" applyFill="1"/>
    <xf numFmtId="0" fontId="0" fillId="4" borderId="0" xfId="0" applyNumberFormat="1" applyFill="1"/>
    <xf numFmtId="11" fontId="0" fillId="0" borderId="16" xfId="0" applyNumberFormat="1" applyBorder="1" applyAlignment="1">
      <alignment horizontal="left"/>
    </xf>
    <xf numFmtId="11" fontId="0" fillId="0" borderId="22" xfId="0" applyNumberFormat="1" applyBorder="1"/>
    <xf numFmtId="11" fontId="0" fillId="0" borderId="20" xfId="0" applyNumberFormat="1" applyBorder="1"/>
    <xf numFmtId="11" fontId="0" fillId="0" borderId="23" xfId="0" applyNumberFormat="1" applyBorder="1"/>
    <xf numFmtId="11" fontId="0" fillId="0" borderId="15" xfId="0" applyNumberFormat="1" applyFill="1" applyBorder="1"/>
    <xf numFmtId="0" fontId="5" fillId="4" borderId="0" xfId="0" applyNumberFormat="1" applyFont="1" applyFill="1"/>
    <xf numFmtId="11" fontId="0" fillId="0" borderId="24" xfId="0" applyNumberFormat="1" applyBorder="1"/>
    <xf numFmtId="11" fontId="0" fillId="0" borderId="25" xfId="0" applyNumberFormat="1" applyBorder="1"/>
    <xf numFmtId="11" fontId="0" fillId="0" borderId="26" xfId="0" applyNumberFormat="1" applyBorder="1"/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28-10-1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RESULT!$C$3:$C$19434</c:f>
              <c:numCache>
                <c:formatCode>General</c:formatCode>
                <c:ptCount val="19432"/>
                <c:pt idx="0">
                  <c:v>151</c:v>
                </c:pt>
                <c:pt idx="1">
                  <c:v>49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12</c:v>
                </c:pt>
                <c:pt idx="6">
                  <c:v>42</c:v>
                </c:pt>
                <c:pt idx="7">
                  <c:v>94</c:v>
                </c:pt>
                <c:pt idx="8">
                  <c:v>180</c:v>
                </c:pt>
                <c:pt idx="9">
                  <c:v>11</c:v>
                </c:pt>
                <c:pt idx="10">
                  <c:v>37</c:v>
                </c:pt>
                <c:pt idx="11">
                  <c:v>6</c:v>
                </c:pt>
                <c:pt idx="12">
                  <c:v>15</c:v>
                </c:pt>
                <c:pt idx="13">
                  <c:v>44</c:v>
                </c:pt>
                <c:pt idx="14">
                  <c:v>54</c:v>
                </c:pt>
                <c:pt idx="15">
                  <c:v>1</c:v>
                </c:pt>
                <c:pt idx="16">
                  <c:v>8</c:v>
                </c:pt>
                <c:pt idx="17">
                  <c:v>6</c:v>
                </c:pt>
                <c:pt idx="18">
                  <c:v>21</c:v>
                </c:pt>
                <c:pt idx="19">
                  <c:v>21</c:v>
                </c:pt>
                <c:pt idx="20">
                  <c:v>4</c:v>
                </c:pt>
                <c:pt idx="21">
                  <c:v>22</c:v>
                </c:pt>
                <c:pt idx="22">
                  <c:v>22</c:v>
                </c:pt>
                <c:pt idx="23">
                  <c:v>3</c:v>
                </c:pt>
                <c:pt idx="24">
                  <c:v>11</c:v>
                </c:pt>
                <c:pt idx="25">
                  <c:v>35</c:v>
                </c:pt>
                <c:pt idx="26">
                  <c:v>4</c:v>
                </c:pt>
                <c:pt idx="27">
                  <c:v>10</c:v>
                </c:pt>
                <c:pt idx="28">
                  <c:v>10</c:v>
                </c:pt>
                <c:pt idx="29">
                  <c:v>14</c:v>
                </c:pt>
                <c:pt idx="30">
                  <c:v>51</c:v>
                </c:pt>
                <c:pt idx="31">
                  <c:v>8</c:v>
                </c:pt>
                <c:pt idx="32">
                  <c:v>44</c:v>
                </c:pt>
                <c:pt idx="33">
                  <c:v>45</c:v>
                </c:pt>
                <c:pt idx="34">
                  <c:v>13</c:v>
                </c:pt>
                <c:pt idx="35">
                  <c:v>239</c:v>
                </c:pt>
                <c:pt idx="36">
                  <c:v>80</c:v>
                </c:pt>
                <c:pt idx="37">
                  <c:v>37</c:v>
                </c:pt>
                <c:pt idx="38">
                  <c:v>37</c:v>
                </c:pt>
                <c:pt idx="39">
                  <c:v>8</c:v>
                </c:pt>
                <c:pt idx="40">
                  <c:v>192</c:v>
                </c:pt>
                <c:pt idx="41">
                  <c:v>46</c:v>
                </c:pt>
                <c:pt idx="42">
                  <c:v>72</c:v>
                </c:pt>
                <c:pt idx="43">
                  <c:v>48</c:v>
                </c:pt>
                <c:pt idx="44">
                  <c:v>12</c:v>
                </c:pt>
                <c:pt idx="45">
                  <c:v>209</c:v>
                </c:pt>
                <c:pt idx="46">
                  <c:v>203</c:v>
                </c:pt>
                <c:pt idx="47">
                  <c:v>65</c:v>
                </c:pt>
                <c:pt idx="48">
                  <c:v>71</c:v>
                </c:pt>
                <c:pt idx="49">
                  <c:v>34</c:v>
                </c:pt>
                <c:pt idx="50">
                  <c:v>10</c:v>
                </c:pt>
                <c:pt idx="51">
                  <c:v>38</c:v>
                </c:pt>
                <c:pt idx="52">
                  <c:v>142</c:v>
                </c:pt>
                <c:pt idx="53">
                  <c:v>46</c:v>
                </c:pt>
                <c:pt idx="54">
                  <c:v>196</c:v>
                </c:pt>
                <c:pt idx="55">
                  <c:v>202</c:v>
                </c:pt>
                <c:pt idx="56">
                  <c:v>172</c:v>
                </c:pt>
                <c:pt idx="57">
                  <c:v>25</c:v>
                </c:pt>
                <c:pt idx="58">
                  <c:v>1</c:v>
                </c:pt>
                <c:pt idx="59">
                  <c:v>12</c:v>
                </c:pt>
                <c:pt idx="60">
                  <c:v>35</c:v>
                </c:pt>
                <c:pt idx="61">
                  <c:v>63</c:v>
                </c:pt>
                <c:pt idx="62">
                  <c:v>183</c:v>
                </c:pt>
                <c:pt idx="63">
                  <c:v>18</c:v>
                </c:pt>
                <c:pt idx="64">
                  <c:v>16</c:v>
                </c:pt>
                <c:pt idx="65">
                  <c:v>12</c:v>
                </c:pt>
                <c:pt idx="66">
                  <c:v>5</c:v>
                </c:pt>
                <c:pt idx="67">
                  <c:v>15</c:v>
                </c:pt>
                <c:pt idx="68">
                  <c:v>46</c:v>
                </c:pt>
                <c:pt idx="69">
                  <c:v>41</c:v>
                </c:pt>
                <c:pt idx="70">
                  <c:v>17</c:v>
                </c:pt>
                <c:pt idx="71">
                  <c:v>42</c:v>
                </c:pt>
                <c:pt idx="72">
                  <c:v>37</c:v>
                </c:pt>
                <c:pt idx="73">
                  <c:v>12</c:v>
                </c:pt>
                <c:pt idx="74">
                  <c:v>29</c:v>
                </c:pt>
                <c:pt idx="75">
                  <c:v>5</c:v>
                </c:pt>
                <c:pt idx="76">
                  <c:v>62</c:v>
                </c:pt>
                <c:pt idx="77">
                  <c:v>165</c:v>
                </c:pt>
                <c:pt idx="78">
                  <c:v>13</c:v>
                </c:pt>
                <c:pt idx="79">
                  <c:v>29</c:v>
                </c:pt>
                <c:pt idx="80">
                  <c:v>30</c:v>
                </c:pt>
                <c:pt idx="81">
                  <c:v>14</c:v>
                </c:pt>
                <c:pt idx="82">
                  <c:v>21</c:v>
                </c:pt>
                <c:pt idx="83">
                  <c:v>22</c:v>
                </c:pt>
                <c:pt idx="84">
                  <c:v>1</c:v>
                </c:pt>
                <c:pt idx="85">
                  <c:v>222</c:v>
                </c:pt>
                <c:pt idx="86">
                  <c:v>43</c:v>
                </c:pt>
                <c:pt idx="87">
                  <c:v>15</c:v>
                </c:pt>
                <c:pt idx="88">
                  <c:v>36</c:v>
                </c:pt>
                <c:pt idx="89">
                  <c:v>86</c:v>
                </c:pt>
                <c:pt idx="90">
                  <c:v>14</c:v>
                </c:pt>
                <c:pt idx="91">
                  <c:v>61</c:v>
                </c:pt>
                <c:pt idx="92">
                  <c:v>51</c:v>
                </c:pt>
                <c:pt idx="93">
                  <c:v>5</c:v>
                </c:pt>
                <c:pt idx="94">
                  <c:v>27</c:v>
                </c:pt>
                <c:pt idx="95">
                  <c:v>9</c:v>
                </c:pt>
                <c:pt idx="96">
                  <c:v>19</c:v>
                </c:pt>
                <c:pt idx="97">
                  <c:v>100</c:v>
                </c:pt>
                <c:pt idx="98">
                  <c:v>7</c:v>
                </c:pt>
                <c:pt idx="99">
                  <c:v>8</c:v>
                </c:pt>
                <c:pt idx="100">
                  <c:v>2</c:v>
                </c:pt>
                <c:pt idx="101">
                  <c:v>61</c:v>
                </c:pt>
                <c:pt idx="102">
                  <c:v>76</c:v>
                </c:pt>
                <c:pt idx="103">
                  <c:v>1</c:v>
                </c:pt>
                <c:pt idx="104">
                  <c:v>2</c:v>
                </c:pt>
                <c:pt idx="105">
                  <c:v>7</c:v>
                </c:pt>
                <c:pt idx="106">
                  <c:v>190</c:v>
                </c:pt>
                <c:pt idx="107">
                  <c:v>98</c:v>
                </c:pt>
                <c:pt idx="108">
                  <c:v>2</c:v>
                </c:pt>
                <c:pt idx="109">
                  <c:v>3</c:v>
                </c:pt>
                <c:pt idx="110">
                  <c:v>49</c:v>
                </c:pt>
                <c:pt idx="111">
                  <c:v>143</c:v>
                </c:pt>
                <c:pt idx="112">
                  <c:v>24</c:v>
                </c:pt>
                <c:pt idx="113">
                  <c:v>23</c:v>
                </c:pt>
                <c:pt idx="114">
                  <c:v>7</c:v>
                </c:pt>
                <c:pt idx="115">
                  <c:v>67</c:v>
                </c:pt>
                <c:pt idx="116">
                  <c:v>212</c:v>
                </c:pt>
                <c:pt idx="117">
                  <c:v>207</c:v>
                </c:pt>
                <c:pt idx="118">
                  <c:v>116</c:v>
                </c:pt>
                <c:pt idx="119">
                  <c:v>28</c:v>
                </c:pt>
                <c:pt idx="120">
                  <c:v>10</c:v>
                </c:pt>
                <c:pt idx="121">
                  <c:v>58</c:v>
                </c:pt>
                <c:pt idx="122">
                  <c:v>14</c:v>
                </c:pt>
                <c:pt idx="123">
                  <c:v>28</c:v>
                </c:pt>
                <c:pt idx="124">
                  <c:v>84</c:v>
                </c:pt>
                <c:pt idx="125">
                  <c:v>85</c:v>
                </c:pt>
                <c:pt idx="126">
                  <c:v>29</c:v>
                </c:pt>
                <c:pt idx="127">
                  <c:v>20</c:v>
                </c:pt>
                <c:pt idx="128">
                  <c:v>22</c:v>
                </c:pt>
                <c:pt idx="129">
                  <c:v>1</c:v>
                </c:pt>
                <c:pt idx="130">
                  <c:v>13</c:v>
                </c:pt>
                <c:pt idx="131">
                  <c:v>50</c:v>
                </c:pt>
                <c:pt idx="132">
                  <c:v>51</c:v>
                </c:pt>
                <c:pt idx="133">
                  <c:v>30</c:v>
                </c:pt>
                <c:pt idx="134">
                  <c:v>17</c:v>
                </c:pt>
                <c:pt idx="135">
                  <c:v>17</c:v>
                </c:pt>
                <c:pt idx="136">
                  <c:v>9</c:v>
                </c:pt>
                <c:pt idx="137">
                  <c:v>4</c:v>
                </c:pt>
                <c:pt idx="138">
                  <c:v>44</c:v>
                </c:pt>
                <c:pt idx="139">
                  <c:v>206</c:v>
                </c:pt>
                <c:pt idx="140">
                  <c:v>94</c:v>
                </c:pt>
                <c:pt idx="141">
                  <c:v>18</c:v>
                </c:pt>
                <c:pt idx="142">
                  <c:v>15</c:v>
                </c:pt>
                <c:pt idx="143">
                  <c:v>2</c:v>
                </c:pt>
                <c:pt idx="144">
                  <c:v>55</c:v>
                </c:pt>
                <c:pt idx="145">
                  <c:v>50</c:v>
                </c:pt>
                <c:pt idx="146">
                  <c:v>19</c:v>
                </c:pt>
                <c:pt idx="147">
                  <c:v>113</c:v>
                </c:pt>
                <c:pt idx="148">
                  <c:v>115</c:v>
                </c:pt>
                <c:pt idx="149">
                  <c:v>43</c:v>
                </c:pt>
                <c:pt idx="150">
                  <c:v>4</c:v>
                </c:pt>
                <c:pt idx="151">
                  <c:v>3</c:v>
                </c:pt>
                <c:pt idx="152">
                  <c:v>5</c:v>
                </c:pt>
                <c:pt idx="153">
                  <c:v>139</c:v>
                </c:pt>
                <c:pt idx="154">
                  <c:v>23</c:v>
                </c:pt>
                <c:pt idx="155">
                  <c:v>14</c:v>
                </c:pt>
                <c:pt idx="156">
                  <c:v>12</c:v>
                </c:pt>
                <c:pt idx="157">
                  <c:v>12</c:v>
                </c:pt>
                <c:pt idx="158">
                  <c:v>1</c:v>
                </c:pt>
                <c:pt idx="159">
                  <c:v>38</c:v>
                </c:pt>
                <c:pt idx="160">
                  <c:v>36</c:v>
                </c:pt>
                <c:pt idx="161">
                  <c:v>40</c:v>
                </c:pt>
                <c:pt idx="162">
                  <c:v>3</c:v>
                </c:pt>
                <c:pt idx="163">
                  <c:v>6</c:v>
                </c:pt>
                <c:pt idx="164">
                  <c:v>19</c:v>
                </c:pt>
                <c:pt idx="165">
                  <c:v>39</c:v>
                </c:pt>
                <c:pt idx="166">
                  <c:v>36</c:v>
                </c:pt>
                <c:pt idx="167">
                  <c:v>36</c:v>
                </c:pt>
                <c:pt idx="168">
                  <c:v>4</c:v>
                </c:pt>
                <c:pt idx="169">
                  <c:v>15</c:v>
                </c:pt>
                <c:pt idx="170">
                  <c:v>91</c:v>
                </c:pt>
                <c:pt idx="171">
                  <c:v>173</c:v>
                </c:pt>
                <c:pt idx="172">
                  <c:v>77</c:v>
                </c:pt>
                <c:pt idx="173">
                  <c:v>1</c:v>
                </c:pt>
                <c:pt idx="174">
                  <c:v>2</c:v>
                </c:pt>
                <c:pt idx="175">
                  <c:v>214</c:v>
                </c:pt>
                <c:pt idx="176">
                  <c:v>66</c:v>
                </c:pt>
                <c:pt idx="177">
                  <c:v>19</c:v>
                </c:pt>
                <c:pt idx="178">
                  <c:v>32</c:v>
                </c:pt>
                <c:pt idx="179">
                  <c:v>32</c:v>
                </c:pt>
                <c:pt idx="180">
                  <c:v>51</c:v>
                </c:pt>
                <c:pt idx="181">
                  <c:v>26</c:v>
                </c:pt>
                <c:pt idx="182">
                  <c:v>24</c:v>
                </c:pt>
                <c:pt idx="183">
                  <c:v>25</c:v>
                </c:pt>
                <c:pt idx="184">
                  <c:v>72</c:v>
                </c:pt>
                <c:pt idx="185">
                  <c:v>42</c:v>
                </c:pt>
                <c:pt idx="186">
                  <c:v>23</c:v>
                </c:pt>
                <c:pt idx="187">
                  <c:v>21</c:v>
                </c:pt>
                <c:pt idx="188">
                  <c:v>43</c:v>
                </c:pt>
                <c:pt idx="189">
                  <c:v>48</c:v>
                </c:pt>
                <c:pt idx="190">
                  <c:v>6</c:v>
                </c:pt>
                <c:pt idx="191">
                  <c:v>13</c:v>
                </c:pt>
                <c:pt idx="192">
                  <c:v>5</c:v>
                </c:pt>
                <c:pt idx="193">
                  <c:v>5</c:v>
                </c:pt>
                <c:pt idx="194">
                  <c:v>3</c:v>
                </c:pt>
                <c:pt idx="195">
                  <c:v>36</c:v>
                </c:pt>
                <c:pt idx="196">
                  <c:v>87</c:v>
                </c:pt>
                <c:pt idx="197">
                  <c:v>32</c:v>
                </c:pt>
                <c:pt idx="198">
                  <c:v>3</c:v>
                </c:pt>
                <c:pt idx="199">
                  <c:v>9</c:v>
                </c:pt>
                <c:pt idx="200">
                  <c:v>15</c:v>
                </c:pt>
                <c:pt idx="201">
                  <c:v>16</c:v>
                </c:pt>
                <c:pt idx="202">
                  <c:v>62</c:v>
                </c:pt>
                <c:pt idx="203">
                  <c:v>30</c:v>
                </c:pt>
                <c:pt idx="204">
                  <c:v>14</c:v>
                </c:pt>
                <c:pt idx="205">
                  <c:v>4</c:v>
                </c:pt>
                <c:pt idx="206">
                  <c:v>3</c:v>
                </c:pt>
                <c:pt idx="207">
                  <c:v>10</c:v>
                </c:pt>
                <c:pt idx="208">
                  <c:v>72</c:v>
                </c:pt>
                <c:pt idx="209">
                  <c:v>143</c:v>
                </c:pt>
                <c:pt idx="210">
                  <c:v>84</c:v>
                </c:pt>
                <c:pt idx="211">
                  <c:v>32</c:v>
                </c:pt>
                <c:pt idx="212">
                  <c:v>24</c:v>
                </c:pt>
                <c:pt idx="213">
                  <c:v>69</c:v>
                </c:pt>
                <c:pt idx="214">
                  <c:v>72</c:v>
                </c:pt>
                <c:pt idx="215">
                  <c:v>24</c:v>
                </c:pt>
                <c:pt idx="216">
                  <c:v>3</c:v>
                </c:pt>
                <c:pt idx="217">
                  <c:v>14</c:v>
                </c:pt>
                <c:pt idx="218">
                  <c:v>9</c:v>
                </c:pt>
                <c:pt idx="219">
                  <c:v>41</c:v>
                </c:pt>
                <c:pt idx="220">
                  <c:v>42</c:v>
                </c:pt>
                <c:pt idx="221">
                  <c:v>15</c:v>
                </c:pt>
                <c:pt idx="222">
                  <c:v>36</c:v>
                </c:pt>
                <c:pt idx="223">
                  <c:v>7</c:v>
                </c:pt>
                <c:pt idx="224">
                  <c:v>17</c:v>
                </c:pt>
                <c:pt idx="225">
                  <c:v>78</c:v>
                </c:pt>
                <c:pt idx="226">
                  <c:v>5</c:v>
                </c:pt>
                <c:pt idx="227">
                  <c:v>5</c:v>
                </c:pt>
                <c:pt idx="228">
                  <c:v>47</c:v>
                </c:pt>
                <c:pt idx="229">
                  <c:v>71</c:v>
                </c:pt>
                <c:pt idx="230">
                  <c:v>39</c:v>
                </c:pt>
                <c:pt idx="231">
                  <c:v>43</c:v>
                </c:pt>
                <c:pt idx="232">
                  <c:v>15</c:v>
                </c:pt>
                <c:pt idx="233">
                  <c:v>46</c:v>
                </c:pt>
                <c:pt idx="234">
                  <c:v>59</c:v>
                </c:pt>
                <c:pt idx="235">
                  <c:v>8</c:v>
                </c:pt>
                <c:pt idx="236">
                  <c:v>6</c:v>
                </c:pt>
                <c:pt idx="237">
                  <c:v>235</c:v>
                </c:pt>
                <c:pt idx="238">
                  <c:v>42</c:v>
                </c:pt>
                <c:pt idx="239">
                  <c:v>16</c:v>
                </c:pt>
                <c:pt idx="240">
                  <c:v>66</c:v>
                </c:pt>
                <c:pt idx="241">
                  <c:v>49</c:v>
                </c:pt>
                <c:pt idx="242">
                  <c:v>14</c:v>
                </c:pt>
                <c:pt idx="243">
                  <c:v>76</c:v>
                </c:pt>
                <c:pt idx="244">
                  <c:v>75</c:v>
                </c:pt>
                <c:pt idx="245">
                  <c:v>170</c:v>
                </c:pt>
                <c:pt idx="246">
                  <c:v>4</c:v>
                </c:pt>
                <c:pt idx="247">
                  <c:v>1</c:v>
                </c:pt>
                <c:pt idx="248">
                  <c:v>1</c:v>
                </c:pt>
                <c:pt idx="249">
                  <c:v>185</c:v>
                </c:pt>
                <c:pt idx="250">
                  <c:v>37</c:v>
                </c:pt>
                <c:pt idx="251">
                  <c:v>12</c:v>
                </c:pt>
                <c:pt idx="252">
                  <c:v>15</c:v>
                </c:pt>
                <c:pt idx="253">
                  <c:v>82</c:v>
                </c:pt>
                <c:pt idx="254">
                  <c:v>83</c:v>
                </c:pt>
                <c:pt idx="255">
                  <c:v>30</c:v>
                </c:pt>
                <c:pt idx="256">
                  <c:v>1</c:v>
                </c:pt>
                <c:pt idx="257">
                  <c:v>161</c:v>
                </c:pt>
                <c:pt idx="258">
                  <c:v>59</c:v>
                </c:pt>
                <c:pt idx="259">
                  <c:v>11</c:v>
                </c:pt>
                <c:pt idx="260">
                  <c:v>79</c:v>
                </c:pt>
                <c:pt idx="261">
                  <c:v>226</c:v>
                </c:pt>
                <c:pt idx="262">
                  <c:v>93</c:v>
                </c:pt>
                <c:pt idx="263">
                  <c:v>17</c:v>
                </c:pt>
                <c:pt idx="264">
                  <c:v>83</c:v>
                </c:pt>
                <c:pt idx="265">
                  <c:v>56</c:v>
                </c:pt>
                <c:pt idx="266">
                  <c:v>10</c:v>
                </c:pt>
                <c:pt idx="267">
                  <c:v>201</c:v>
                </c:pt>
                <c:pt idx="268">
                  <c:v>2</c:v>
                </c:pt>
                <c:pt idx="269">
                  <c:v>13</c:v>
                </c:pt>
                <c:pt idx="270">
                  <c:v>2</c:v>
                </c:pt>
                <c:pt idx="271">
                  <c:v>14</c:v>
                </c:pt>
                <c:pt idx="272">
                  <c:v>54</c:v>
                </c:pt>
                <c:pt idx="273">
                  <c:v>53</c:v>
                </c:pt>
                <c:pt idx="274">
                  <c:v>6</c:v>
                </c:pt>
                <c:pt idx="275">
                  <c:v>43</c:v>
                </c:pt>
                <c:pt idx="276">
                  <c:v>76</c:v>
                </c:pt>
                <c:pt idx="277">
                  <c:v>205</c:v>
                </c:pt>
                <c:pt idx="278">
                  <c:v>74</c:v>
                </c:pt>
                <c:pt idx="279">
                  <c:v>24</c:v>
                </c:pt>
                <c:pt idx="280">
                  <c:v>39</c:v>
                </c:pt>
                <c:pt idx="281">
                  <c:v>30</c:v>
                </c:pt>
                <c:pt idx="282">
                  <c:v>14</c:v>
                </c:pt>
                <c:pt idx="283">
                  <c:v>18</c:v>
                </c:pt>
                <c:pt idx="284">
                  <c:v>18</c:v>
                </c:pt>
                <c:pt idx="285">
                  <c:v>42</c:v>
                </c:pt>
                <c:pt idx="286">
                  <c:v>20</c:v>
                </c:pt>
                <c:pt idx="287">
                  <c:v>6</c:v>
                </c:pt>
                <c:pt idx="288">
                  <c:v>31</c:v>
                </c:pt>
                <c:pt idx="289">
                  <c:v>45</c:v>
                </c:pt>
                <c:pt idx="290">
                  <c:v>21</c:v>
                </c:pt>
                <c:pt idx="291">
                  <c:v>23</c:v>
                </c:pt>
                <c:pt idx="292">
                  <c:v>35</c:v>
                </c:pt>
                <c:pt idx="293">
                  <c:v>22</c:v>
                </c:pt>
                <c:pt idx="294">
                  <c:v>5</c:v>
                </c:pt>
                <c:pt idx="295">
                  <c:v>7</c:v>
                </c:pt>
                <c:pt idx="296">
                  <c:v>39</c:v>
                </c:pt>
                <c:pt idx="297">
                  <c:v>56</c:v>
                </c:pt>
                <c:pt idx="298">
                  <c:v>56</c:v>
                </c:pt>
                <c:pt idx="299">
                  <c:v>56</c:v>
                </c:pt>
                <c:pt idx="300">
                  <c:v>50</c:v>
                </c:pt>
                <c:pt idx="301">
                  <c:v>26</c:v>
                </c:pt>
                <c:pt idx="302">
                  <c:v>9</c:v>
                </c:pt>
                <c:pt idx="303">
                  <c:v>13</c:v>
                </c:pt>
                <c:pt idx="304">
                  <c:v>23</c:v>
                </c:pt>
                <c:pt idx="305">
                  <c:v>12</c:v>
                </c:pt>
                <c:pt idx="306">
                  <c:v>13</c:v>
                </c:pt>
                <c:pt idx="307">
                  <c:v>9</c:v>
                </c:pt>
                <c:pt idx="308">
                  <c:v>24</c:v>
                </c:pt>
                <c:pt idx="309">
                  <c:v>87</c:v>
                </c:pt>
                <c:pt idx="310">
                  <c:v>10</c:v>
                </c:pt>
                <c:pt idx="311">
                  <c:v>2</c:v>
                </c:pt>
                <c:pt idx="312">
                  <c:v>53</c:v>
                </c:pt>
                <c:pt idx="313">
                  <c:v>12</c:v>
                </c:pt>
                <c:pt idx="314">
                  <c:v>12</c:v>
                </c:pt>
                <c:pt idx="315">
                  <c:v>4</c:v>
                </c:pt>
                <c:pt idx="316">
                  <c:v>14</c:v>
                </c:pt>
                <c:pt idx="317">
                  <c:v>142</c:v>
                </c:pt>
                <c:pt idx="318">
                  <c:v>141</c:v>
                </c:pt>
                <c:pt idx="319">
                  <c:v>45</c:v>
                </c:pt>
                <c:pt idx="320">
                  <c:v>17</c:v>
                </c:pt>
                <c:pt idx="321">
                  <c:v>162</c:v>
                </c:pt>
                <c:pt idx="322">
                  <c:v>2</c:v>
                </c:pt>
                <c:pt idx="323">
                  <c:v>181</c:v>
                </c:pt>
                <c:pt idx="324">
                  <c:v>6</c:v>
                </c:pt>
                <c:pt idx="325">
                  <c:v>57</c:v>
                </c:pt>
                <c:pt idx="326">
                  <c:v>12</c:v>
                </c:pt>
                <c:pt idx="327">
                  <c:v>147</c:v>
                </c:pt>
                <c:pt idx="328">
                  <c:v>152</c:v>
                </c:pt>
                <c:pt idx="329">
                  <c:v>34</c:v>
                </c:pt>
                <c:pt idx="330">
                  <c:v>12</c:v>
                </c:pt>
                <c:pt idx="331">
                  <c:v>41</c:v>
                </c:pt>
                <c:pt idx="332">
                  <c:v>107</c:v>
                </c:pt>
                <c:pt idx="333">
                  <c:v>15</c:v>
                </c:pt>
                <c:pt idx="334">
                  <c:v>67</c:v>
                </c:pt>
                <c:pt idx="335">
                  <c:v>191</c:v>
                </c:pt>
                <c:pt idx="336">
                  <c:v>16</c:v>
                </c:pt>
                <c:pt idx="337">
                  <c:v>22</c:v>
                </c:pt>
                <c:pt idx="338">
                  <c:v>22</c:v>
                </c:pt>
                <c:pt idx="339">
                  <c:v>16</c:v>
                </c:pt>
                <c:pt idx="340">
                  <c:v>6</c:v>
                </c:pt>
                <c:pt idx="341">
                  <c:v>10</c:v>
                </c:pt>
                <c:pt idx="342">
                  <c:v>5</c:v>
                </c:pt>
                <c:pt idx="343">
                  <c:v>139</c:v>
                </c:pt>
                <c:pt idx="344">
                  <c:v>41</c:v>
                </c:pt>
                <c:pt idx="345">
                  <c:v>23</c:v>
                </c:pt>
                <c:pt idx="346">
                  <c:v>21</c:v>
                </c:pt>
                <c:pt idx="347">
                  <c:v>7</c:v>
                </c:pt>
                <c:pt idx="348">
                  <c:v>36</c:v>
                </c:pt>
                <c:pt idx="349">
                  <c:v>73</c:v>
                </c:pt>
                <c:pt idx="350">
                  <c:v>37</c:v>
                </c:pt>
                <c:pt idx="351">
                  <c:v>42</c:v>
                </c:pt>
                <c:pt idx="352">
                  <c:v>37</c:v>
                </c:pt>
                <c:pt idx="353">
                  <c:v>29</c:v>
                </c:pt>
                <c:pt idx="354">
                  <c:v>5</c:v>
                </c:pt>
                <c:pt idx="355">
                  <c:v>5</c:v>
                </c:pt>
                <c:pt idx="356">
                  <c:v>39</c:v>
                </c:pt>
                <c:pt idx="357">
                  <c:v>13</c:v>
                </c:pt>
                <c:pt idx="358">
                  <c:v>23</c:v>
                </c:pt>
                <c:pt idx="359">
                  <c:v>97</c:v>
                </c:pt>
                <c:pt idx="360">
                  <c:v>21</c:v>
                </c:pt>
                <c:pt idx="361">
                  <c:v>2</c:v>
                </c:pt>
                <c:pt idx="362">
                  <c:v>50</c:v>
                </c:pt>
                <c:pt idx="363">
                  <c:v>100</c:v>
                </c:pt>
                <c:pt idx="364">
                  <c:v>40</c:v>
                </c:pt>
                <c:pt idx="365">
                  <c:v>3</c:v>
                </c:pt>
                <c:pt idx="366">
                  <c:v>51</c:v>
                </c:pt>
                <c:pt idx="367">
                  <c:v>52</c:v>
                </c:pt>
                <c:pt idx="368">
                  <c:v>65</c:v>
                </c:pt>
                <c:pt idx="369">
                  <c:v>20</c:v>
                </c:pt>
                <c:pt idx="370">
                  <c:v>18</c:v>
                </c:pt>
                <c:pt idx="371">
                  <c:v>19</c:v>
                </c:pt>
                <c:pt idx="372">
                  <c:v>75</c:v>
                </c:pt>
                <c:pt idx="373">
                  <c:v>21</c:v>
                </c:pt>
                <c:pt idx="374">
                  <c:v>1</c:v>
                </c:pt>
                <c:pt idx="375">
                  <c:v>24</c:v>
                </c:pt>
                <c:pt idx="376">
                  <c:v>4</c:v>
                </c:pt>
                <c:pt idx="377">
                  <c:v>10</c:v>
                </c:pt>
                <c:pt idx="378">
                  <c:v>34</c:v>
                </c:pt>
                <c:pt idx="379">
                  <c:v>36</c:v>
                </c:pt>
                <c:pt idx="380">
                  <c:v>2</c:v>
                </c:pt>
                <c:pt idx="381">
                  <c:v>133</c:v>
                </c:pt>
                <c:pt idx="382">
                  <c:v>44</c:v>
                </c:pt>
                <c:pt idx="383">
                  <c:v>44</c:v>
                </c:pt>
                <c:pt idx="384">
                  <c:v>27</c:v>
                </c:pt>
                <c:pt idx="385">
                  <c:v>46</c:v>
                </c:pt>
                <c:pt idx="386">
                  <c:v>15</c:v>
                </c:pt>
                <c:pt idx="387">
                  <c:v>7</c:v>
                </c:pt>
                <c:pt idx="388">
                  <c:v>22</c:v>
                </c:pt>
                <c:pt idx="389">
                  <c:v>13</c:v>
                </c:pt>
                <c:pt idx="390">
                  <c:v>11</c:v>
                </c:pt>
                <c:pt idx="391">
                  <c:v>29</c:v>
                </c:pt>
                <c:pt idx="392">
                  <c:v>20</c:v>
                </c:pt>
                <c:pt idx="393">
                  <c:v>173</c:v>
                </c:pt>
                <c:pt idx="394">
                  <c:v>201</c:v>
                </c:pt>
                <c:pt idx="395">
                  <c:v>32</c:v>
                </c:pt>
                <c:pt idx="396">
                  <c:v>69</c:v>
                </c:pt>
                <c:pt idx="397">
                  <c:v>77</c:v>
                </c:pt>
                <c:pt idx="398">
                  <c:v>13</c:v>
                </c:pt>
                <c:pt idx="399">
                  <c:v>6</c:v>
                </c:pt>
                <c:pt idx="400">
                  <c:v>17</c:v>
                </c:pt>
                <c:pt idx="401">
                  <c:v>13</c:v>
                </c:pt>
                <c:pt idx="402">
                  <c:v>87</c:v>
                </c:pt>
                <c:pt idx="403">
                  <c:v>15</c:v>
                </c:pt>
                <c:pt idx="404">
                  <c:v>64</c:v>
                </c:pt>
                <c:pt idx="405">
                  <c:v>17</c:v>
                </c:pt>
                <c:pt idx="406">
                  <c:v>26</c:v>
                </c:pt>
                <c:pt idx="407">
                  <c:v>11</c:v>
                </c:pt>
                <c:pt idx="408">
                  <c:v>147</c:v>
                </c:pt>
                <c:pt idx="409">
                  <c:v>10</c:v>
                </c:pt>
                <c:pt idx="410">
                  <c:v>198</c:v>
                </c:pt>
                <c:pt idx="411">
                  <c:v>204</c:v>
                </c:pt>
                <c:pt idx="412">
                  <c:v>67</c:v>
                </c:pt>
                <c:pt idx="413">
                  <c:v>98</c:v>
                </c:pt>
                <c:pt idx="414">
                  <c:v>96</c:v>
                </c:pt>
                <c:pt idx="415">
                  <c:v>6</c:v>
                </c:pt>
              </c:numCache>
            </c:numRef>
          </c:xVal>
          <c:yVal>
            <c:numRef>
              <c:f>RESULT!$D$3:$D$19434</c:f>
              <c:numCache>
                <c:formatCode>General</c:formatCode>
                <c:ptCount val="19432"/>
                <c:pt idx="0">
                  <c:v>146.35642999999999</c:v>
                </c:pt>
                <c:pt idx="1">
                  <c:v>52.66375</c:v>
                </c:pt>
                <c:pt idx="2">
                  <c:v>0.29108000000000001</c:v>
                </c:pt>
                <c:pt idx="3">
                  <c:v>6.4439999999999997E-2</c:v>
                </c:pt>
                <c:pt idx="4">
                  <c:v>0.12881000000000001</c:v>
                </c:pt>
                <c:pt idx="5">
                  <c:v>9.2748600000000003</c:v>
                </c:pt>
                <c:pt idx="6">
                  <c:v>47.109740000000002</c:v>
                </c:pt>
                <c:pt idx="7">
                  <c:v>61.250430000000001</c:v>
                </c:pt>
                <c:pt idx="8">
                  <c:v>169.56334000000001</c:v>
                </c:pt>
                <c:pt idx="9">
                  <c:v>11.23176</c:v>
                </c:pt>
                <c:pt idx="10">
                  <c:v>38.057409999999997</c:v>
                </c:pt>
                <c:pt idx="11">
                  <c:v>9.7500000000000003E-2</c:v>
                </c:pt>
                <c:pt idx="12">
                  <c:v>6.41</c:v>
                </c:pt>
                <c:pt idx="13">
                  <c:v>45.120800000000003</c:v>
                </c:pt>
                <c:pt idx="14">
                  <c:v>41.580509999999997</c:v>
                </c:pt>
                <c:pt idx="15">
                  <c:v>0.15565000000000001</c:v>
                </c:pt>
                <c:pt idx="16">
                  <c:v>0.69671000000000005</c:v>
                </c:pt>
                <c:pt idx="17">
                  <c:v>10.31427</c:v>
                </c:pt>
                <c:pt idx="18">
                  <c:v>47.152520000000003</c:v>
                </c:pt>
                <c:pt idx="19">
                  <c:v>42.958530000000003</c:v>
                </c:pt>
                <c:pt idx="20">
                  <c:v>6.8627599999999997</c:v>
                </c:pt>
                <c:pt idx="21">
                  <c:v>19.203240000000001</c:v>
                </c:pt>
                <c:pt idx="22">
                  <c:v>21.201059999999998</c:v>
                </c:pt>
                <c:pt idx="23">
                  <c:v>1.3694999999999999</c:v>
                </c:pt>
                <c:pt idx="24">
                  <c:v>6.6600400000000004</c:v>
                </c:pt>
                <c:pt idx="25">
                  <c:v>30.187139999999999</c:v>
                </c:pt>
                <c:pt idx="26">
                  <c:v>3.3603399999999999</c:v>
                </c:pt>
                <c:pt idx="27">
                  <c:v>24.482379999999999</c:v>
                </c:pt>
                <c:pt idx="28">
                  <c:v>18.049189999999999</c:v>
                </c:pt>
                <c:pt idx="29">
                  <c:v>13.860860000000001</c:v>
                </c:pt>
                <c:pt idx="30">
                  <c:v>61.048380000000002</c:v>
                </c:pt>
                <c:pt idx="31">
                  <c:v>19.8964</c:v>
                </c:pt>
                <c:pt idx="32">
                  <c:v>39.153449999999999</c:v>
                </c:pt>
                <c:pt idx="33">
                  <c:v>40.791629999999998</c:v>
                </c:pt>
                <c:pt idx="34">
                  <c:v>2.7887</c:v>
                </c:pt>
                <c:pt idx="35">
                  <c:v>241.53297000000001</c:v>
                </c:pt>
                <c:pt idx="36">
                  <c:v>79.281090000000006</c:v>
                </c:pt>
                <c:pt idx="37">
                  <c:v>45.483289999999997</c:v>
                </c:pt>
                <c:pt idx="38">
                  <c:v>48.308059999999998</c:v>
                </c:pt>
                <c:pt idx="39">
                  <c:v>19.916499999999999</c:v>
                </c:pt>
                <c:pt idx="40">
                  <c:v>189.512</c:v>
                </c:pt>
                <c:pt idx="41">
                  <c:v>52.923729999999999</c:v>
                </c:pt>
                <c:pt idx="42">
                  <c:v>55.103189999999998</c:v>
                </c:pt>
                <c:pt idx="43">
                  <c:v>50.212040000000002</c:v>
                </c:pt>
                <c:pt idx="44">
                  <c:v>39.203470000000003</c:v>
                </c:pt>
                <c:pt idx="45">
                  <c:v>210.15002999999999</c:v>
                </c:pt>
                <c:pt idx="46">
                  <c:v>209.11202</c:v>
                </c:pt>
                <c:pt idx="47">
                  <c:v>78.561539999999994</c:v>
                </c:pt>
                <c:pt idx="48">
                  <c:v>93.04504</c:v>
                </c:pt>
                <c:pt idx="49">
                  <c:v>32.526629999999997</c:v>
                </c:pt>
                <c:pt idx="50">
                  <c:v>10.93064</c:v>
                </c:pt>
                <c:pt idx="51">
                  <c:v>50.731679999999997</c:v>
                </c:pt>
                <c:pt idx="52">
                  <c:v>133.93288000000001</c:v>
                </c:pt>
                <c:pt idx="53">
                  <c:v>44.37426</c:v>
                </c:pt>
                <c:pt idx="54">
                  <c:v>199.18018000000001</c:v>
                </c:pt>
                <c:pt idx="55">
                  <c:v>202.22370000000001</c:v>
                </c:pt>
                <c:pt idx="56">
                  <c:v>168.06164000000001</c:v>
                </c:pt>
                <c:pt idx="57">
                  <c:v>53.028959999999998</c:v>
                </c:pt>
                <c:pt idx="58">
                  <c:v>1.8799600000000001</c:v>
                </c:pt>
                <c:pt idx="59">
                  <c:v>8.8278800000000004</c:v>
                </c:pt>
                <c:pt idx="60">
                  <c:v>40.156300000000002</c:v>
                </c:pt>
                <c:pt idx="61">
                  <c:v>70.648520000000005</c:v>
                </c:pt>
                <c:pt idx="62">
                  <c:v>184.09278</c:v>
                </c:pt>
                <c:pt idx="63">
                  <c:v>19.869389999999999</c:v>
                </c:pt>
                <c:pt idx="64">
                  <c:v>6.4439200000000003</c:v>
                </c:pt>
                <c:pt idx="65">
                  <c:v>10.816079999999999</c:v>
                </c:pt>
                <c:pt idx="66">
                  <c:v>8.79908</c:v>
                </c:pt>
                <c:pt idx="67">
                  <c:v>10.32282</c:v>
                </c:pt>
                <c:pt idx="68">
                  <c:v>34.944369999999999</c:v>
                </c:pt>
                <c:pt idx="69">
                  <c:v>35.312600000000003</c:v>
                </c:pt>
                <c:pt idx="70">
                  <c:v>20.211839999999999</c:v>
                </c:pt>
                <c:pt idx="71">
                  <c:v>34.039580000000001</c:v>
                </c:pt>
                <c:pt idx="72">
                  <c:v>44.530090000000001</c:v>
                </c:pt>
                <c:pt idx="73">
                  <c:v>12.730600000000001</c:v>
                </c:pt>
                <c:pt idx="74">
                  <c:v>28.494949999999999</c:v>
                </c:pt>
                <c:pt idx="75">
                  <c:v>13.99934</c:v>
                </c:pt>
                <c:pt idx="76">
                  <c:v>55.954169999999998</c:v>
                </c:pt>
                <c:pt idx="77">
                  <c:v>157.52744999999999</c:v>
                </c:pt>
                <c:pt idx="78">
                  <c:v>14.513389999999999</c:v>
                </c:pt>
                <c:pt idx="79">
                  <c:v>37.998359999999998</c:v>
                </c:pt>
                <c:pt idx="80">
                  <c:v>38.335920000000002</c:v>
                </c:pt>
                <c:pt idx="81">
                  <c:v>13.166169999999999</c:v>
                </c:pt>
                <c:pt idx="82">
                  <c:v>32.031480000000002</c:v>
                </c:pt>
                <c:pt idx="83">
                  <c:v>44.63373</c:v>
                </c:pt>
                <c:pt idx="84">
                  <c:v>4.5217799999999997</c:v>
                </c:pt>
                <c:pt idx="85">
                  <c:v>210.62566000000001</c:v>
                </c:pt>
                <c:pt idx="86">
                  <c:v>49.037990000000001</c:v>
                </c:pt>
                <c:pt idx="87">
                  <c:v>20.719339999999999</c:v>
                </c:pt>
                <c:pt idx="88">
                  <c:v>57.859459999999999</c:v>
                </c:pt>
                <c:pt idx="89">
                  <c:v>107.13160999999999</c:v>
                </c:pt>
                <c:pt idx="90">
                  <c:v>18.738959999999999</c:v>
                </c:pt>
                <c:pt idx="91">
                  <c:v>74.079539999999994</c:v>
                </c:pt>
                <c:pt idx="92">
                  <c:v>66.54392</c:v>
                </c:pt>
                <c:pt idx="93">
                  <c:v>6.4905400000000002</c:v>
                </c:pt>
                <c:pt idx="94">
                  <c:v>47.440890000000003</c:v>
                </c:pt>
                <c:pt idx="95">
                  <c:v>10.147220000000001</c:v>
                </c:pt>
                <c:pt idx="96">
                  <c:v>32.213540000000002</c:v>
                </c:pt>
                <c:pt idx="97">
                  <c:v>119.81614</c:v>
                </c:pt>
                <c:pt idx="98">
                  <c:v>17.82413</c:v>
                </c:pt>
                <c:pt idx="99">
                  <c:v>14.966340000000001</c:v>
                </c:pt>
                <c:pt idx="100">
                  <c:v>12.77618</c:v>
                </c:pt>
                <c:pt idx="101">
                  <c:v>81.837829999999997</c:v>
                </c:pt>
                <c:pt idx="102">
                  <c:v>86.970680000000002</c:v>
                </c:pt>
                <c:pt idx="103">
                  <c:v>5.9409900000000002</c:v>
                </c:pt>
                <c:pt idx="104">
                  <c:v>7.12066</c:v>
                </c:pt>
                <c:pt idx="105">
                  <c:v>5.7321299999999997</c:v>
                </c:pt>
                <c:pt idx="106">
                  <c:v>198.62853999999999</c:v>
                </c:pt>
                <c:pt idx="107">
                  <c:v>97.616380000000007</c:v>
                </c:pt>
                <c:pt idx="108">
                  <c:v>0.27424999999999999</c:v>
                </c:pt>
                <c:pt idx="109">
                  <c:v>1.6738599999999999</c:v>
                </c:pt>
                <c:pt idx="110">
                  <c:v>54.834800000000001</c:v>
                </c:pt>
                <c:pt idx="111">
                  <c:v>150.31300999999999</c:v>
                </c:pt>
                <c:pt idx="112">
                  <c:v>10.55589</c:v>
                </c:pt>
                <c:pt idx="113">
                  <c:v>11.5749</c:v>
                </c:pt>
                <c:pt idx="114">
                  <c:v>7.6693800000000003</c:v>
                </c:pt>
                <c:pt idx="115">
                  <c:v>69.758039999999994</c:v>
                </c:pt>
                <c:pt idx="116">
                  <c:v>213.55681000000001</c:v>
                </c:pt>
                <c:pt idx="117">
                  <c:v>220.64918</c:v>
                </c:pt>
                <c:pt idx="118">
                  <c:v>110.57807</c:v>
                </c:pt>
                <c:pt idx="119">
                  <c:v>19.733989999999999</c:v>
                </c:pt>
                <c:pt idx="120">
                  <c:v>5.7478100000000003</c:v>
                </c:pt>
                <c:pt idx="121">
                  <c:v>80.709140000000005</c:v>
                </c:pt>
                <c:pt idx="122">
                  <c:v>22.58389</c:v>
                </c:pt>
                <c:pt idx="123">
                  <c:v>18.71715</c:v>
                </c:pt>
                <c:pt idx="124">
                  <c:v>89.222710000000006</c:v>
                </c:pt>
                <c:pt idx="125">
                  <c:v>79.937520000000006</c:v>
                </c:pt>
                <c:pt idx="126">
                  <c:v>31.98659</c:v>
                </c:pt>
                <c:pt idx="127">
                  <c:v>19.43507</c:v>
                </c:pt>
                <c:pt idx="128">
                  <c:v>19.99532</c:v>
                </c:pt>
                <c:pt idx="129">
                  <c:v>0.66057999999999995</c:v>
                </c:pt>
                <c:pt idx="130">
                  <c:v>15.27298</c:v>
                </c:pt>
                <c:pt idx="131">
                  <c:v>51.100560000000002</c:v>
                </c:pt>
                <c:pt idx="132">
                  <c:v>69.627529999999993</c:v>
                </c:pt>
                <c:pt idx="133">
                  <c:v>42.234960000000001</c:v>
                </c:pt>
                <c:pt idx="134">
                  <c:v>20.469390000000001</c:v>
                </c:pt>
                <c:pt idx="135">
                  <c:v>21.784279999999999</c:v>
                </c:pt>
                <c:pt idx="136">
                  <c:v>9.95641</c:v>
                </c:pt>
                <c:pt idx="137">
                  <c:v>1.5348599999999999</c:v>
                </c:pt>
                <c:pt idx="138">
                  <c:v>37.859459999999999</c:v>
                </c:pt>
                <c:pt idx="139">
                  <c:v>197.80257</c:v>
                </c:pt>
                <c:pt idx="140">
                  <c:v>98.154470000000003</c:v>
                </c:pt>
                <c:pt idx="141">
                  <c:v>17.399460000000001</c:v>
                </c:pt>
                <c:pt idx="142">
                  <c:v>17.335049999999999</c:v>
                </c:pt>
                <c:pt idx="143">
                  <c:v>10.84638</c:v>
                </c:pt>
                <c:pt idx="144">
                  <c:v>57.698210000000003</c:v>
                </c:pt>
                <c:pt idx="145">
                  <c:v>63.12679</c:v>
                </c:pt>
                <c:pt idx="146">
                  <c:v>18.056899999999999</c:v>
                </c:pt>
                <c:pt idx="147">
                  <c:v>124.69458</c:v>
                </c:pt>
                <c:pt idx="148">
                  <c:v>128.75769</c:v>
                </c:pt>
                <c:pt idx="149">
                  <c:v>28.824110000000001</c:v>
                </c:pt>
                <c:pt idx="150">
                  <c:v>9.96814</c:v>
                </c:pt>
                <c:pt idx="151">
                  <c:v>4.1412500000000003</c:v>
                </c:pt>
                <c:pt idx="152">
                  <c:v>9.5778599999999994</c:v>
                </c:pt>
                <c:pt idx="153">
                  <c:v>143.95186000000001</c:v>
                </c:pt>
                <c:pt idx="154">
                  <c:v>9.0162099999999992</c:v>
                </c:pt>
                <c:pt idx="155">
                  <c:v>24.154499999999999</c:v>
                </c:pt>
                <c:pt idx="156">
                  <c:v>18.835999999999999</c:v>
                </c:pt>
                <c:pt idx="157">
                  <c:v>16.07742</c:v>
                </c:pt>
                <c:pt idx="158">
                  <c:v>2.0578500000000002</c:v>
                </c:pt>
                <c:pt idx="159">
                  <c:v>39.156210000000002</c:v>
                </c:pt>
                <c:pt idx="160">
                  <c:v>21.7881</c:v>
                </c:pt>
                <c:pt idx="161">
                  <c:v>26.10934</c:v>
                </c:pt>
                <c:pt idx="162">
                  <c:v>11.35365</c:v>
                </c:pt>
                <c:pt idx="163">
                  <c:v>16.34065</c:v>
                </c:pt>
                <c:pt idx="164">
                  <c:v>40.312170000000002</c:v>
                </c:pt>
                <c:pt idx="165">
                  <c:v>45.283239999999999</c:v>
                </c:pt>
                <c:pt idx="166">
                  <c:v>44.907029999999999</c:v>
                </c:pt>
                <c:pt idx="167">
                  <c:v>40.09928</c:v>
                </c:pt>
                <c:pt idx="168">
                  <c:v>8.8463200000000004</c:v>
                </c:pt>
                <c:pt idx="169">
                  <c:v>25.645810000000001</c:v>
                </c:pt>
                <c:pt idx="170">
                  <c:v>77.791700000000006</c:v>
                </c:pt>
                <c:pt idx="171">
                  <c:v>169.97103000000001</c:v>
                </c:pt>
                <c:pt idx="172">
                  <c:v>75.339789999999994</c:v>
                </c:pt>
                <c:pt idx="173">
                  <c:v>3.2139700000000002</c:v>
                </c:pt>
                <c:pt idx="174">
                  <c:v>4.2115799999999997</c:v>
                </c:pt>
                <c:pt idx="175">
                  <c:v>158.54248000000001</c:v>
                </c:pt>
                <c:pt idx="176">
                  <c:v>43.57761</c:v>
                </c:pt>
                <c:pt idx="177">
                  <c:v>14.05386</c:v>
                </c:pt>
                <c:pt idx="178">
                  <c:v>48.030299999999997</c:v>
                </c:pt>
                <c:pt idx="179">
                  <c:v>27.044350000000001</c:v>
                </c:pt>
                <c:pt idx="180">
                  <c:v>47.463169999999998</c:v>
                </c:pt>
                <c:pt idx="181">
                  <c:v>23.652529999999999</c:v>
                </c:pt>
                <c:pt idx="182">
                  <c:v>24.050850000000001</c:v>
                </c:pt>
                <c:pt idx="183">
                  <c:v>24.815560000000001</c:v>
                </c:pt>
                <c:pt idx="184">
                  <c:v>66.134559999999993</c:v>
                </c:pt>
                <c:pt idx="185">
                  <c:v>31.264230000000001</c:v>
                </c:pt>
                <c:pt idx="186">
                  <c:v>19.280169999999998</c:v>
                </c:pt>
                <c:pt idx="187">
                  <c:v>9.7690800000000007</c:v>
                </c:pt>
                <c:pt idx="188">
                  <c:v>35.334180000000003</c:v>
                </c:pt>
                <c:pt idx="189">
                  <c:v>31.839099999999998</c:v>
                </c:pt>
                <c:pt idx="190">
                  <c:v>7.2227300000000003</c:v>
                </c:pt>
                <c:pt idx="191">
                  <c:v>9.9756400000000003</c:v>
                </c:pt>
                <c:pt idx="192">
                  <c:v>7.9171899999999997</c:v>
                </c:pt>
                <c:pt idx="193">
                  <c:v>1.41554</c:v>
                </c:pt>
                <c:pt idx="194">
                  <c:v>10.252610000000001</c:v>
                </c:pt>
                <c:pt idx="195">
                  <c:v>38.013010000000001</c:v>
                </c:pt>
                <c:pt idx="196">
                  <c:v>81.528570000000002</c:v>
                </c:pt>
                <c:pt idx="197">
                  <c:v>25.92182</c:v>
                </c:pt>
                <c:pt idx="198">
                  <c:v>10.57207</c:v>
                </c:pt>
                <c:pt idx="199">
                  <c:v>10.72856</c:v>
                </c:pt>
                <c:pt idx="200">
                  <c:v>24.79044</c:v>
                </c:pt>
                <c:pt idx="201">
                  <c:v>11.402659999999999</c:v>
                </c:pt>
                <c:pt idx="202">
                  <c:v>84.579300000000003</c:v>
                </c:pt>
                <c:pt idx="203">
                  <c:v>29.682580000000002</c:v>
                </c:pt>
                <c:pt idx="204">
                  <c:v>7.2043299999999997</c:v>
                </c:pt>
                <c:pt idx="205">
                  <c:v>10.44997</c:v>
                </c:pt>
                <c:pt idx="206">
                  <c:v>14.20373</c:v>
                </c:pt>
                <c:pt idx="207">
                  <c:v>22.26473</c:v>
                </c:pt>
                <c:pt idx="208">
                  <c:v>48.880760000000002</c:v>
                </c:pt>
                <c:pt idx="209">
                  <c:v>143.24457000000001</c:v>
                </c:pt>
                <c:pt idx="210">
                  <c:v>42.120899999999999</c:v>
                </c:pt>
                <c:pt idx="211">
                  <c:v>32.384720000000002</c:v>
                </c:pt>
                <c:pt idx="212">
                  <c:v>30.38786</c:v>
                </c:pt>
                <c:pt idx="213">
                  <c:v>59.569629999999997</c:v>
                </c:pt>
                <c:pt idx="214">
                  <c:v>60.405419999999999</c:v>
                </c:pt>
                <c:pt idx="215">
                  <c:v>23.00404</c:v>
                </c:pt>
                <c:pt idx="216">
                  <c:v>5.5334599999999998</c:v>
                </c:pt>
                <c:pt idx="217">
                  <c:v>10.582890000000001</c:v>
                </c:pt>
                <c:pt idx="218">
                  <c:v>6.3163</c:v>
                </c:pt>
                <c:pt idx="219">
                  <c:v>47.635910000000003</c:v>
                </c:pt>
                <c:pt idx="220">
                  <c:v>46.430509999999998</c:v>
                </c:pt>
                <c:pt idx="221">
                  <c:v>13.889659999999999</c:v>
                </c:pt>
                <c:pt idx="222">
                  <c:v>28.101030000000002</c:v>
                </c:pt>
                <c:pt idx="223">
                  <c:v>1.9704299999999999</c:v>
                </c:pt>
                <c:pt idx="224">
                  <c:v>17.558979999999998</c:v>
                </c:pt>
                <c:pt idx="225">
                  <c:v>58.493229999999997</c:v>
                </c:pt>
                <c:pt idx="226">
                  <c:v>8.1133500000000005</c:v>
                </c:pt>
                <c:pt idx="227">
                  <c:v>8.0620499999999993</c:v>
                </c:pt>
                <c:pt idx="228">
                  <c:v>44.269170000000003</c:v>
                </c:pt>
                <c:pt idx="229">
                  <c:v>58.119529999999997</c:v>
                </c:pt>
                <c:pt idx="230">
                  <c:v>33.959220000000002</c:v>
                </c:pt>
                <c:pt idx="231">
                  <c:v>48.487810000000003</c:v>
                </c:pt>
                <c:pt idx="232">
                  <c:v>12.91168</c:v>
                </c:pt>
                <c:pt idx="233">
                  <c:v>16.072949999999999</c:v>
                </c:pt>
                <c:pt idx="234">
                  <c:v>16.321100000000001</c:v>
                </c:pt>
                <c:pt idx="235">
                  <c:v>0.72080999999999995</c:v>
                </c:pt>
                <c:pt idx="236">
                  <c:v>7.2789900000000003</c:v>
                </c:pt>
                <c:pt idx="237">
                  <c:v>233.12248</c:v>
                </c:pt>
                <c:pt idx="238">
                  <c:v>51.437530000000002</c:v>
                </c:pt>
                <c:pt idx="239">
                  <c:v>7.8568499999999997</c:v>
                </c:pt>
                <c:pt idx="240">
                  <c:v>54.837319999999998</c:v>
                </c:pt>
                <c:pt idx="241">
                  <c:v>50.06953</c:v>
                </c:pt>
                <c:pt idx="242">
                  <c:v>21.728719999999999</c:v>
                </c:pt>
                <c:pt idx="243">
                  <c:v>75.513300000000001</c:v>
                </c:pt>
                <c:pt idx="244">
                  <c:v>71.135810000000006</c:v>
                </c:pt>
                <c:pt idx="245">
                  <c:v>185.48508000000001</c:v>
                </c:pt>
                <c:pt idx="246">
                  <c:v>11.60347</c:v>
                </c:pt>
                <c:pt idx="247">
                  <c:v>2.0682100000000001</c:v>
                </c:pt>
                <c:pt idx="248">
                  <c:v>1.62625</c:v>
                </c:pt>
                <c:pt idx="249">
                  <c:v>181.52251999999999</c:v>
                </c:pt>
                <c:pt idx="250">
                  <c:v>36.364780000000003</c:v>
                </c:pt>
                <c:pt idx="251">
                  <c:v>10.9428</c:v>
                </c:pt>
                <c:pt idx="252">
                  <c:v>10.98462</c:v>
                </c:pt>
                <c:pt idx="253">
                  <c:v>72.898449999999997</c:v>
                </c:pt>
                <c:pt idx="254">
                  <c:v>65.245959999999997</c:v>
                </c:pt>
                <c:pt idx="255">
                  <c:v>15.25287</c:v>
                </c:pt>
                <c:pt idx="256">
                  <c:v>0.42155999999999999</c:v>
                </c:pt>
                <c:pt idx="257">
                  <c:v>142.3047</c:v>
                </c:pt>
                <c:pt idx="258">
                  <c:v>60.957380000000001</c:v>
                </c:pt>
                <c:pt idx="259">
                  <c:v>9.6514399999999991</c:v>
                </c:pt>
                <c:pt idx="260">
                  <c:v>70.181839999999994</c:v>
                </c:pt>
                <c:pt idx="261">
                  <c:v>208.43884</c:v>
                </c:pt>
                <c:pt idx="262">
                  <c:v>79.585790000000003</c:v>
                </c:pt>
                <c:pt idx="263">
                  <c:v>16.024069999999998</c:v>
                </c:pt>
                <c:pt idx="264">
                  <c:v>113.00617</c:v>
                </c:pt>
                <c:pt idx="265">
                  <c:v>43.657290000000003</c:v>
                </c:pt>
                <c:pt idx="266">
                  <c:v>16.6907</c:v>
                </c:pt>
                <c:pt idx="267">
                  <c:v>202.87324000000001</c:v>
                </c:pt>
                <c:pt idx="268">
                  <c:v>1.1499299999999999</c:v>
                </c:pt>
                <c:pt idx="269">
                  <c:v>5.7588999999999997</c:v>
                </c:pt>
                <c:pt idx="270">
                  <c:v>6.0965299999999996</c:v>
                </c:pt>
                <c:pt idx="271">
                  <c:v>6.1504599999999998</c:v>
                </c:pt>
                <c:pt idx="272">
                  <c:v>48.921779999999998</c:v>
                </c:pt>
                <c:pt idx="273">
                  <c:v>64.282790000000006</c:v>
                </c:pt>
                <c:pt idx="274">
                  <c:v>8.0851799999999994</c:v>
                </c:pt>
                <c:pt idx="275">
                  <c:v>39.00864</c:v>
                </c:pt>
                <c:pt idx="276">
                  <c:v>82.220190000000002</c:v>
                </c:pt>
                <c:pt idx="277">
                  <c:v>198.87253999999999</c:v>
                </c:pt>
                <c:pt idx="278">
                  <c:v>68.174520000000001</c:v>
                </c:pt>
                <c:pt idx="279">
                  <c:v>26.815020000000001</c:v>
                </c:pt>
                <c:pt idx="280">
                  <c:v>34.942160000000001</c:v>
                </c:pt>
                <c:pt idx="281">
                  <c:v>53.311390000000003</c:v>
                </c:pt>
                <c:pt idx="282">
                  <c:v>18.745290000000001</c:v>
                </c:pt>
                <c:pt idx="283">
                  <c:v>22.524170000000002</c:v>
                </c:pt>
                <c:pt idx="284">
                  <c:v>12.70195</c:v>
                </c:pt>
                <c:pt idx="285">
                  <c:v>28.269459999999999</c:v>
                </c:pt>
                <c:pt idx="286">
                  <c:v>11.08</c:v>
                </c:pt>
                <c:pt idx="287">
                  <c:v>7.3357700000000001</c:v>
                </c:pt>
                <c:pt idx="288">
                  <c:v>24.148630000000001</c:v>
                </c:pt>
                <c:pt idx="289">
                  <c:v>47.266309999999997</c:v>
                </c:pt>
                <c:pt idx="290">
                  <c:v>33.896630000000002</c:v>
                </c:pt>
                <c:pt idx="291">
                  <c:v>33.362969999999997</c:v>
                </c:pt>
                <c:pt idx="292">
                  <c:v>36.28125</c:v>
                </c:pt>
                <c:pt idx="293">
                  <c:v>12.539870000000001</c:v>
                </c:pt>
                <c:pt idx="294">
                  <c:v>17.353729999999999</c:v>
                </c:pt>
                <c:pt idx="295">
                  <c:v>2.3458899999999998</c:v>
                </c:pt>
                <c:pt idx="296">
                  <c:v>33.106870000000001</c:v>
                </c:pt>
                <c:pt idx="297">
                  <c:v>71.909080000000003</c:v>
                </c:pt>
                <c:pt idx="298">
                  <c:v>61.22748</c:v>
                </c:pt>
                <c:pt idx="299">
                  <c:v>65.730009999999993</c:v>
                </c:pt>
                <c:pt idx="300">
                  <c:v>43.850389999999997</c:v>
                </c:pt>
                <c:pt idx="301">
                  <c:v>31.775580000000001</c:v>
                </c:pt>
                <c:pt idx="302">
                  <c:v>11.56043</c:v>
                </c:pt>
                <c:pt idx="303">
                  <c:v>18.945820000000001</c:v>
                </c:pt>
                <c:pt idx="304">
                  <c:v>19.78876</c:v>
                </c:pt>
                <c:pt idx="305">
                  <c:v>4.2987000000000002</c:v>
                </c:pt>
                <c:pt idx="306">
                  <c:v>5.0530400000000002</c:v>
                </c:pt>
                <c:pt idx="307">
                  <c:v>27.97317</c:v>
                </c:pt>
                <c:pt idx="308">
                  <c:v>15.836539999999999</c:v>
                </c:pt>
                <c:pt idx="309">
                  <c:v>41.421959999999999</c:v>
                </c:pt>
                <c:pt idx="310">
                  <c:v>0.12972</c:v>
                </c:pt>
                <c:pt idx="311">
                  <c:v>1.24655</c:v>
                </c:pt>
                <c:pt idx="312">
                  <c:v>78.213740000000001</c:v>
                </c:pt>
                <c:pt idx="313">
                  <c:v>9.4425100000000004</c:v>
                </c:pt>
                <c:pt idx="314">
                  <c:v>9.1126400000000007</c:v>
                </c:pt>
                <c:pt idx="315">
                  <c:v>1.9314800000000001</c:v>
                </c:pt>
                <c:pt idx="316">
                  <c:v>17.944739999999999</c:v>
                </c:pt>
                <c:pt idx="317">
                  <c:v>133.40396000000001</c:v>
                </c:pt>
                <c:pt idx="318">
                  <c:v>141.0515</c:v>
                </c:pt>
                <c:pt idx="319">
                  <c:v>46.797220000000003</c:v>
                </c:pt>
                <c:pt idx="320">
                  <c:v>15.638590000000001</c:v>
                </c:pt>
                <c:pt idx="321">
                  <c:v>139.74109999999999</c:v>
                </c:pt>
                <c:pt idx="322">
                  <c:v>4.1460800000000004</c:v>
                </c:pt>
                <c:pt idx="323">
                  <c:v>175.48741000000001</c:v>
                </c:pt>
                <c:pt idx="324">
                  <c:v>8.8200000000000001E-2</c:v>
                </c:pt>
                <c:pt idx="325">
                  <c:v>42.954889999999999</c:v>
                </c:pt>
                <c:pt idx="326">
                  <c:v>10.104279999999999</c:v>
                </c:pt>
                <c:pt idx="327">
                  <c:v>101.34945999999999</c:v>
                </c:pt>
                <c:pt idx="328">
                  <c:v>99.688990000000004</c:v>
                </c:pt>
                <c:pt idx="329">
                  <c:v>26.29354</c:v>
                </c:pt>
                <c:pt idx="330">
                  <c:v>8.8099100000000004</c:v>
                </c:pt>
                <c:pt idx="331">
                  <c:v>69.426990000000004</c:v>
                </c:pt>
                <c:pt idx="332">
                  <c:v>91.315470000000005</c:v>
                </c:pt>
                <c:pt idx="333">
                  <c:v>13.570550000000001</c:v>
                </c:pt>
                <c:pt idx="334">
                  <c:v>49.598230000000001</c:v>
                </c:pt>
                <c:pt idx="335">
                  <c:v>196.22749999999999</c:v>
                </c:pt>
                <c:pt idx="336">
                  <c:v>18.77881</c:v>
                </c:pt>
                <c:pt idx="337">
                  <c:v>28.921140000000001</c:v>
                </c:pt>
                <c:pt idx="338">
                  <c:v>16.823399999999999</c:v>
                </c:pt>
                <c:pt idx="339">
                  <c:v>17.139109999999999</c:v>
                </c:pt>
                <c:pt idx="340">
                  <c:v>9.3576300000000003</c:v>
                </c:pt>
                <c:pt idx="341">
                  <c:v>9.2216299999999993</c:v>
                </c:pt>
                <c:pt idx="342">
                  <c:v>5.26518</c:v>
                </c:pt>
                <c:pt idx="343">
                  <c:v>126.21356</c:v>
                </c:pt>
                <c:pt idx="344">
                  <c:v>36.808689999999999</c:v>
                </c:pt>
                <c:pt idx="345">
                  <c:v>22.51923</c:v>
                </c:pt>
                <c:pt idx="346">
                  <c:v>25.97823</c:v>
                </c:pt>
                <c:pt idx="347">
                  <c:v>11.571709999999999</c:v>
                </c:pt>
                <c:pt idx="348">
                  <c:v>28.52788</c:v>
                </c:pt>
                <c:pt idx="349">
                  <c:v>67.149540000000002</c:v>
                </c:pt>
                <c:pt idx="350">
                  <c:v>35.812980000000003</c:v>
                </c:pt>
                <c:pt idx="351">
                  <c:v>34.866579999999999</c:v>
                </c:pt>
                <c:pt idx="352">
                  <c:v>29.580880000000001</c:v>
                </c:pt>
                <c:pt idx="353">
                  <c:v>29.273250000000001</c:v>
                </c:pt>
                <c:pt idx="354">
                  <c:v>11.210940000000001</c:v>
                </c:pt>
                <c:pt idx="355">
                  <c:v>14.35272</c:v>
                </c:pt>
                <c:pt idx="356">
                  <c:v>45.32114</c:v>
                </c:pt>
                <c:pt idx="357">
                  <c:v>1.01067</c:v>
                </c:pt>
                <c:pt idx="358">
                  <c:v>47.037649999999999</c:v>
                </c:pt>
                <c:pt idx="359">
                  <c:v>112.56026</c:v>
                </c:pt>
                <c:pt idx="360">
                  <c:v>20.924689999999998</c:v>
                </c:pt>
                <c:pt idx="361">
                  <c:v>9.0441800000000008</c:v>
                </c:pt>
                <c:pt idx="362">
                  <c:v>59.599829999999997</c:v>
                </c:pt>
                <c:pt idx="363">
                  <c:v>139.38991999999999</c:v>
                </c:pt>
                <c:pt idx="364">
                  <c:v>49.859110000000001</c:v>
                </c:pt>
                <c:pt idx="365">
                  <c:v>6.7861099999999999</c:v>
                </c:pt>
                <c:pt idx="366">
                  <c:v>54.402610000000003</c:v>
                </c:pt>
                <c:pt idx="367">
                  <c:v>63.516109999999998</c:v>
                </c:pt>
                <c:pt idx="368">
                  <c:v>73.009379999999993</c:v>
                </c:pt>
                <c:pt idx="369">
                  <c:v>14.004630000000001</c:v>
                </c:pt>
                <c:pt idx="370">
                  <c:v>29.31363</c:v>
                </c:pt>
                <c:pt idx="371">
                  <c:v>11.1532</c:v>
                </c:pt>
                <c:pt idx="372">
                  <c:v>64.465400000000002</c:v>
                </c:pt>
                <c:pt idx="373">
                  <c:v>28.301629999999999</c:v>
                </c:pt>
                <c:pt idx="374">
                  <c:v>2.6959599999999999</c:v>
                </c:pt>
                <c:pt idx="375">
                  <c:v>33.37865</c:v>
                </c:pt>
                <c:pt idx="376">
                  <c:v>3.8438300000000001</c:v>
                </c:pt>
                <c:pt idx="377">
                  <c:v>15.453010000000001</c:v>
                </c:pt>
                <c:pt idx="378">
                  <c:v>44.816659999999999</c:v>
                </c:pt>
                <c:pt idx="379">
                  <c:v>30.253959999999999</c:v>
                </c:pt>
                <c:pt idx="380">
                  <c:v>9.2879100000000001</c:v>
                </c:pt>
                <c:pt idx="381">
                  <c:v>152.22583</c:v>
                </c:pt>
                <c:pt idx="382">
                  <c:v>19.916229999999999</c:v>
                </c:pt>
                <c:pt idx="383">
                  <c:v>18.500109999999999</c:v>
                </c:pt>
                <c:pt idx="384">
                  <c:v>6.9617399999999998</c:v>
                </c:pt>
                <c:pt idx="385">
                  <c:v>45.320860000000003</c:v>
                </c:pt>
                <c:pt idx="386">
                  <c:v>19.329219999999999</c:v>
                </c:pt>
                <c:pt idx="387">
                  <c:v>17.648620000000001</c:v>
                </c:pt>
                <c:pt idx="388">
                  <c:v>12.86983</c:v>
                </c:pt>
                <c:pt idx="389">
                  <c:v>18.442039999999999</c:v>
                </c:pt>
                <c:pt idx="390">
                  <c:v>16.733250000000002</c:v>
                </c:pt>
                <c:pt idx="391">
                  <c:v>21.893129999999999</c:v>
                </c:pt>
                <c:pt idx="392">
                  <c:v>25.793810000000001</c:v>
                </c:pt>
                <c:pt idx="393">
                  <c:v>191.50998000000001</c:v>
                </c:pt>
                <c:pt idx="394">
                  <c:v>177.80875</c:v>
                </c:pt>
                <c:pt idx="395">
                  <c:v>41.464640000000003</c:v>
                </c:pt>
                <c:pt idx="396">
                  <c:v>51.377049999999997</c:v>
                </c:pt>
                <c:pt idx="397">
                  <c:v>77.697630000000004</c:v>
                </c:pt>
                <c:pt idx="398">
                  <c:v>14.59038</c:v>
                </c:pt>
                <c:pt idx="399">
                  <c:v>18.70232</c:v>
                </c:pt>
                <c:pt idx="400">
                  <c:v>20.517209999999999</c:v>
                </c:pt>
                <c:pt idx="401">
                  <c:v>17.58802</c:v>
                </c:pt>
                <c:pt idx="402">
                  <c:v>88.546509999999998</c:v>
                </c:pt>
                <c:pt idx="403">
                  <c:v>18.423159999999999</c:v>
                </c:pt>
                <c:pt idx="404">
                  <c:v>52.153500000000001</c:v>
                </c:pt>
                <c:pt idx="405">
                  <c:v>12.45345</c:v>
                </c:pt>
                <c:pt idx="406">
                  <c:v>28.819739999999999</c:v>
                </c:pt>
                <c:pt idx="407">
                  <c:v>5.5451100000000002</c:v>
                </c:pt>
                <c:pt idx="408">
                  <c:v>147.20634000000001</c:v>
                </c:pt>
                <c:pt idx="409">
                  <c:v>0.10829999999999999</c:v>
                </c:pt>
                <c:pt idx="410">
                  <c:v>210.48703</c:v>
                </c:pt>
                <c:pt idx="411">
                  <c:v>204.49894</c:v>
                </c:pt>
                <c:pt idx="412">
                  <c:v>46.558529999999998</c:v>
                </c:pt>
                <c:pt idx="413">
                  <c:v>83.101039999999998</c:v>
                </c:pt>
                <c:pt idx="414">
                  <c:v>96.395030000000006</c:v>
                </c:pt>
                <c:pt idx="415">
                  <c:v>6.1459599999999996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C-412C-966D-10474D78AF15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RESULT!$K$9:$L$9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xVal>
          <c:yVal>
            <c:numRef>
              <c:f>RESULT!$K$10:$L$10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C-412C-966D-10474D78A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42656"/>
        <c:axId val="318143232"/>
      </c:scatterChart>
      <c:valAx>
        <c:axId val="318142656"/>
        <c:scaling>
          <c:orientation val="minMax"/>
          <c:max val="280"/>
          <c:min val="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Actual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3232"/>
        <c:crosses val="autoZero"/>
        <c:crossBetween val="midCat"/>
      </c:valAx>
      <c:valAx>
        <c:axId val="318143232"/>
        <c:scaling>
          <c:orientation val="minMax"/>
          <c:max val="280"/>
          <c:min val="-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180975</xdr:rowOff>
    </xdr:from>
    <xdr:to>
      <xdr:col>18</xdr:col>
      <xdr:colOff>219075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734"/>
  <sheetViews>
    <sheetView topLeftCell="A197" workbookViewId="0">
      <selection activeCell="B403" sqref="B403:AE435"/>
    </sheetView>
  </sheetViews>
  <sheetFormatPr defaultRowHeight="14.4" x14ac:dyDescent="0.3"/>
  <cols>
    <col min="2" max="2" width="13.109375" bestFit="1" customWidth="1"/>
    <col min="3" max="3" width="20" bestFit="1" customWidth="1"/>
    <col min="4" max="4" width="12.44140625" bestFit="1" customWidth="1"/>
    <col min="5" max="5" width="23.109375" bestFit="1" customWidth="1"/>
    <col min="6" max="6" width="17.44140625" bestFit="1" customWidth="1"/>
    <col min="7" max="7" width="6.44140625" bestFit="1" customWidth="1"/>
    <col min="8" max="8" width="5.44140625" bestFit="1" customWidth="1"/>
    <col min="9" max="9" width="7" bestFit="1" customWidth="1"/>
    <col min="10" max="10" width="11.88671875" bestFit="1" customWidth="1"/>
    <col min="11" max="11" width="10.88671875" bestFit="1" customWidth="1"/>
    <col min="12" max="12" width="12.44140625" bestFit="1" customWidth="1"/>
    <col min="13" max="13" width="5.44140625" bestFit="1" customWidth="1"/>
    <col min="14" max="14" width="11" bestFit="1" customWidth="1"/>
    <col min="15" max="15" width="10" bestFit="1" customWidth="1"/>
    <col min="16" max="16" width="15.5546875" bestFit="1" customWidth="1"/>
    <col min="17" max="17" width="9.6640625" bestFit="1" customWidth="1"/>
    <col min="18" max="18" width="15.33203125" bestFit="1" customWidth="1"/>
    <col min="19" max="19" width="17.88671875" bestFit="1" customWidth="1"/>
    <col min="20" max="20" width="13.88671875" bestFit="1" customWidth="1"/>
    <col min="21" max="21" width="17.5546875" bestFit="1" customWidth="1"/>
    <col min="22" max="22" width="13.5546875" bestFit="1" customWidth="1"/>
    <col min="23" max="23" width="16.44140625" bestFit="1" customWidth="1"/>
    <col min="24" max="24" width="12.6640625" bestFit="1" customWidth="1"/>
    <col min="25" max="25" width="16.109375" bestFit="1" customWidth="1"/>
    <col min="26" max="26" width="12.44140625" bestFit="1" customWidth="1"/>
    <col min="27" max="30" width="5.5546875" bestFit="1" customWidth="1"/>
  </cols>
  <sheetData>
    <row r="1" spans="1:34" x14ac:dyDescent="0.3">
      <c r="B1" s="27" t="s">
        <v>5</v>
      </c>
      <c r="C1" s="17" t="s">
        <v>171</v>
      </c>
      <c r="D1" s="28" t="s">
        <v>186</v>
      </c>
      <c r="E1" s="2" t="s">
        <v>126</v>
      </c>
      <c r="F1" s="28" t="s">
        <v>187</v>
      </c>
      <c r="G1" s="56" t="s">
        <v>6</v>
      </c>
      <c r="H1" s="56"/>
      <c r="I1" s="56"/>
      <c r="J1" s="56" t="s">
        <v>188</v>
      </c>
      <c r="K1" s="56"/>
      <c r="L1" s="56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56" t="s">
        <v>7</v>
      </c>
      <c r="AB1" s="56"/>
      <c r="AC1" s="56"/>
      <c r="AD1" s="56"/>
      <c r="AE1" s="23" t="s">
        <v>8</v>
      </c>
      <c r="AF1" s="3"/>
      <c r="AG1" s="24"/>
      <c r="AH1" s="25"/>
    </row>
    <row r="2" spans="1:34" x14ac:dyDescent="0.3">
      <c r="A2" t="s">
        <v>172</v>
      </c>
      <c r="B2" t="s">
        <v>4</v>
      </c>
      <c r="C2" t="s">
        <v>171</v>
      </c>
      <c r="D2" t="s">
        <v>201</v>
      </c>
      <c r="E2" t="s">
        <v>126</v>
      </c>
      <c r="F2" t="s">
        <v>202</v>
      </c>
      <c r="G2" t="s">
        <v>1</v>
      </c>
      <c r="H2" t="s">
        <v>2</v>
      </c>
      <c r="I2" t="s">
        <v>3</v>
      </c>
      <c r="J2" t="s">
        <v>196</v>
      </c>
      <c r="K2" t="s">
        <v>197</v>
      </c>
      <c r="L2" t="s">
        <v>198</v>
      </c>
      <c r="M2" t="s">
        <v>166</v>
      </c>
      <c r="N2" t="s">
        <v>189</v>
      </c>
      <c r="O2" t="s">
        <v>181</v>
      </c>
      <c r="P2" t="s">
        <v>195</v>
      </c>
      <c r="Q2" t="s">
        <v>180</v>
      </c>
      <c r="R2" t="s">
        <v>194</v>
      </c>
      <c r="S2" t="s">
        <v>182</v>
      </c>
      <c r="T2" t="s">
        <v>193</v>
      </c>
      <c r="U2" t="s">
        <v>183</v>
      </c>
      <c r="V2" t="s">
        <v>192</v>
      </c>
      <c r="W2" t="s">
        <v>184</v>
      </c>
      <c r="X2" t="s">
        <v>191</v>
      </c>
      <c r="Y2" t="s">
        <v>185</v>
      </c>
      <c r="Z2" t="s">
        <v>190</v>
      </c>
      <c r="AA2" t="s">
        <v>167</v>
      </c>
      <c r="AB2" t="s">
        <v>168</v>
      </c>
      <c r="AC2" t="s">
        <v>169</v>
      </c>
      <c r="AD2" t="s">
        <v>170</v>
      </c>
      <c r="AE2" t="s">
        <v>123</v>
      </c>
      <c r="AF2" t="s">
        <v>136</v>
      </c>
    </row>
    <row r="3" spans="1:34" x14ac:dyDescent="0.3">
      <c r="B3" t="s">
        <v>9</v>
      </c>
      <c r="C3">
        <v>7.6601671309192196E-2</v>
      </c>
      <c r="D3">
        <v>7.6601671309192196E-2</v>
      </c>
      <c r="E3">
        <v>0</v>
      </c>
      <c r="F3">
        <v>0</v>
      </c>
      <c r="G3">
        <v>1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25</v>
      </c>
      <c r="P3">
        <v>25</v>
      </c>
      <c r="Q3">
        <v>15</v>
      </c>
      <c r="R3">
        <v>15</v>
      </c>
      <c r="S3">
        <v>1.46109776387834</v>
      </c>
      <c r="T3">
        <v>1.46109776387834</v>
      </c>
      <c r="U3">
        <v>1.10867440613719</v>
      </c>
      <c r="V3">
        <v>1.10867440613719</v>
      </c>
      <c r="W3">
        <v>183.903627834247</v>
      </c>
      <c r="X3">
        <v>183.903627834247</v>
      </c>
      <c r="Y3">
        <v>182.74738322223499</v>
      </c>
      <c r="Z3">
        <v>182.74738322223499</v>
      </c>
      <c r="AA3">
        <v>1</v>
      </c>
      <c r="AB3">
        <v>0</v>
      </c>
      <c r="AC3">
        <v>0</v>
      </c>
      <c r="AD3">
        <v>0</v>
      </c>
      <c r="AE3">
        <v>2</v>
      </c>
    </row>
    <row r="4" spans="1:34" x14ac:dyDescent="0.3">
      <c r="B4" t="s">
        <v>10</v>
      </c>
      <c r="C4">
        <v>0.16573816155988899</v>
      </c>
      <c r="D4">
        <v>7.6601671309192196E-2</v>
      </c>
      <c r="E4">
        <v>0</v>
      </c>
      <c r="F4">
        <v>0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26</v>
      </c>
      <c r="P4">
        <v>25</v>
      </c>
      <c r="Q4">
        <v>12</v>
      </c>
      <c r="R4">
        <v>15</v>
      </c>
      <c r="S4">
        <v>1.4330244944378401</v>
      </c>
      <c r="T4">
        <v>1.46109776387834</v>
      </c>
      <c r="U4">
        <v>0.60717462934008104</v>
      </c>
      <c r="V4">
        <v>1.10867440613719</v>
      </c>
      <c r="W4">
        <v>183.81152393188299</v>
      </c>
      <c r="X4">
        <v>183.903627834247</v>
      </c>
      <c r="Y4">
        <v>181.10204274717901</v>
      </c>
      <c r="Z4">
        <v>182.74738322223499</v>
      </c>
      <c r="AA4">
        <v>1</v>
      </c>
      <c r="AB4">
        <v>0</v>
      </c>
      <c r="AC4">
        <v>0</v>
      </c>
      <c r="AD4">
        <v>0</v>
      </c>
      <c r="AE4">
        <v>15</v>
      </c>
    </row>
    <row r="5" spans="1:34" x14ac:dyDescent="0.3">
      <c r="B5" t="s">
        <v>11</v>
      </c>
      <c r="C5">
        <v>0.24001857010213601</v>
      </c>
      <c r="D5">
        <v>0.16573816155988899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27</v>
      </c>
      <c r="P5">
        <v>26</v>
      </c>
      <c r="Q5">
        <v>5</v>
      </c>
      <c r="R5">
        <v>12</v>
      </c>
      <c r="S5">
        <v>1.1302414586262799</v>
      </c>
      <c r="T5">
        <v>1.4330244944378401</v>
      </c>
      <c r="U5">
        <v>0.83694376931608205</v>
      </c>
      <c r="V5">
        <v>0.60717462934008104</v>
      </c>
      <c r="W5">
        <v>182.81814126845899</v>
      </c>
      <c r="X5">
        <v>183.81152393188299</v>
      </c>
      <c r="Y5">
        <v>181.85587850825499</v>
      </c>
      <c r="Z5">
        <v>181.10204274717901</v>
      </c>
      <c r="AA5">
        <v>1</v>
      </c>
      <c r="AB5">
        <v>0</v>
      </c>
      <c r="AC5">
        <v>0</v>
      </c>
      <c r="AD5">
        <v>0</v>
      </c>
      <c r="AE5">
        <v>19</v>
      </c>
    </row>
    <row r="6" spans="1:34" x14ac:dyDescent="0.3">
      <c r="B6" t="s">
        <v>12</v>
      </c>
      <c r="C6">
        <v>0.33658310120705698</v>
      </c>
      <c r="D6">
        <v>0.24001857010213601</v>
      </c>
      <c r="E6">
        <v>0</v>
      </c>
      <c r="F6">
        <v>0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34</v>
      </c>
      <c r="P6">
        <v>27</v>
      </c>
      <c r="Q6">
        <v>11</v>
      </c>
      <c r="R6">
        <v>5</v>
      </c>
      <c r="S6">
        <v>0.88979821628513101</v>
      </c>
      <c r="T6">
        <v>1.1302414586262799</v>
      </c>
      <c r="U6">
        <v>0.22739874834516699</v>
      </c>
      <c r="V6">
        <v>0.83694376931608205</v>
      </c>
      <c r="W6">
        <v>182.02928548649999</v>
      </c>
      <c r="X6">
        <v>182.81814126845899</v>
      </c>
      <c r="Y6">
        <v>179.856058885647</v>
      </c>
      <c r="Z6">
        <v>181.85587850825499</v>
      </c>
      <c r="AA6">
        <v>1</v>
      </c>
      <c r="AB6">
        <v>0</v>
      </c>
      <c r="AC6">
        <v>0</v>
      </c>
      <c r="AD6">
        <v>0</v>
      </c>
      <c r="AE6">
        <v>91</v>
      </c>
    </row>
    <row r="7" spans="1:34" x14ac:dyDescent="0.3">
      <c r="B7" t="s">
        <v>13</v>
      </c>
      <c r="C7">
        <v>7.7994428969359306E-2</v>
      </c>
      <c r="D7">
        <v>0.33658310120705698</v>
      </c>
      <c r="E7">
        <v>1</v>
      </c>
      <c r="F7">
        <v>0</v>
      </c>
      <c r="G7">
        <v>1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0</v>
      </c>
      <c r="O7">
        <v>35</v>
      </c>
      <c r="P7">
        <v>34</v>
      </c>
      <c r="Q7">
        <v>13</v>
      </c>
      <c r="R7">
        <v>11</v>
      </c>
      <c r="S7">
        <v>1.0997634732338599</v>
      </c>
      <c r="T7">
        <v>0.88979821628513101</v>
      </c>
      <c r="U7">
        <v>0.90591695721156695</v>
      </c>
      <c r="V7">
        <v>0.22739874834516699</v>
      </c>
      <c r="W7">
        <v>182.718147878064</v>
      </c>
      <c r="X7">
        <v>182.02928548649999</v>
      </c>
      <c r="Y7">
        <v>182.08216849478899</v>
      </c>
      <c r="Z7">
        <v>179.856058885647</v>
      </c>
      <c r="AA7">
        <v>1</v>
      </c>
      <c r="AB7">
        <v>0</v>
      </c>
      <c r="AC7">
        <v>0</v>
      </c>
      <c r="AD7">
        <v>0</v>
      </c>
      <c r="AE7">
        <v>32</v>
      </c>
    </row>
    <row r="8" spans="1:34" x14ac:dyDescent="0.3">
      <c r="B8" t="s">
        <v>14</v>
      </c>
      <c r="C8">
        <v>3.3426183844011102E-2</v>
      </c>
      <c r="D8">
        <v>7.7994428969359306E-2</v>
      </c>
      <c r="E8">
        <v>0</v>
      </c>
      <c r="F8">
        <v>1</v>
      </c>
      <c r="G8">
        <v>1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0</v>
      </c>
      <c r="O8">
        <v>28</v>
      </c>
      <c r="P8">
        <v>35</v>
      </c>
      <c r="Q8">
        <v>21</v>
      </c>
      <c r="R8">
        <v>13</v>
      </c>
      <c r="S8">
        <v>1.11544632991407</v>
      </c>
      <c r="T8">
        <v>1.0997634732338599</v>
      </c>
      <c r="U8">
        <v>0.66619292727184498</v>
      </c>
      <c r="V8">
        <v>0.90591695721156695</v>
      </c>
      <c r="W8">
        <v>182.769600819928</v>
      </c>
      <c r="X8">
        <v>182.718147878064</v>
      </c>
      <c r="Y8">
        <v>181.295672333569</v>
      </c>
      <c r="Z8">
        <v>182.08216849478899</v>
      </c>
      <c r="AA8">
        <v>1</v>
      </c>
      <c r="AB8">
        <v>0</v>
      </c>
      <c r="AC8">
        <v>0</v>
      </c>
      <c r="AD8">
        <v>0</v>
      </c>
      <c r="AE8">
        <v>5</v>
      </c>
    </row>
    <row r="9" spans="1:34" x14ac:dyDescent="0.3">
      <c r="B9" t="s">
        <v>15</v>
      </c>
      <c r="C9">
        <v>6.9637883008356605E-2</v>
      </c>
      <c r="D9">
        <v>3.3426183844011102E-2</v>
      </c>
      <c r="E9">
        <v>0</v>
      </c>
      <c r="F9">
        <v>0</v>
      </c>
      <c r="G9">
        <v>1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34</v>
      </c>
      <c r="P9">
        <v>28</v>
      </c>
      <c r="Q9">
        <v>20</v>
      </c>
      <c r="R9">
        <v>21</v>
      </c>
      <c r="S9">
        <v>1.00341565307527</v>
      </c>
      <c r="T9">
        <v>1.11544632991407</v>
      </c>
      <c r="U9">
        <v>5.16141025679255E-2</v>
      </c>
      <c r="V9">
        <v>0.66619292727184498</v>
      </c>
      <c r="W9">
        <v>182.40204610589001</v>
      </c>
      <c r="X9">
        <v>182.769600819928</v>
      </c>
      <c r="Y9">
        <v>179.27933760684999</v>
      </c>
      <c r="Z9">
        <v>181.295672333569</v>
      </c>
      <c r="AA9">
        <v>1</v>
      </c>
      <c r="AB9">
        <v>0</v>
      </c>
      <c r="AC9">
        <v>0</v>
      </c>
      <c r="AD9">
        <v>0</v>
      </c>
      <c r="AE9">
        <v>9</v>
      </c>
    </row>
    <row r="10" spans="1:34" x14ac:dyDescent="0.3">
      <c r="B10" t="s">
        <v>16</v>
      </c>
      <c r="C10">
        <v>7.6601671309192196E-2</v>
      </c>
      <c r="D10">
        <v>6.9637883008356605E-2</v>
      </c>
      <c r="E10">
        <v>0</v>
      </c>
      <c r="F10">
        <v>0</v>
      </c>
      <c r="G10">
        <v>1</v>
      </c>
      <c r="H10">
        <v>0</v>
      </c>
      <c r="I10">
        <v>0</v>
      </c>
      <c r="J10">
        <v>1</v>
      </c>
      <c r="K10">
        <v>0</v>
      </c>
      <c r="L10">
        <v>0</v>
      </c>
      <c r="M10">
        <v>0.34649999999999997</v>
      </c>
      <c r="N10">
        <v>0</v>
      </c>
      <c r="O10">
        <v>33</v>
      </c>
      <c r="P10">
        <v>34</v>
      </c>
      <c r="Q10">
        <v>25</v>
      </c>
      <c r="R10">
        <v>20</v>
      </c>
      <c r="S10">
        <v>1.2347750146826599</v>
      </c>
      <c r="T10">
        <v>1.00341565307527</v>
      </c>
      <c r="U10">
        <v>0.189081967370964</v>
      </c>
      <c r="V10">
        <v>5.16141025679255E-2</v>
      </c>
      <c r="W10">
        <v>183.16109912953601</v>
      </c>
      <c r="X10">
        <v>182.40204610589001</v>
      </c>
      <c r="Y10">
        <v>179.73034766197799</v>
      </c>
      <c r="Z10">
        <v>179.27933760684999</v>
      </c>
      <c r="AA10">
        <v>1</v>
      </c>
      <c r="AB10">
        <v>0</v>
      </c>
      <c r="AC10">
        <v>0</v>
      </c>
      <c r="AD10">
        <v>0</v>
      </c>
      <c r="AE10">
        <v>4</v>
      </c>
    </row>
    <row r="11" spans="1:34" x14ac:dyDescent="0.3">
      <c r="B11" t="s">
        <v>17</v>
      </c>
      <c r="C11">
        <v>0.16573816155988899</v>
      </c>
      <c r="D11">
        <v>7.6601671309192196E-2</v>
      </c>
      <c r="E11">
        <v>0</v>
      </c>
      <c r="F11">
        <v>0</v>
      </c>
      <c r="G11">
        <v>1</v>
      </c>
      <c r="H11">
        <v>0</v>
      </c>
      <c r="I11">
        <v>0</v>
      </c>
      <c r="J11">
        <v>1</v>
      </c>
      <c r="K11">
        <v>0</v>
      </c>
      <c r="L11">
        <v>0</v>
      </c>
      <c r="M11">
        <v>9.8000000000000004E-2</v>
      </c>
      <c r="N11">
        <v>0.34649999999999997</v>
      </c>
      <c r="O11">
        <v>35</v>
      </c>
      <c r="P11">
        <v>33</v>
      </c>
      <c r="Q11">
        <v>17</v>
      </c>
      <c r="R11">
        <v>25</v>
      </c>
      <c r="S11">
        <v>1.58057554479587</v>
      </c>
      <c r="T11">
        <v>1.2347750146826599</v>
      </c>
      <c r="U11">
        <v>0.48919333558950301</v>
      </c>
      <c r="V11">
        <v>0.189081967370964</v>
      </c>
      <c r="W11">
        <v>184.29561530444801</v>
      </c>
      <c r="X11">
        <v>183.16109912953601</v>
      </c>
      <c r="Y11">
        <v>180.714965011777</v>
      </c>
      <c r="Z11">
        <v>179.73034766197799</v>
      </c>
      <c r="AA11">
        <v>1</v>
      </c>
      <c r="AB11">
        <v>0</v>
      </c>
      <c r="AC11">
        <v>0</v>
      </c>
      <c r="AD11">
        <v>0</v>
      </c>
      <c r="AE11">
        <v>24</v>
      </c>
    </row>
    <row r="12" spans="1:34" x14ac:dyDescent="0.3">
      <c r="B12" t="s">
        <v>18</v>
      </c>
      <c r="C12">
        <v>0.24001857010213601</v>
      </c>
      <c r="D12">
        <v>0.16573816155988899</v>
      </c>
      <c r="E12">
        <v>0</v>
      </c>
      <c r="F12">
        <v>0</v>
      </c>
      <c r="G12">
        <v>1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9.8000000000000004E-2</v>
      </c>
      <c r="O12">
        <v>34</v>
      </c>
      <c r="P12">
        <v>35</v>
      </c>
      <c r="Q12">
        <v>16</v>
      </c>
      <c r="R12">
        <v>17</v>
      </c>
      <c r="S12">
        <v>1.35088379284124</v>
      </c>
      <c r="T12">
        <v>1.58057554479587</v>
      </c>
      <c r="U12">
        <v>0.42943140815138697</v>
      </c>
      <c r="V12">
        <v>0.48919333558950301</v>
      </c>
      <c r="W12">
        <v>183.54203344108001</v>
      </c>
      <c r="X12">
        <v>184.29561530444801</v>
      </c>
      <c r="Y12">
        <v>180.518895696035</v>
      </c>
      <c r="Z12">
        <v>180.714965011777</v>
      </c>
      <c r="AA12">
        <v>1</v>
      </c>
      <c r="AB12">
        <v>0</v>
      </c>
      <c r="AC12">
        <v>0</v>
      </c>
      <c r="AD12">
        <v>0</v>
      </c>
      <c r="AE12">
        <v>67</v>
      </c>
    </row>
    <row r="13" spans="1:34" x14ac:dyDescent="0.3">
      <c r="B13" t="s">
        <v>19</v>
      </c>
      <c r="C13">
        <v>0.33658310120705698</v>
      </c>
      <c r="D13">
        <v>0.24001857010213601</v>
      </c>
      <c r="E13">
        <v>0</v>
      </c>
      <c r="F13">
        <v>0</v>
      </c>
      <c r="G13">
        <v>0</v>
      </c>
      <c r="H13">
        <v>1</v>
      </c>
      <c r="I13">
        <v>0</v>
      </c>
      <c r="J13">
        <v>1</v>
      </c>
      <c r="K13">
        <v>0</v>
      </c>
      <c r="L13">
        <v>0</v>
      </c>
      <c r="M13">
        <v>1.0500000000000001E-2</v>
      </c>
      <c r="N13">
        <v>0</v>
      </c>
      <c r="O13">
        <v>21</v>
      </c>
      <c r="P13">
        <v>34</v>
      </c>
      <c r="Q13">
        <v>19</v>
      </c>
      <c r="R13">
        <v>16</v>
      </c>
      <c r="S13">
        <v>0.53789708941633896</v>
      </c>
      <c r="T13">
        <v>1.35088379284124</v>
      </c>
      <c r="U13">
        <v>0.41650190461176601</v>
      </c>
      <c r="V13">
        <v>0.42943140815138697</v>
      </c>
      <c r="W13">
        <v>180.87475423036901</v>
      </c>
      <c r="X13">
        <v>183.54203344108001</v>
      </c>
      <c r="Y13">
        <v>180.47647606499899</v>
      </c>
      <c r="Z13">
        <v>180.518895696035</v>
      </c>
      <c r="AA13">
        <v>1</v>
      </c>
      <c r="AB13">
        <v>0</v>
      </c>
      <c r="AC13">
        <v>0</v>
      </c>
      <c r="AD13">
        <v>0</v>
      </c>
      <c r="AE13">
        <v>7</v>
      </c>
    </row>
    <row r="14" spans="1:34" x14ac:dyDescent="0.3">
      <c r="B14" t="s">
        <v>20</v>
      </c>
      <c r="C14">
        <v>7.7994428969359306E-2</v>
      </c>
      <c r="D14">
        <v>0.33658310120705698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0.33950000000000002</v>
      </c>
      <c r="N14">
        <v>1.0500000000000001E-2</v>
      </c>
      <c r="O14">
        <v>13</v>
      </c>
      <c r="P14">
        <v>21</v>
      </c>
      <c r="Q14">
        <v>12</v>
      </c>
      <c r="R14">
        <v>19</v>
      </c>
      <c r="S14">
        <v>1.12676051444211</v>
      </c>
      <c r="T14">
        <v>0.53789708941633896</v>
      </c>
      <c r="U14">
        <v>1.0715571998335101</v>
      </c>
      <c r="V14">
        <v>0.41650190461176601</v>
      </c>
      <c r="W14">
        <v>182.806720847907</v>
      </c>
      <c r="X14">
        <v>180.87475423036901</v>
      </c>
      <c r="Y14">
        <v>182.62560761100201</v>
      </c>
      <c r="Z14">
        <v>180.47647606499899</v>
      </c>
      <c r="AA14">
        <v>1</v>
      </c>
      <c r="AB14">
        <v>0</v>
      </c>
      <c r="AC14">
        <v>0</v>
      </c>
      <c r="AD14">
        <v>0</v>
      </c>
      <c r="AE14">
        <v>2</v>
      </c>
    </row>
    <row r="15" spans="1:34" s="14" customFormat="1" x14ac:dyDescent="0.3">
      <c r="B15" s="14" t="s">
        <v>22</v>
      </c>
      <c r="C15" s="14">
        <v>6.9637883008356605E-2</v>
      </c>
      <c r="D15" s="14">
        <v>7.7994428969359306E-2</v>
      </c>
      <c r="E15" s="14">
        <v>0</v>
      </c>
      <c r="F15" s="14">
        <v>0</v>
      </c>
      <c r="G15" s="14">
        <v>1</v>
      </c>
      <c r="H15" s="14">
        <v>0</v>
      </c>
      <c r="I15" s="14">
        <v>0</v>
      </c>
      <c r="J15" s="14">
        <v>0</v>
      </c>
      <c r="K15" s="14">
        <v>1</v>
      </c>
      <c r="L15" s="14">
        <v>0</v>
      </c>
      <c r="M15" s="14">
        <v>1.7500000000000002E-2</v>
      </c>
      <c r="N15" s="14">
        <v>0.33950000000000002</v>
      </c>
      <c r="O15" s="14">
        <v>32</v>
      </c>
      <c r="P15" s="14">
        <v>13</v>
      </c>
      <c r="Q15" s="14">
        <v>32</v>
      </c>
      <c r="R15" s="14">
        <v>12</v>
      </c>
      <c r="S15" s="14">
        <v>1.78705683578839</v>
      </c>
      <c r="T15" s="14">
        <v>1.12676051444211</v>
      </c>
      <c r="U15" s="14">
        <v>1.78705683578839</v>
      </c>
      <c r="V15" s="14">
        <v>1.0715571998335101</v>
      </c>
      <c r="W15" s="14">
        <v>184.97304736151</v>
      </c>
      <c r="X15" s="14">
        <v>182.806720847907</v>
      </c>
      <c r="Y15" s="14">
        <v>184.97304736151</v>
      </c>
      <c r="Z15" s="14">
        <v>182.62560761100201</v>
      </c>
      <c r="AA15" s="14">
        <v>1</v>
      </c>
      <c r="AB15" s="14">
        <v>0</v>
      </c>
      <c r="AC15" s="14">
        <v>0</v>
      </c>
      <c r="AD15" s="14">
        <v>0</v>
      </c>
      <c r="AE15" s="14">
        <v>1</v>
      </c>
    </row>
    <row r="16" spans="1:34" x14ac:dyDescent="0.3">
      <c r="B16" t="s">
        <v>23</v>
      </c>
      <c r="C16">
        <v>7.6601671309192196E-2</v>
      </c>
      <c r="D16">
        <v>6.9637883008356605E-2</v>
      </c>
      <c r="E16">
        <v>0</v>
      </c>
      <c r="F16">
        <v>0</v>
      </c>
      <c r="G16">
        <v>1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1.7500000000000002E-2</v>
      </c>
      <c r="O16">
        <v>31</v>
      </c>
      <c r="P16">
        <v>32</v>
      </c>
      <c r="Q16">
        <v>14</v>
      </c>
      <c r="R16">
        <v>32</v>
      </c>
      <c r="S16">
        <v>1.6152438725357301</v>
      </c>
      <c r="T16">
        <v>1.78705683578839</v>
      </c>
      <c r="U16">
        <v>1.1609038556325799</v>
      </c>
      <c r="V16">
        <v>1.78705683578839</v>
      </c>
      <c r="W16">
        <v>184.409356537191</v>
      </c>
      <c r="X16">
        <v>184.97304736151</v>
      </c>
      <c r="Y16">
        <v>182.91873968383399</v>
      </c>
      <c r="Z16">
        <v>184.97304736151</v>
      </c>
      <c r="AA16">
        <v>1</v>
      </c>
      <c r="AB16">
        <v>0</v>
      </c>
      <c r="AC16">
        <v>0</v>
      </c>
      <c r="AD16">
        <v>0</v>
      </c>
      <c r="AE16">
        <v>6</v>
      </c>
    </row>
    <row r="17" spans="2:31" x14ac:dyDescent="0.3">
      <c r="B17" t="s">
        <v>24</v>
      </c>
      <c r="C17">
        <v>0.16573816155988899</v>
      </c>
      <c r="D17">
        <v>7.6601671309192196E-2</v>
      </c>
      <c r="E17">
        <v>0</v>
      </c>
      <c r="F17">
        <v>0</v>
      </c>
      <c r="G17">
        <v>1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O17">
        <v>29</v>
      </c>
      <c r="P17">
        <v>31</v>
      </c>
      <c r="Q17">
        <v>13</v>
      </c>
      <c r="R17">
        <v>14</v>
      </c>
      <c r="S17">
        <v>1.45281076829636</v>
      </c>
      <c r="T17">
        <v>1.6152438725357301</v>
      </c>
      <c r="U17">
        <v>0.99969079094447399</v>
      </c>
      <c r="V17">
        <v>1.1609038556325799</v>
      </c>
      <c r="W17">
        <v>183.87643952853099</v>
      </c>
      <c r="X17">
        <v>184.409356537191</v>
      </c>
      <c r="Y17">
        <v>182.38982542960801</v>
      </c>
      <c r="Z17">
        <v>182.91873968383399</v>
      </c>
      <c r="AA17">
        <v>1</v>
      </c>
      <c r="AB17">
        <v>0</v>
      </c>
      <c r="AC17">
        <v>0</v>
      </c>
      <c r="AD17">
        <v>0</v>
      </c>
      <c r="AE17">
        <v>8</v>
      </c>
    </row>
    <row r="18" spans="2:31" x14ac:dyDescent="0.3">
      <c r="B18" t="s">
        <v>25</v>
      </c>
      <c r="C18">
        <v>0.24001857010213601</v>
      </c>
      <c r="D18">
        <v>0.16573816155988899</v>
      </c>
      <c r="E18">
        <v>0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0</v>
      </c>
      <c r="O18">
        <v>32</v>
      </c>
      <c r="P18">
        <v>29</v>
      </c>
      <c r="Q18">
        <v>16</v>
      </c>
      <c r="R18">
        <v>13</v>
      </c>
      <c r="S18">
        <v>1.5850013074045799</v>
      </c>
      <c r="T18">
        <v>1.45281076829636</v>
      </c>
      <c r="U18">
        <v>1.08223480540075</v>
      </c>
      <c r="V18">
        <v>0.99969079094447399</v>
      </c>
      <c r="W18">
        <v>184.310135522981</v>
      </c>
      <c r="X18">
        <v>183.87643952853099</v>
      </c>
      <c r="Y18">
        <v>182.66063912533099</v>
      </c>
      <c r="Z18">
        <v>182.38982542960801</v>
      </c>
      <c r="AA18">
        <v>1</v>
      </c>
      <c r="AB18">
        <v>0</v>
      </c>
      <c r="AC18">
        <v>0</v>
      </c>
      <c r="AD18">
        <v>0</v>
      </c>
      <c r="AE18">
        <v>12</v>
      </c>
    </row>
    <row r="19" spans="2:31" x14ac:dyDescent="0.3">
      <c r="B19" t="s">
        <v>26</v>
      </c>
      <c r="C19">
        <v>0.33658310120705698</v>
      </c>
      <c r="D19">
        <v>0.24001857010213601</v>
      </c>
      <c r="E19">
        <v>0</v>
      </c>
      <c r="F19">
        <v>0</v>
      </c>
      <c r="G19">
        <v>1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O19">
        <v>31</v>
      </c>
      <c r="P19">
        <v>32</v>
      </c>
      <c r="Q19">
        <v>12</v>
      </c>
      <c r="R19">
        <v>16</v>
      </c>
      <c r="S19">
        <v>1.1858058261714199</v>
      </c>
      <c r="T19">
        <v>1.5850013074045799</v>
      </c>
      <c r="U19">
        <v>0.98405613022083605</v>
      </c>
      <c r="V19">
        <v>1.08223480540075</v>
      </c>
      <c r="W19">
        <v>183.00043906224201</v>
      </c>
      <c r="X19">
        <v>184.310135522981</v>
      </c>
      <c r="Y19">
        <v>182.33853061096099</v>
      </c>
      <c r="Z19">
        <v>182.66063912533099</v>
      </c>
      <c r="AA19">
        <v>1</v>
      </c>
      <c r="AB19">
        <v>0</v>
      </c>
      <c r="AC19">
        <v>0</v>
      </c>
      <c r="AD19">
        <v>0</v>
      </c>
      <c r="AE19">
        <v>38</v>
      </c>
    </row>
    <row r="20" spans="2:31" x14ac:dyDescent="0.3">
      <c r="B20" t="s">
        <v>27</v>
      </c>
      <c r="C20">
        <v>7.7994428969359306E-2</v>
      </c>
      <c r="D20">
        <v>0.33658310120705698</v>
      </c>
      <c r="E20">
        <v>0</v>
      </c>
      <c r="F20">
        <v>0</v>
      </c>
      <c r="G20">
        <v>1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  <c r="O20">
        <v>24</v>
      </c>
      <c r="P20">
        <v>31</v>
      </c>
      <c r="Q20">
        <v>17</v>
      </c>
      <c r="R20">
        <v>12</v>
      </c>
      <c r="S20">
        <v>1.4435272017534599</v>
      </c>
      <c r="T20">
        <v>1.1858058261714199</v>
      </c>
      <c r="U20">
        <v>1.02429143850154</v>
      </c>
      <c r="V20">
        <v>0.98405613022083605</v>
      </c>
      <c r="W20">
        <v>183.84598163304901</v>
      </c>
      <c r="X20">
        <v>183.00043906224201</v>
      </c>
      <c r="Y20">
        <v>182.470536215556</v>
      </c>
      <c r="Z20">
        <v>182.33853061096099</v>
      </c>
      <c r="AA20">
        <v>1</v>
      </c>
      <c r="AB20">
        <v>0</v>
      </c>
      <c r="AC20">
        <v>0</v>
      </c>
      <c r="AD20">
        <v>0</v>
      </c>
      <c r="AE20">
        <v>7</v>
      </c>
    </row>
    <row r="21" spans="2:31" x14ac:dyDescent="0.3">
      <c r="B21" t="s">
        <v>28</v>
      </c>
      <c r="C21">
        <v>3.3426183844011102E-2</v>
      </c>
      <c r="D21">
        <v>7.7994428969359306E-2</v>
      </c>
      <c r="E21">
        <v>0</v>
      </c>
      <c r="F21">
        <v>0</v>
      </c>
      <c r="G21">
        <v>1</v>
      </c>
      <c r="H21">
        <v>0</v>
      </c>
      <c r="I21">
        <v>0</v>
      </c>
      <c r="J21">
        <v>1</v>
      </c>
      <c r="K21">
        <v>0</v>
      </c>
      <c r="L21">
        <v>0</v>
      </c>
      <c r="M21">
        <v>0.434</v>
      </c>
      <c r="N21">
        <v>0</v>
      </c>
      <c r="O21">
        <v>26</v>
      </c>
      <c r="P21">
        <v>24</v>
      </c>
      <c r="Q21">
        <v>17</v>
      </c>
      <c r="R21">
        <v>17</v>
      </c>
      <c r="S21">
        <v>1.1898860902813</v>
      </c>
      <c r="T21">
        <v>1.4435272017534599</v>
      </c>
      <c r="U21">
        <v>0.56560091923872602</v>
      </c>
      <c r="V21">
        <v>1.02429143850154</v>
      </c>
      <c r="W21">
        <v>183.013825755516</v>
      </c>
      <c r="X21">
        <v>183.84598163304901</v>
      </c>
      <c r="Y21">
        <v>180.965646060495</v>
      </c>
      <c r="Z21">
        <v>182.470536215556</v>
      </c>
      <c r="AA21">
        <v>1</v>
      </c>
      <c r="AB21">
        <v>0</v>
      </c>
      <c r="AC21">
        <v>0</v>
      </c>
      <c r="AD21">
        <v>0</v>
      </c>
      <c r="AE21">
        <v>5</v>
      </c>
    </row>
    <row r="22" spans="2:31" x14ac:dyDescent="0.3">
      <c r="B22" t="s">
        <v>29</v>
      </c>
      <c r="C22">
        <v>6.9637883008356605E-2</v>
      </c>
      <c r="D22">
        <v>3.3426183844011102E-2</v>
      </c>
      <c r="E22">
        <v>0</v>
      </c>
      <c r="F22">
        <v>0</v>
      </c>
      <c r="G22">
        <v>1</v>
      </c>
      <c r="H22">
        <v>0</v>
      </c>
      <c r="I22">
        <v>0</v>
      </c>
      <c r="J22">
        <v>1</v>
      </c>
      <c r="K22">
        <v>0</v>
      </c>
      <c r="L22">
        <v>0</v>
      </c>
      <c r="M22">
        <v>0.11550000000000001</v>
      </c>
      <c r="N22">
        <v>0.434</v>
      </c>
      <c r="O22">
        <v>32</v>
      </c>
      <c r="P22">
        <v>26</v>
      </c>
      <c r="Q22">
        <v>16</v>
      </c>
      <c r="R22">
        <v>17</v>
      </c>
      <c r="S22">
        <v>1.5876813093109601</v>
      </c>
      <c r="T22">
        <v>1.1898860902813</v>
      </c>
      <c r="U22">
        <v>0.78288819777123997</v>
      </c>
      <c r="V22">
        <v>0.56560091923872602</v>
      </c>
      <c r="W22">
        <v>184.31892818015399</v>
      </c>
      <c r="X22">
        <v>183.013825755516</v>
      </c>
      <c r="Y22">
        <v>181.67853083258299</v>
      </c>
      <c r="Z22">
        <v>180.965646060495</v>
      </c>
      <c r="AA22">
        <v>1</v>
      </c>
      <c r="AB22">
        <v>0</v>
      </c>
      <c r="AC22">
        <v>0</v>
      </c>
      <c r="AD22">
        <v>0</v>
      </c>
      <c r="AE22">
        <v>30</v>
      </c>
    </row>
    <row r="23" spans="2:31" x14ac:dyDescent="0.3">
      <c r="B23" t="s">
        <v>30</v>
      </c>
      <c r="C23">
        <v>7.6601671309192196E-2</v>
      </c>
      <c r="D23">
        <v>6.9637883008356605E-2</v>
      </c>
      <c r="E23">
        <v>0</v>
      </c>
      <c r="F23">
        <v>0</v>
      </c>
      <c r="G23">
        <v>1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0.11550000000000001</v>
      </c>
      <c r="O23">
        <v>33</v>
      </c>
      <c r="P23">
        <v>32</v>
      </c>
      <c r="Q23">
        <v>20</v>
      </c>
      <c r="R23">
        <v>16</v>
      </c>
      <c r="S23">
        <v>1.8073556344474</v>
      </c>
      <c r="T23">
        <v>1.5876813093109601</v>
      </c>
      <c r="U23">
        <v>1.48466663438573</v>
      </c>
      <c r="V23">
        <v>0.78288819777123997</v>
      </c>
      <c r="W23">
        <v>185.03964446997199</v>
      </c>
      <c r="X23">
        <v>184.31892818015399</v>
      </c>
      <c r="Y23">
        <v>183.98095352488801</v>
      </c>
      <c r="Z23">
        <v>181.67853083258299</v>
      </c>
      <c r="AA23">
        <v>1</v>
      </c>
      <c r="AB23">
        <v>0</v>
      </c>
      <c r="AC23">
        <v>0</v>
      </c>
      <c r="AD23">
        <v>0</v>
      </c>
      <c r="AE23">
        <v>14</v>
      </c>
    </row>
    <row r="24" spans="2:31" x14ac:dyDescent="0.3">
      <c r="B24" t="s">
        <v>31</v>
      </c>
      <c r="C24">
        <v>0.16573816155988899</v>
      </c>
      <c r="D24">
        <v>7.6601671309192196E-2</v>
      </c>
      <c r="E24">
        <v>0</v>
      </c>
      <c r="F24">
        <v>0</v>
      </c>
      <c r="G24">
        <v>1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36</v>
      </c>
      <c r="P24">
        <v>33</v>
      </c>
      <c r="Q24">
        <v>17</v>
      </c>
      <c r="R24">
        <v>20</v>
      </c>
      <c r="S24">
        <v>1.6033024944065599</v>
      </c>
      <c r="T24">
        <v>1.8073556344474</v>
      </c>
      <c r="U24">
        <v>1.12826314570643</v>
      </c>
      <c r="V24">
        <v>1.48466663438573</v>
      </c>
      <c r="W24">
        <v>184.37017878742299</v>
      </c>
      <c r="X24">
        <v>185.03964446997199</v>
      </c>
      <c r="Y24">
        <v>182.81165074050699</v>
      </c>
      <c r="Z24">
        <v>183.98095352488801</v>
      </c>
      <c r="AA24">
        <v>1</v>
      </c>
      <c r="AB24">
        <v>0</v>
      </c>
      <c r="AC24">
        <v>0</v>
      </c>
      <c r="AD24">
        <v>0</v>
      </c>
      <c r="AE24">
        <v>15</v>
      </c>
    </row>
    <row r="25" spans="2:31" x14ac:dyDescent="0.3">
      <c r="B25" t="s">
        <v>32</v>
      </c>
      <c r="C25">
        <v>0.24001857010213601</v>
      </c>
      <c r="D25">
        <v>0.16573816155988899</v>
      </c>
      <c r="E25">
        <v>0</v>
      </c>
      <c r="F25">
        <v>0</v>
      </c>
      <c r="G25">
        <v>1</v>
      </c>
      <c r="H25">
        <v>0</v>
      </c>
      <c r="I25">
        <v>0</v>
      </c>
      <c r="J25">
        <v>1</v>
      </c>
      <c r="K25">
        <v>0</v>
      </c>
      <c r="L25">
        <v>0</v>
      </c>
      <c r="M25">
        <v>0.27650000000000002</v>
      </c>
      <c r="N25">
        <v>0</v>
      </c>
      <c r="O25">
        <v>40</v>
      </c>
      <c r="P25">
        <v>36</v>
      </c>
      <c r="Q25">
        <v>20</v>
      </c>
      <c r="R25">
        <v>17</v>
      </c>
      <c r="S25">
        <v>1.2701376382113101</v>
      </c>
      <c r="T25">
        <v>1.6033024944065599</v>
      </c>
      <c r="U25">
        <v>1.0655359495032599</v>
      </c>
      <c r="V25">
        <v>1.12826314570643</v>
      </c>
      <c r="W25">
        <v>183.27711823560099</v>
      </c>
      <c r="X25">
        <v>184.37017878742299</v>
      </c>
      <c r="Y25">
        <v>182.60585285270099</v>
      </c>
      <c r="Z25">
        <v>182.81165074050699</v>
      </c>
      <c r="AA25">
        <v>1</v>
      </c>
      <c r="AB25">
        <v>0</v>
      </c>
      <c r="AC25">
        <v>0</v>
      </c>
      <c r="AD25">
        <v>0</v>
      </c>
      <c r="AE25">
        <v>56</v>
      </c>
    </row>
    <row r="26" spans="2:31" x14ac:dyDescent="0.3">
      <c r="B26" t="s">
        <v>33</v>
      </c>
      <c r="C26">
        <v>0.33658310120705698</v>
      </c>
      <c r="D26">
        <v>0.24001857010213601</v>
      </c>
      <c r="E26">
        <v>0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0.27650000000000002</v>
      </c>
      <c r="O26">
        <v>37</v>
      </c>
      <c r="P26">
        <v>40</v>
      </c>
      <c r="Q26">
        <v>14</v>
      </c>
      <c r="R26">
        <v>20</v>
      </c>
      <c r="S26">
        <v>1.8383293786799899</v>
      </c>
      <c r="T26">
        <v>1.2701376382113101</v>
      </c>
      <c r="U26">
        <v>0.93873543150711702</v>
      </c>
      <c r="V26">
        <v>1.0655359495032599</v>
      </c>
      <c r="W26">
        <v>185.14126436574799</v>
      </c>
      <c r="X26">
        <v>183.27711823560099</v>
      </c>
      <c r="Y26">
        <v>182.18984065455101</v>
      </c>
      <c r="Z26">
        <v>182.60585285270099</v>
      </c>
      <c r="AA26">
        <v>1</v>
      </c>
      <c r="AB26">
        <v>0</v>
      </c>
      <c r="AC26">
        <v>0</v>
      </c>
      <c r="AD26">
        <v>0</v>
      </c>
      <c r="AE26">
        <v>50</v>
      </c>
    </row>
    <row r="27" spans="2:31" x14ac:dyDescent="0.3">
      <c r="B27" t="s">
        <v>124</v>
      </c>
      <c r="C27">
        <v>7.7994428969359306E-2</v>
      </c>
      <c r="D27">
        <v>0.33658310120705698</v>
      </c>
      <c r="E27">
        <v>0</v>
      </c>
      <c r="F27">
        <v>0</v>
      </c>
      <c r="G27">
        <v>0</v>
      </c>
      <c r="H27">
        <v>1</v>
      </c>
      <c r="I27">
        <v>0</v>
      </c>
      <c r="J27">
        <v>1</v>
      </c>
      <c r="K27">
        <v>0</v>
      </c>
      <c r="L27">
        <v>0</v>
      </c>
      <c r="M27">
        <v>0.87150000000000005</v>
      </c>
      <c r="N27">
        <v>0</v>
      </c>
      <c r="O27">
        <v>19</v>
      </c>
      <c r="P27">
        <v>37</v>
      </c>
      <c r="Q27">
        <v>17</v>
      </c>
      <c r="R27">
        <v>14</v>
      </c>
      <c r="S27">
        <v>1.6294050586726301</v>
      </c>
      <c r="T27">
        <v>1.8383293786799899</v>
      </c>
      <c r="U27">
        <v>1.5368777304486001</v>
      </c>
      <c r="V27">
        <v>0.93873543150711702</v>
      </c>
      <c r="W27">
        <v>184.455817121629</v>
      </c>
      <c r="X27">
        <v>185.14126436574799</v>
      </c>
      <c r="Y27">
        <v>184.15224977181299</v>
      </c>
      <c r="Z27">
        <v>182.18984065455101</v>
      </c>
      <c r="AA27">
        <v>1</v>
      </c>
      <c r="AB27">
        <v>0</v>
      </c>
      <c r="AC27">
        <v>0</v>
      </c>
      <c r="AD27">
        <v>0</v>
      </c>
      <c r="AE27">
        <v>2</v>
      </c>
    </row>
    <row r="28" spans="2:31" x14ac:dyDescent="0.3">
      <c r="B28" t="s">
        <v>34</v>
      </c>
      <c r="C28">
        <v>3.3426183844011102E-2</v>
      </c>
      <c r="D28">
        <v>7.7994428969359306E-2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1</v>
      </c>
      <c r="L28">
        <v>0</v>
      </c>
      <c r="M28">
        <v>0.47249999999999998</v>
      </c>
      <c r="N28">
        <v>0.87150000000000005</v>
      </c>
      <c r="O28">
        <v>20</v>
      </c>
      <c r="P28">
        <v>19</v>
      </c>
      <c r="Q28">
        <v>20</v>
      </c>
      <c r="R28">
        <v>17</v>
      </c>
      <c r="S28">
        <v>1.36011053945192</v>
      </c>
      <c r="T28">
        <v>1.6294050586726301</v>
      </c>
      <c r="U28">
        <v>1.3600918907884101</v>
      </c>
      <c r="V28">
        <v>1.5368777304486001</v>
      </c>
      <c r="W28">
        <v>183.572304919462</v>
      </c>
      <c r="X28">
        <v>184.455817121629</v>
      </c>
      <c r="Y28">
        <v>183.572243736182</v>
      </c>
      <c r="Z28">
        <v>184.15224977181299</v>
      </c>
      <c r="AA28">
        <v>1</v>
      </c>
      <c r="AB28">
        <v>0</v>
      </c>
      <c r="AC28">
        <v>0</v>
      </c>
      <c r="AD28">
        <v>0</v>
      </c>
      <c r="AE28">
        <v>2</v>
      </c>
    </row>
    <row r="29" spans="2:31" x14ac:dyDescent="0.3">
      <c r="B29" t="s">
        <v>35</v>
      </c>
      <c r="C29">
        <v>6.9637883008356605E-2</v>
      </c>
      <c r="D29">
        <v>3.3426183844011102E-2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0.47249999999999998</v>
      </c>
      <c r="O29">
        <v>30</v>
      </c>
      <c r="P29">
        <v>20</v>
      </c>
      <c r="Q29">
        <v>15</v>
      </c>
      <c r="R29">
        <v>20</v>
      </c>
      <c r="S29">
        <v>1.1164949957674</v>
      </c>
      <c r="T29">
        <v>1.36011053945192</v>
      </c>
      <c r="U29">
        <v>0.91132237164234797</v>
      </c>
      <c r="V29">
        <v>1.3600918907884101</v>
      </c>
      <c r="W29">
        <v>182.77304132469601</v>
      </c>
      <c r="X29">
        <v>183.572304919462</v>
      </c>
      <c r="Y29">
        <v>182.09990279410201</v>
      </c>
      <c r="Z29">
        <v>183.572243736182</v>
      </c>
      <c r="AA29">
        <v>1</v>
      </c>
      <c r="AB29">
        <v>0</v>
      </c>
      <c r="AC29">
        <v>0</v>
      </c>
      <c r="AD29">
        <v>0</v>
      </c>
      <c r="AE29">
        <v>22</v>
      </c>
    </row>
    <row r="30" spans="2:31" x14ac:dyDescent="0.3">
      <c r="B30" t="s">
        <v>36</v>
      </c>
      <c r="C30">
        <v>7.6601671309192196E-2</v>
      </c>
      <c r="D30">
        <v>6.9637883008356605E-2</v>
      </c>
      <c r="E30">
        <v>0</v>
      </c>
      <c r="F30">
        <v>0</v>
      </c>
      <c r="G30">
        <v>1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26</v>
      </c>
      <c r="P30">
        <v>30</v>
      </c>
      <c r="Q30">
        <v>19</v>
      </c>
      <c r="R30">
        <v>15</v>
      </c>
      <c r="S30">
        <v>1.3218717495663099</v>
      </c>
      <c r="T30">
        <v>1.1164949957674</v>
      </c>
      <c r="U30">
        <v>0.79105369734494602</v>
      </c>
      <c r="V30">
        <v>0.91132237164234797</v>
      </c>
      <c r="W30">
        <v>183.446849572068</v>
      </c>
      <c r="X30">
        <v>182.77304132469601</v>
      </c>
      <c r="Y30">
        <v>181.70532052934701</v>
      </c>
      <c r="Z30">
        <v>182.09990279410201</v>
      </c>
      <c r="AA30">
        <v>1</v>
      </c>
      <c r="AB30">
        <v>0</v>
      </c>
      <c r="AC30">
        <v>0</v>
      </c>
      <c r="AD30">
        <v>0</v>
      </c>
      <c r="AE30">
        <v>9</v>
      </c>
    </row>
    <row r="31" spans="2:31" x14ac:dyDescent="0.3">
      <c r="B31" t="s">
        <v>37</v>
      </c>
      <c r="C31">
        <v>0.16573816155988899</v>
      </c>
      <c r="D31">
        <v>7.6601671309192196E-2</v>
      </c>
      <c r="E31">
        <v>0</v>
      </c>
      <c r="F31">
        <v>0</v>
      </c>
      <c r="G31">
        <v>1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36</v>
      </c>
      <c r="P31">
        <v>26</v>
      </c>
      <c r="Q31">
        <v>21</v>
      </c>
      <c r="R31">
        <v>19</v>
      </c>
      <c r="S31">
        <v>1.3941054796604699</v>
      </c>
      <c r="T31">
        <v>1.3218717495663099</v>
      </c>
      <c r="U31">
        <v>1.1843125230881799</v>
      </c>
      <c r="V31">
        <v>0.79105369734494602</v>
      </c>
      <c r="W31">
        <v>183.683836875526</v>
      </c>
      <c r="X31">
        <v>183.446849572068</v>
      </c>
      <c r="Y31">
        <v>182.99553977391099</v>
      </c>
      <c r="Z31">
        <v>181.70532052934701</v>
      </c>
      <c r="AA31">
        <v>1</v>
      </c>
      <c r="AB31">
        <v>0</v>
      </c>
      <c r="AC31">
        <v>0</v>
      </c>
      <c r="AD31">
        <v>0</v>
      </c>
      <c r="AE31">
        <v>15</v>
      </c>
    </row>
    <row r="32" spans="2:31" x14ac:dyDescent="0.3">
      <c r="B32" t="s">
        <v>38</v>
      </c>
      <c r="C32">
        <v>0.24001857010213601</v>
      </c>
      <c r="D32">
        <v>0.16573816155988899</v>
      </c>
      <c r="E32">
        <v>0</v>
      </c>
      <c r="F32">
        <v>0</v>
      </c>
      <c r="G32">
        <v>0</v>
      </c>
      <c r="H32">
        <v>0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30</v>
      </c>
      <c r="P32">
        <v>36</v>
      </c>
      <c r="Q32">
        <v>9</v>
      </c>
      <c r="R32">
        <v>21</v>
      </c>
      <c r="S32">
        <v>1.0005204335343401</v>
      </c>
      <c r="T32">
        <v>1.3941054796604699</v>
      </c>
      <c r="U32">
        <v>0.54651804076210198</v>
      </c>
      <c r="V32">
        <v>1.1843125230881799</v>
      </c>
      <c r="W32">
        <v>182.39254735411501</v>
      </c>
      <c r="X32">
        <v>183.683836875526</v>
      </c>
      <c r="Y32">
        <v>180.90303819147701</v>
      </c>
      <c r="Z32">
        <v>182.99553977391099</v>
      </c>
      <c r="AA32">
        <v>1</v>
      </c>
      <c r="AB32">
        <v>0</v>
      </c>
      <c r="AC32">
        <v>0</v>
      </c>
      <c r="AD32">
        <v>0</v>
      </c>
      <c r="AE32">
        <v>30</v>
      </c>
    </row>
    <row r="33" spans="2:31" x14ac:dyDescent="0.3">
      <c r="B33" t="s">
        <v>39</v>
      </c>
      <c r="C33">
        <v>0.33658310120705698</v>
      </c>
      <c r="D33">
        <v>0.24001857010213601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  <c r="K33">
        <v>0</v>
      </c>
      <c r="L33">
        <v>1</v>
      </c>
      <c r="M33">
        <v>0.44450000000000001</v>
      </c>
      <c r="N33">
        <v>0</v>
      </c>
      <c r="O33">
        <v>38</v>
      </c>
      <c r="P33">
        <v>30</v>
      </c>
      <c r="Q33">
        <v>21</v>
      </c>
      <c r="R33">
        <v>9</v>
      </c>
      <c r="S33">
        <v>1.4518828598565701</v>
      </c>
      <c r="T33">
        <v>1.0005204335343401</v>
      </c>
      <c r="U33">
        <v>0.90571434559014397</v>
      </c>
      <c r="V33">
        <v>0.54651804076210198</v>
      </c>
      <c r="W33">
        <v>183.873395209503</v>
      </c>
      <c r="X33">
        <v>182.39254735411501</v>
      </c>
      <c r="Y33">
        <v>182.081503758498</v>
      </c>
      <c r="Z33">
        <v>180.90303819147701</v>
      </c>
      <c r="AA33">
        <v>1</v>
      </c>
      <c r="AB33">
        <v>0</v>
      </c>
      <c r="AC33">
        <v>0</v>
      </c>
      <c r="AD33">
        <v>0</v>
      </c>
      <c r="AE33">
        <v>10</v>
      </c>
    </row>
    <row r="34" spans="2:31" x14ac:dyDescent="0.3">
      <c r="B34" t="s">
        <v>40</v>
      </c>
      <c r="C34">
        <v>7.7994428969359306E-2</v>
      </c>
      <c r="D34">
        <v>0.33658310120705698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1</v>
      </c>
      <c r="L34">
        <v>0</v>
      </c>
      <c r="M34">
        <v>0.49</v>
      </c>
      <c r="N34">
        <v>0.44450000000000001</v>
      </c>
      <c r="O34">
        <v>37</v>
      </c>
      <c r="P34">
        <v>38</v>
      </c>
      <c r="Q34">
        <v>19</v>
      </c>
      <c r="R34">
        <v>21</v>
      </c>
      <c r="S34">
        <v>1.8616952674513101</v>
      </c>
      <c r="T34">
        <v>1.4518828598565701</v>
      </c>
      <c r="U34">
        <v>1.0396119597326601</v>
      </c>
      <c r="V34">
        <v>0.90571434559014397</v>
      </c>
      <c r="W34">
        <v>185.21792410581099</v>
      </c>
      <c r="X34">
        <v>183.873395209503</v>
      </c>
      <c r="Y34">
        <v>182.52080039282399</v>
      </c>
      <c r="Z34">
        <v>182.081503758498</v>
      </c>
      <c r="AA34">
        <v>1</v>
      </c>
      <c r="AB34">
        <v>0</v>
      </c>
      <c r="AC34">
        <v>0</v>
      </c>
      <c r="AD34">
        <v>0</v>
      </c>
      <c r="AE34">
        <v>14</v>
      </c>
    </row>
    <row r="35" spans="2:31" x14ac:dyDescent="0.3">
      <c r="B35" t="s">
        <v>41</v>
      </c>
      <c r="C35">
        <v>3.3426183844011102E-2</v>
      </c>
      <c r="D35">
        <v>7.7994428969359306E-2</v>
      </c>
      <c r="E35">
        <v>0</v>
      </c>
      <c r="F35">
        <v>0</v>
      </c>
      <c r="G35">
        <v>1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0.49</v>
      </c>
      <c r="O35">
        <v>31</v>
      </c>
      <c r="P35">
        <v>37</v>
      </c>
      <c r="Q35">
        <v>17</v>
      </c>
      <c r="R35">
        <v>19</v>
      </c>
      <c r="S35">
        <v>1.9915877555875701</v>
      </c>
      <c r="T35">
        <v>1.8616952674513101</v>
      </c>
      <c r="U35">
        <v>1.7449295957795401</v>
      </c>
      <c r="V35">
        <v>1.0396119597326601</v>
      </c>
      <c r="W35">
        <v>185.64408056295099</v>
      </c>
      <c r="X35">
        <v>185.21792410581099</v>
      </c>
      <c r="Y35">
        <v>184.83483463182301</v>
      </c>
      <c r="Z35">
        <v>182.52080039282399</v>
      </c>
      <c r="AA35">
        <v>1</v>
      </c>
      <c r="AB35">
        <v>0</v>
      </c>
      <c r="AC35">
        <v>0</v>
      </c>
      <c r="AD35">
        <v>0</v>
      </c>
      <c r="AE35">
        <v>3</v>
      </c>
    </row>
    <row r="36" spans="2:31" s="14" customFormat="1" x14ac:dyDescent="0.3">
      <c r="B36" s="14" t="s">
        <v>43</v>
      </c>
      <c r="C36" s="14">
        <v>7.6601671309192196E-2</v>
      </c>
      <c r="D36" s="14">
        <v>3.3426183844011102E-2</v>
      </c>
      <c r="E36" s="14">
        <v>0</v>
      </c>
      <c r="F36" s="14">
        <v>0</v>
      </c>
      <c r="G36" s="14">
        <v>1</v>
      </c>
      <c r="H36" s="14">
        <v>0</v>
      </c>
      <c r="I36" s="14">
        <v>0</v>
      </c>
      <c r="J36" s="14">
        <v>1</v>
      </c>
      <c r="K36" s="14">
        <v>0</v>
      </c>
      <c r="L36" s="14">
        <v>0</v>
      </c>
      <c r="M36" s="14">
        <v>0</v>
      </c>
      <c r="N36" s="14">
        <v>0</v>
      </c>
      <c r="O36" s="14">
        <v>31</v>
      </c>
      <c r="P36" s="14">
        <v>31</v>
      </c>
      <c r="Q36" s="14">
        <v>20</v>
      </c>
      <c r="R36" s="14">
        <v>17</v>
      </c>
      <c r="S36" s="14">
        <v>1.9999842893618001</v>
      </c>
      <c r="T36" s="14">
        <v>1.9915877555875701</v>
      </c>
      <c r="U36" s="14">
        <v>1.8730662611051201</v>
      </c>
      <c r="V36" s="14">
        <v>1.7449295957795401</v>
      </c>
      <c r="W36" s="14">
        <v>185.671628245938</v>
      </c>
      <c r="X36" s="14">
        <v>185.64408056295099</v>
      </c>
      <c r="Y36" s="14">
        <v>185.25523051543701</v>
      </c>
      <c r="Z36" s="14">
        <v>184.83483463182301</v>
      </c>
      <c r="AA36" s="14">
        <v>1</v>
      </c>
      <c r="AB36" s="14">
        <v>0</v>
      </c>
      <c r="AC36" s="14">
        <v>0</v>
      </c>
      <c r="AD36" s="14">
        <v>0</v>
      </c>
      <c r="AE36" s="14">
        <v>18</v>
      </c>
    </row>
    <row r="37" spans="2:31" x14ac:dyDescent="0.3">
      <c r="B37" t="s">
        <v>44</v>
      </c>
      <c r="C37">
        <v>0.16573816155988899</v>
      </c>
      <c r="D37">
        <v>7.6601671309192196E-2</v>
      </c>
      <c r="E37">
        <v>0</v>
      </c>
      <c r="F37">
        <v>0</v>
      </c>
      <c r="G37">
        <v>0</v>
      </c>
      <c r="H37">
        <v>1</v>
      </c>
      <c r="I37">
        <v>0</v>
      </c>
      <c r="J37">
        <v>1</v>
      </c>
      <c r="K37">
        <v>0</v>
      </c>
      <c r="L37">
        <v>0</v>
      </c>
      <c r="M37">
        <v>3.5000000000000003E-2</v>
      </c>
      <c r="N37">
        <v>0</v>
      </c>
      <c r="O37">
        <v>37</v>
      </c>
      <c r="P37">
        <v>31</v>
      </c>
      <c r="Q37">
        <v>16</v>
      </c>
      <c r="R37">
        <v>20</v>
      </c>
      <c r="S37">
        <v>1.8541982139275299</v>
      </c>
      <c r="T37">
        <v>1.9999842893618001</v>
      </c>
      <c r="U37">
        <v>1.3700134820286101</v>
      </c>
      <c r="V37">
        <v>1.8730662611051201</v>
      </c>
      <c r="W37">
        <v>185.19332747351601</v>
      </c>
      <c r="X37">
        <v>185.671628245938</v>
      </c>
      <c r="Y37">
        <v>183.604794888545</v>
      </c>
      <c r="Z37">
        <v>185.25523051543701</v>
      </c>
      <c r="AA37">
        <v>1</v>
      </c>
      <c r="AB37">
        <v>0</v>
      </c>
      <c r="AC37">
        <v>0</v>
      </c>
      <c r="AD37">
        <v>0</v>
      </c>
      <c r="AE37">
        <v>23</v>
      </c>
    </row>
    <row r="38" spans="2:31" x14ac:dyDescent="0.3">
      <c r="B38" t="s">
        <v>45</v>
      </c>
      <c r="C38">
        <v>0.24001857010213601</v>
      </c>
      <c r="D38">
        <v>0.16573816155988899</v>
      </c>
      <c r="E38">
        <v>0</v>
      </c>
      <c r="F38">
        <v>0</v>
      </c>
      <c r="G38">
        <v>0</v>
      </c>
      <c r="H38">
        <v>0</v>
      </c>
      <c r="I38">
        <v>1</v>
      </c>
      <c r="J38">
        <v>0</v>
      </c>
      <c r="K38">
        <v>1</v>
      </c>
      <c r="L38">
        <v>0</v>
      </c>
      <c r="M38">
        <v>0</v>
      </c>
      <c r="N38">
        <v>3.5000000000000003E-2</v>
      </c>
      <c r="O38">
        <v>27</v>
      </c>
      <c r="P38">
        <v>37</v>
      </c>
      <c r="Q38">
        <v>13</v>
      </c>
      <c r="R38">
        <v>16</v>
      </c>
      <c r="S38">
        <v>1.1043571543261399</v>
      </c>
      <c r="T38">
        <v>1.8541982139275299</v>
      </c>
      <c r="U38">
        <v>0.86247379749714004</v>
      </c>
      <c r="V38">
        <v>1.3700134820286101</v>
      </c>
      <c r="W38">
        <v>182.73321901025599</v>
      </c>
      <c r="X38">
        <v>185.19332747351601</v>
      </c>
      <c r="Y38">
        <v>181.93963844323201</v>
      </c>
      <c r="Z38">
        <v>183.604794888545</v>
      </c>
      <c r="AA38">
        <v>1</v>
      </c>
      <c r="AB38">
        <v>0</v>
      </c>
      <c r="AC38">
        <v>0</v>
      </c>
      <c r="AD38">
        <v>0</v>
      </c>
      <c r="AE38">
        <v>32</v>
      </c>
    </row>
    <row r="39" spans="2:31" s="14" customFormat="1" x14ac:dyDescent="0.3">
      <c r="B39" s="14" t="s">
        <v>47</v>
      </c>
      <c r="C39" s="14">
        <v>7.7994428969359306E-2</v>
      </c>
      <c r="D39" s="14">
        <v>0.24001857010213601</v>
      </c>
      <c r="E39" s="14">
        <v>0</v>
      </c>
      <c r="F39" s="14">
        <v>0</v>
      </c>
      <c r="G39" s="14">
        <v>0</v>
      </c>
      <c r="H39" s="14">
        <v>0</v>
      </c>
      <c r="I39" s="14">
        <v>1</v>
      </c>
      <c r="J39" s="14">
        <v>0</v>
      </c>
      <c r="K39" s="14">
        <v>0</v>
      </c>
      <c r="L39" s="14">
        <v>1</v>
      </c>
      <c r="M39" s="14">
        <v>0.17849999999999999</v>
      </c>
      <c r="N39" s="14">
        <v>0</v>
      </c>
      <c r="O39" s="14">
        <v>26</v>
      </c>
      <c r="P39" s="14">
        <v>27</v>
      </c>
      <c r="Q39" s="14">
        <v>17</v>
      </c>
      <c r="R39" s="14">
        <v>13</v>
      </c>
      <c r="S39" s="14">
        <v>1.9946346363607601</v>
      </c>
      <c r="T39" s="14">
        <v>1.1043571543261399</v>
      </c>
      <c r="U39" s="14">
        <v>1.9551520810888801</v>
      </c>
      <c r="V39" s="14">
        <v>0.86247379749714004</v>
      </c>
      <c r="W39" s="14">
        <v>185.65407689094701</v>
      </c>
      <c r="X39" s="14">
        <v>182.73321901025599</v>
      </c>
      <c r="Y39" s="14">
        <v>185.52454094845399</v>
      </c>
      <c r="Z39" s="14">
        <v>181.93963844323201</v>
      </c>
      <c r="AA39" s="14">
        <v>1</v>
      </c>
      <c r="AB39" s="14">
        <v>0</v>
      </c>
      <c r="AC39" s="14">
        <v>0</v>
      </c>
      <c r="AD39" s="14">
        <v>0</v>
      </c>
      <c r="AE39" s="14">
        <v>5</v>
      </c>
    </row>
    <row r="40" spans="2:31" x14ac:dyDescent="0.3">
      <c r="B40" t="s">
        <v>48</v>
      </c>
      <c r="C40">
        <v>3.3426183844011102E-2</v>
      </c>
      <c r="D40">
        <v>7.7994428969359306E-2</v>
      </c>
      <c r="E40">
        <v>0</v>
      </c>
      <c r="F40">
        <v>0</v>
      </c>
      <c r="G40">
        <v>0</v>
      </c>
      <c r="H40">
        <v>1</v>
      </c>
      <c r="I40">
        <v>0</v>
      </c>
      <c r="J40">
        <v>0</v>
      </c>
      <c r="K40">
        <v>0</v>
      </c>
      <c r="L40">
        <v>1</v>
      </c>
      <c r="M40">
        <v>0</v>
      </c>
      <c r="N40">
        <v>0.17849999999999999</v>
      </c>
      <c r="O40">
        <v>30</v>
      </c>
      <c r="P40">
        <v>26</v>
      </c>
      <c r="Q40">
        <v>17</v>
      </c>
      <c r="R40">
        <v>17</v>
      </c>
      <c r="S40">
        <v>1.73928568149942</v>
      </c>
      <c r="T40">
        <v>1.9946346363607601</v>
      </c>
      <c r="U40">
        <v>1.55371550596091</v>
      </c>
      <c r="V40">
        <v>1.9551520810888801</v>
      </c>
      <c r="W40">
        <v>184.816317852688</v>
      </c>
      <c r="X40">
        <v>185.65407689094701</v>
      </c>
      <c r="Y40">
        <v>184.207491817457</v>
      </c>
      <c r="Z40">
        <v>185.52454094845399</v>
      </c>
      <c r="AA40">
        <v>1</v>
      </c>
      <c r="AB40">
        <v>0</v>
      </c>
      <c r="AC40">
        <v>0</v>
      </c>
      <c r="AD40">
        <v>0</v>
      </c>
      <c r="AE40">
        <v>9</v>
      </c>
    </row>
    <row r="41" spans="2:31" x14ac:dyDescent="0.3">
      <c r="B41" t="s">
        <v>49</v>
      </c>
      <c r="C41">
        <v>6.9637883008356605E-2</v>
      </c>
      <c r="D41">
        <v>3.3426183844011102E-2</v>
      </c>
      <c r="E41">
        <v>0</v>
      </c>
      <c r="F41">
        <v>0</v>
      </c>
      <c r="G41">
        <v>0</v>
      </c>
      <c r="H41">
        <v>1</v>
      </c>
      <c r="I41">
        <v>0</v>
      </c>
      <c r="J41">
        <v>0</v>
      </c>
      <c r="K41">
        <v>1</v>
      </c>
      <c r="L41">
        <v>0</v>
      </c>
      <c r="M41">
        <v>0.60550000000000004</v>
      </c>
      <c r="N41">
        <v>0</v>
      </c>
      <c r="O41">
        <v>25</v>
      </c>
      <c r="P41">
        <v>30</v>
      </c>
      <c r="Q41">
        <v>22</v>
      </c>
      <c r="R41">
        <v>17</v>
      </c>
      <c r="S41">
        <v>1.9868774291325899</v>
      </c>
      <c r="T41">
        <v>1.73928568149942</v>
      </c>
      <c r="U41">
        <v>1.6189689837985599</v>
      </c>
      <c r="V41">
        <v>1.55371550596091</v>
      </c>
      <c r="W41">
        <v>185.62862673599901</v>
      </c>
      <c r="X41">
        <v>184.816317852688</v>
      </c>
      <c r="Y41">
        <v>184.42157803083501</v>
      </c>
      <c r="Z41">
        <v>184.207491817457</v>
      </c>
      <c r="AA41">
        <v>1</v>
      </c>
      <c r="AB41">
        <v>0</v>
      </c>
      <c r="AC41">
        <v>0</v>
      </c>
      <c r="AD41">
        <v>0</v>
      </c>
      <c r="AE41">
        <v>2</v>
      </c>
    </row>
    <row r="42" spans="2:31" x14ac:dyDescent="0.3">
      <c r="B42" t="s">
        <v>50</v>
      </c>
      <c r="C42">
        <v>7.6601671309192196E-2</v>
      </c>
      <c r="D42">
        <v>6.9637883008356605E-2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1</v>
      </c>
      <c r="L42">
        <v>0</v>
      </c>
      <c r="M42">
        <v>0.38150000000000001</v>
      </c>
      <c r="N42">
        <v>0.60550000000000004</v>
      </c>
      <c r="O42">
        <v>32</v>
      </c>
      <c r="P42">
        <v>25</v>
      </c>
      <c r="Q42">
        <v>26</v>
      </c>
      <c r="R42">
        <v>22</v>
      </c>
      <c r="S42">
        <v>1.9229529958736</v>
      </c>
      <c r="T42">
        <v>1.9868774291325899</v>
      </c>
      <c r="U42">
        <v>1.7865930255187901</v>
      </c>
      <c r="V42">
        <v>1.6189689837985599</v>
      </c>
      <c r="W42">
        <v>185.41890090509699</v>
      </c>
      <c r="X42">
        <v>185.62862673599901</v>
      </c>
      <c r="Y42">
        <v>184.97152567427401</v>
      </c>
      <c r="Z42">
        <v>184.42157803083501</v>
      </c>
      <c r="AA42">
        <v>1</v>
      </c>
      <c r="AB42">
        <v>0</v>
      </c>
      <c r="AC42">
        <v>0</v>
      </c>
      <c r="AD42">
        <v>0</v>
      </c>
      <c r="AE42">
        <v>11</v>
      </c>
    </row>
    <row r="43" spans="2:31" x14ac:dyDescent="0.3">
      <c r="B43" t="s">
        <v>51</v>
      </c>
      <c r="C43">
        <v>0.16573816155988899</v>
      </c>
      <c r="D43">
        <v>7.6601671309192196E-2</v>
      </c>
      <c r="E43">
        <v>0</v>
      </c>
      <c r="F43">
        <v>0</v>
      </c>
      <c r="G43">
        <v>1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0.38150000000000001</v>
      </c>
      <c r="O43">
        <v>37</v>
      </c>
      <c r="P43">
        <v>32</v>
      </c>
      <c r="Q43">
        <v>18</v>
      </c>
      <c r="R43">
        <v>26</v>
      </c>
      <c r="S43">
        <v>1.7758684444796899</v>
      </c>
      <c r="T43">
        <v>1.9229529958736</v>
      </c>
      <c r="U43">
        <v>1.6295260162221601</v>
      </c>
      <c r="V43">
        <v>1.7865930255187901</v>
      </c>
      <c r="W43">
        <v>184.936340040944</v>
      </c>
      <c r="X43">
        <v>185.41890090509699</v>
      </c>
      <c r="Y43">
        <v>184.456213963984</v>
      </c>
      <c r="Z43">
        <v>184.97152567427401</v>
      </c>
      <c r="AA43">
        <v>1</v>
      </c>
      <c r="AB43">
        <v>0</v>
      </c>
      <c r="AC43">
        <v>0</v>
      </c>
      <c r="AD43">
        <v>0</v>
      </c>
      <c r="AE43">
        <v>59</v>
      </c>
    </row>
    <row r="44" spans="2:31" x14ac:dyDescent="0.3">
      <c r="B44" t="s">
        <v>52</v>
      </c>
      <c r="C44">
        <v>0.24001857010213601</v>
      </c>
      <c r="D44">
        <v>0.16573816155988899</v>
      </c>
      <c r="E44">
        <v>1</v>
      </c>
      <c r="F44">
        <v>0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  <c r="M44">
        <v>0</v>
      </c>
      <c r="N44">
        <v>0</v>
      </c>
      <c r="O44">
        <v>24</v>
      </c>
      <c r="P44">
        <v>37</v>
      </c>
      <c r="Q44">
        <v>18</v>
      </c>
      <c r="R44">
        <v>18</v>
      </c>
      <c r="S44">
        <v>1.43112524802424</v>
      </c>
      <c r="T44">
        <v>1.7758684444796899</v>
      </c>
      <c r="U44">
        <v>1.11915530747697</v>
      </c>
      <c r="V44">
        <v>1.6295260162221601</v>
      </c>
      <c r="W44">
        <v>183.80529280847901</v>
      </c>
      <c r="X44">
        <v>184.936340040944</v>
      </c>
      <c r="Y44">
        <v>182.78176938148599</v>
      </c>
      <c r="Z44">
        <v>184.456213963984</v>
      </c>
      <c r="AA44">
        <v>1</v>
      </c>
      <c r="AB44">
        <v>0</v>
      </c>
      <c r="AC44">
        <v>0</v>
      </c>
      <c r="AD44">
        <v>0</v>
      </c>
      <c r="AE44">
        <v>12</v>
      </c>
    </row>
    <row r="45" spans="2:31" x14ac:dyDescent="0.3">
      <c r="B45" t="s">
        <v>53</v>
      </c>
      <c r="C45">
        <v>0.33658310120705698</v>
      </c>
      <c r="D45">
        <v>0.24001857010213601</v>
      </c>
      <c r="E45">
        <v>0</v>
      </c>
      <c r="F45">
        <v>1</v>
      </c>
      <c r="G45">
        <v>1</v>
      </c>
      <c r="H45">
        <v>0</v>
      </c>
      <c r="I45">
        <v>0</v>
      </c>
      <c r="J45">
        <v>0</v>
      </c>
      <c r="K45">
        <v>1</v>
      </c>
      <c r="L45">
        <v>0</v>
      </c>
      <c r="M45">
        <v>0.13300000000000001</v>
      </c>
      <c r="N45">
        <v>0</v>
      </c>
      <c r="O45">
        <v>36</v>
      </c>
      <c r="P45">
        <v>24</v>
      </c>
      <c r="Q45">
        <v>16</v>
      </c>
      <c r="R45">
        <v>18</v>
      </c>
      <c r="S45">
        <v>1.6083595400789299</v>
      </c>
      <c r="T45">
        <v>1.43112524802424</v>
      </c>
      <c r="U45">
        <v>1.0112719800643799</v>
      </c>
      <c r="V45">
        <v>1.11915530747697</v>
      </c>
      <c r="W45">
        <v>184.38677014461601</v>
      </c>
      <c r="X45">
        <v>183.80529280847901</v>
      </c>
      <c r="Y45">
        <v>182.42782145690401</v>
      </c>
      <c r="Z45">
        <v>182.78176938148599</v>
      </c>
      <c r="AA45">
        <v>1</v>
      </c>
      <c r="AB45">
        <v>0</v>
      </c>
      <c r="AC45">
        <v>0</v>
      </c>
      <c r="AD45">
        <v>0</v>
      </c>
      <c r="AE45">
        <v>80</v>
      </c>
    </row>
    <row r="46" spans="2:31" x14ac:dyDescent="0.3">
      <c r="B46" t="s">
        <v>54</v>
      </c>
      <c r="C46">
        <v>7.7994428969359306E-2</v>
      </c>
      <c r="D46">
        <v>0.33658310120705698</v>
      </c>
      <c r="E46">
        <v>0</v>
      </c>
      <c r="F46">
        <v>0</v>
      </c>
      <c r="G46">
        <v>1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0.13300000000000001</v>
      </c>
      <c r="O46">
        <v>36</v>
      </c>
      <c r="P46">
        <v>36</v>
      </c>
      <c r="Q46">
        <v>16</v>
      </c>
      <c r="R46">
        <v>16</v>
      </c>
      <c r="S46">
        <v>1.7270687225079899</v>
      </c>
      <c r="T46">
        <v>1.6083595400789299</v>
      </c>
      <c r="U46">
        <v>0.67802143162939998</v>
      </c>
      <c r="V46">
        <v>1.0112719800643799</v>
      </c>
      <c r="W46">
        <v>184.776235966234</v>
      </c>
      <c r="X46">
        <v>184.38677014461601</v>
      </c>
      <c r="Y46">
        <v>181.334479762564</v>
      </c>
      <c r="Z46">
        <v>182.42782145690401</v>
      </c>
      <c r="AA46">
        <v>1</v>
      </c>
      <c r="AB46">
        <v>0</v>
      </c>
      <c r="AC46">
        <v>0</v>
      </c>
      <c r="AD46">
        <v>0</v>
      </c>
      <c r="AE46">
        <v>22</v>
      </c>
    </row>
    <row r="47" spans="2:31" x14ac:dyDescent="0.3">
      <c r="B47" t="s">
        <v>55</v>
      </c>
      <c r="C47">
        <v>3.3426183844011102E-2</v>
      </c>
      <c r="D47">
        <v>7.7994428969359306E-2</v>
      </c>
      <c r="E47">
        <v>0</v>
      </c>
      <c r="F47">
        <v>0</v>
      </c>
      <c r="G47">
        <v>1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29</v>
      </c>
      <c r="P47">
        <v>36</v>
      </c>
      <c r="Q47">
        <v>24</v>
      </c>
      <c r="R47">
        <v>16</v>
      </c>
      <c r="S47">
        <v>1.06570678728322</v>
      </c>
      <c r="T47">
        <v>1.7270687225079899</v>
      </c>
      <c r="U47">
        <v>0.653831153290925</v>
      </c>
      <c r="V47">
        <v>0.67802143162939998</v>
      </c>
      <c r="W47">
        <v>182.60641334410499</v>
      </c>
      <c r="X47">
        <v>184.776235966234</v>
      </c>
      <c r="Y47">
        <v>181.25511533231901</v>
      </c>
      <c r="Z47">
        <v>181.334479762564</v>
      </c>
      <c r="AA47">
        <v>1</v>
      </c>
      <c r="AB47">
        <v>0</v>
      </c>
      <c r="AC47">
        <v>0</v>
      </c>
      <c r="AD47">
        <v>0</v>
      </c>
      <c r="AE47">
        <v>5</v>
      </c>
    </row>
    <row r="48" spans="2:31" x14ac:dyDescent="0.3">
      <c r="B48" t="s">
        <v>56</v>
      </c>
      <c r="C48">
        <v>6.9637883008356605E-2</v>
      </c>
      <c r="D48">
        <v>3.3426183844011102E-2</v>
      </c>
      <c r="E48">
        <v>0</v>
      </c>
      <c r="F48">
        <v>0</v>
      </c>
      <c r="G48">
        <v>0</v>
      </c>
      <c r="H48">
        <v>0</v>
      </c>
      <c r="I48">
        <v>1</v>
      </c>
      <c r="J48">
        <v>1</v>
      </c>
      <c r="K48">
        <v>0</v>
      </c>
      <c r="L48">
        <v>0</v>
      </c>
      <c r="M48">
        <v>0.85399999999999998</v>
      </c>
      <c r="N48">
        <v>0</v>
      </c>
      <c r="O48">
        <v>32</v>
      </c>
      <c r="P48">
        <v>29</v>
      </c>
      <c r="Q48">
        <v>32</v>
      </c>
      <c r="R48">
        <v>24</v>
      </c>
      <c r="S48">
        <v>0.58658599090475205</v>
      </c>
      <c r="T48">
        <v>1.06570678728322</v>
      </c>
      <c r="U48">
        <v>0.58658599090475205</v>
      </c>
      <c r="V48">
        <v>0.653831153290925</v>
      </c>
      <c r="W48">
        <v>181.03449472081601</v>
      </c>
      <c r="X48">
        <v>182.60641334410499</v>
      </c>
      <c r="Y48">
        <v>181.03449472081601</v>
      </c>
      <c r="Z48">
        <v>181.25511533231901</v>
      </c>
      <c r="AA48">
        <v>1</v>
      </c>
      <c r="AB48">
        <v>0</v>
      </c>
      <c r="AC48">
        <v>0</v>
      </c>
      <c r="AD48">
        <v>0</v>
      </c>
      <c r="AE48">
        <v>1</v>
      </c>
    </row>
    <row r="49" spans="2:31" x14ac:dyDescent="0.3">
      <c r="B49" t="s">
        <v>57</v>
      </c>
      <c r="C49">
        <v>7.6601671309192196E-2</v>
      </c>
      <c r="D49">
        <v>6.9637883008356605E-2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0.85399999999999998</v>
      </c>
      <c r="O49">
        <v>31</v>
      </c>
      <c r="P49">
        <v>32</v>
      </c>
      <c r="Q49">
        <v>22</v>
      </c>
      <c r="R49">
        <v>32</v>
      </c>
      <c r="S49">
        <v>1.0620636473106999</v>
      </c>
      <c r="T49">
        <v>0.58658599090475205</v>
      </c>
      <c r="U49">
        <v>0.76034752738834899</v>
      </c>
      <c r="V49">
        <v>0.58658599090475205</v>
      </c>
      <c r="W49">
        <v>182.59446078514</v>
      </c>
      <c r="X49">
        <v>181.03449472081601</v>
      </c>
      <c r="Y49">
        <v>181.60457850193001</v>
      </c>
      <c r="Z49">
        <v>181.03449472081601</v>
      </c>
      <c r="AA49">
        <v>1</v>
      </c>
      <c r="AB49">
        <v>0</v>
      </c>
      <c r="AC49">
        <v>0</v>
      </c>
      <c r="AD49">
        <v>0</v>
      </c>
      <c r="AE49">
        <v>16</v>
      </c>
    </row>
    <row r="50" spans="2:31" x14ac:dyDescent="0.3">
      <c r="B50" t="s">
        <v>58</v>
      </c>
      <c r="C50">
        <v>0.16573816155988899</v>
      </c>
      <c r="D50">
        <v>7.6601671309192196E-2</v>
      </c>
      <c r="E50">
        <v>0</v>
      </c>
      <c r="F50">
        <v>0</v>
      </c>
      <c r="G50">
        <v>1</v>
      </c>
      <c r="H50">
        <v>0</v>
      </c>
      <c r="I50">
        <v>0</v>
      </c>
      <c r="J50">
        <v>1</v>
      </c>
      <c r="K50">
        <v>0</v>
      </c>
      <c r="L50">
        <v>0</v>
      </c>
      <c r="M50">
        <v>1.5645</v>
      </c>
      <c r="N50">
        <v>0</v>
      </c>
      <c r="O50">
        <v>39</v>
      </c>
      <c r="P50">
        <v>31</v>
      </c>
      <c r="Q50">
        <v>19</v>
      </c>
      <c r="R50">
        <v>22</v>
      </c>
      <c r="S50">
        <v>1.05930615117237</v>
      </c>
      <c r="T50">
        <v>1.0620636473106999</v>
      </c>
      <c r="U50">
        <v>0.55819365868748105</v>
      </c>
      <c r="V50">
        <v>0.76034752738834899</v>
      </c>
      <c r="W50">
        <v>182.58541388179901</v>
      </c>
      <c r="X50">
        <v>182.59446078514</v>
      </c>
      <c r="Y50">
        <v>180.94134402456501</v>
      </c>
      <c r="Z50">
        <v>181.60457850193001</v>
      </c>
      <c r="AA50">
        <v>1</v>
      </c>
      <c r="AB50">
        <v>0</v>
      </c>
      <c r="AC50">
        <v>0</v>
      </c>
      <c r="AD50">
        <v>0</v>
      </c>
      <c r="AE50">
        <v>37</v>
      </c>
    </row>
    <row r="51" spans="2:31" x14ac:dyDescent="0.3">
      <c r="B51" t="s">
        <v>59</v>
      </c>
      <c r="C51">
        <v>0.24001857010213601</v>
      </c>
      <c r="D51">
        <v>0.16573816155988899</v>
      </c>
      <c r="E51">
        <v>0</v>
      </c>
      <c r="F51">
        <v>0</v>
      </c>
      <c r="G51">
        <v>1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1.5645</v>
      </c>
      <c r="O51">
        <v>40</v>
      </c>
      <c r="P51">
        <v>39</v>
      </c>
      <c r="Q51">
        <v>20</v>
      </c>
      <c r="R51">
        <v>19</v>
      </c>
      <c r="S51">
        <v>0.92507227666570202</v>
      </c>
      <c r="T51">
        <v>1.05930615117237</v>
      </c>
      <c r="U51">
        <v>0.104011550057409</v>
      </c>
      <c r="V51">
        <v>0.55819365868748105</v>
      </c>
      <c r="W51">
        <v>182.14501403105501</v>
      </c>
      <c r="X51">
        <v>182.58541388179901</v>
      </c>
      <c r="Y51">
        <v>179.451245242971</v>
      </c>
      <c r="Z51">
        <v>180.94134402456501</v>
      </c>
      <c r="AA51">
        <v>1</v>
      </c>
      <c r="AB51">
        <v>0</v>
      </c>
      <c r="AC51">
        <v>0</v>
      </c>
      <c r="AD51">
        <v>0</v>
      </c>
      <c r="AE51">
        <v>59</v>
      </c>
    </row>
    <row r="52" spans="2:31" x14ac:dyDescent="0.3">
      <c r="B52" t="s">
        <v>60</v>
      </c>
      <c r="C52">
        <v>0.33658310120705698</v>
      </c>
      <c r="D52">
        <v>0.24001857010213601</v>
      </c>
      <c r="E52">
        <v>0</v>
      </c>
      <c r="F52">
        <v>0</v>
      </c>
      <c r="G52">
        <v>1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40</v>
      </c>
      <c r="P52">
        <v>40</v>
      </c>
      <c r="Q52">
        <v>15</v>
      </c>
      <c r="R52">
        <v>20</v>
      </c>
      <c r="S52">
        <v>1.29987295518982</v>
      </c>
      <c r="T52">
        <v>0.92507227666570202</v>
      </c>
      <c r="U52">
        <v>0.57488517829128705</v>
      </c>
      <c r="V52">
        <v>0.104011550057409</v>
      </c>
      <c r="W52">
        <v>183.37467504983499</v>
      </c>
      <c r="X52">
        <v>182.14501403105501</v>
      </c>
      <c r="Y52">
        <v>180.99610622799</v>
      </c>
      <c r="Z52">
        <v>179.451245242971</v>
      </c>
      <c r="AA52">
        <v>1</v>
      </c>
      <c r="AB52">
        <v>0</v>
      </c>
      <c r="AC52">
        <v>0</v>
      </c>
      <c r="AD52">
        <v>0</v>
      </c>
      <c r="AE52">
        <v>79</v>
      </c>
    </row>
    <row r="53" spans="2:31" x14ac:dyDescent="0.3">
      <c r="B53" t="s">
        <v>61</v>
      </c>
      <c r="C53">
        <v>7.7994428969359306E-2</v>
      </c>
      <c r="D53">
        <v>0.33658310120705698</v>
      </c>
      <c r="E53">
        <v>0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35</v>
      </c>
      <c r="P53">
        <v>40</v>
      </c>
      <c r="Q53">
        <v>26</v>
      </c>
      <c r="R53">
        <v>15</v>
      </c>
      <c r="S53">
        <v>0.93021896797324799</v>
      </c>
      <c r="T53">
        <v>1.29987295518982</v>
      </c>
      <c r="U53">
        <v>0.59566146465738401</v>
      </c>
      <c r="V53">
        <v>0.57488517829128705</v>
      </c>
      <c r="W53">
        <v>182.16189950122501</v>
      </c>
      <c r="X53">
        <v>183.37467504983499</v>
      </c>
      <c r="Y53">
        <v>181.06426989716999</v>
      </c>
      <c r="Z53">
        <v>180.99610622799</v>
      </c>
      <c r="AA53">
        <v>1</v>
      </c>
      <c r="AB53">
        <v>0</v>
      </c>
      <c r="AC53">
        <v>0</v>
      </c>
      <c r="AD53">
        <v>0</v>
      </c>
      <c r="AE53">
        <v>5</v>
      </c>
    </row>
    <row r="54" spans="2:31" x14ac:dyDescent="0.3">
      <c r="B54" t="s">
        <v>62</v>
      </c>
      <c r="C54">
        <v>3.3426183844011102E-2</v>
      </c>
      <c r="D54">
        <v>7.7994428969359306E-2</v>
      </c>
      <c r="E54">
        <v>0</v>
      </c>
      <c r="F54">
        <v>0</v>
      </c>
      <c r="G54">
        <v>1</v>
      </c>
      <c r="H54">
        <v>0</v>
      </c>
      <c r="I54">
        <v>0</v>
      </c>
      <c r="J54">
        <v>1</v>
      </c>
      <c r="K54">
        <v>0</v>
      </c>
      <c r="L54">
        <v>0</v>
      </c>
      <c r="M54">
        <v>7.0000000000000007E-2</v>
      </c>
      <c r="N54">
        <v>0</v>
      </c>
      <c r="O54">
        <v>31</v>
      </c>
      <c r="P54">
        <v>35</v>
      </c>
      <c r="Q54">
        <v>23</v>
      </c>
      <c r="R54">
        <v>26</v>
      </c>
      <c r="S54">
        <v>1.5356157011840901</v>
      </c>
      <c r="T54">
        <v>0.93021896797324799</v>
      </c>
      <c r="U54">
        <v>0.96605587213410005</v>
      </c>
      <c r="V54">
        <v>0.59566146465738401</v>
      </c>
      <c r="W54">
        <v>184.148109255853</v>
      </c>
      <c r="X54">
        <v>182.16189950122501</v>
      </c>
      <c r="Y54">
        <v>182.27947464610901</v>
      </c>
      <c r="Z54">
        <v>181.06426989716999</v>
      </c>
      <c r="AA54">
        <v>1</v>
      </c>
      <c r="AB54">
        <v>0</v>
      </c>
      <c r="AC54">
        <v>0</v>
      </c>
      <c r="AD54">
        <v>0</v>
      </c>
      <c r="AE54">
        <v>7</v>
      </c>
    </row>
    <row r="55" spans="2:31" x14ac:dyDescent="0.3">
      <c r="B55" t="s">
        <v>63</v>
      </c>
      <c r="C55">
        <v>6.9637883008356605E-2</v>
      </c>
      <c r="D55">
        <v>3.3426183844011102E-2</v>
      </c>
      <c r="E55">
        <v>0</v>
      </c>
      <c r="F55">
        <v>0</v>
      </c>
      <c r="G55">
        <v>1</v>
      </c>
      <c r="H55">
        <v>0</v>
      </c>
      <c r="I55">
        <v>0</v>
      </c>
      <c r="J55">
        <v>1</v>
      </c>
      <c r="K55">
        <v>0</v>
      </c>
      <c r="L55">
        <v>0</v>
      </c>
      <c r="M55">
        <v>0.42699999999999999</v>
      </c>
      <c r="N55">
        <v>7.0000000000000007E-2</v>
      </c>
      <c r="O55">
        <v>34</v>
      </c>
      <c r="P55">
        <v>31</v>
      </c>
      <c r="Q55">
        <v>22</v>
      </c>
      <c r="R55">
        <v>23</v>
      </c>
      <c r="S55">
        <v>1.2297212535249999</v>
      </c>
      <c r="T55">
        <v>1.5356157011840901</v>
      </c>
      <c r="U55">
        <v>0.94294307694957102</v>
      </c>
      <c r="V55">
        <v>0.96605587213410005</v>
      </c>
      <c r="W55">
        <v>183.14451854831</v>
      </c>
      <c r="X55">
        <v>184.148109255853</v>
      </c>
      <c r="Y55">
        <v>182.20364526558299</v>
      </c>
      <c r="Z55">
        <v>182.27947464610901</v>
      </c>
      <c r="AA55">
        <v>1</v>
      </c>
      <c r="AB55">
        <v>0</v>
      </c>
      <c r="AC55">
        <v>0</v>
      </c>
      <c r="AD55">
        <v>0</v>
      </c>
      <c r="AE55">
        <v>7</v>
      </c>
    </row>
    <row r="56" spans="2:31" x14ac:dyDescent="0.3">
      <c r="B56" t="s">
        <v>64</v>
      </c>
      <c r="C56">
        <v>7.6601671309192196E-2</v>
      </c>
      <c r="D56">
        <v>6.9637883008356605E-2</v>
      </c>
      <c r="E56">
        <v>0</v>
      </c>
      <c r="F56">
        <v>0</v>
      </c>
      <c r="G56">
        <v>1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0.42699999999999999</v>
      </c>
      <c r="O56">
        <v>37</v>
      </c>
      <c r="P56">
        <v>34</v>
      </c>
      <c r="Q56">
        <v>12</v>
      </c>
      <c r="R56">
        <v>22</v>
      </c>
      <c r="S56">
        <v>0.57578415333256505</v>
      </c>
      <c r="T56">
        <v>1.2297212535249999</v>
      </c>
      <c r="U56">
        <v>0.11128936144064699</v>
      </c>
      <c r="V56">
        <v>0.94294307694957102</v>
      </c>
      <c r="W56">
        <v>180.99905562116999</v>
      </c>
      <c r="X56">
        <v>183.14451854831</v>
      </c>
      <c r="Y56">
        <v>179.47512257690499</v>
      </c>
      <c r="Z56">
        <v>182.20364526558299</v>
      </c>
      <c r="AA56">
        <v>1</v>
      </c>
      <c r="AB56">
        <v>0</v>
      </c>
      <c r="AC56">
        <v>0</v>
      </c>
      <c r="AD56">
        <v>0</v>
      </c>
      <c r="AE56">
        <v>28</v>
      </c>
    </row>
    <row r="57" spans="2:31" x14ac:dyDescent="0.3">
      <c r="B57" t="s">
        <v>65</v>
      </c>
      <c r="C57">
        <v>0.16573816155988899</v>
      </c>
      <c r="D57">
        <v>7.6601671309192196E-2</v>
      </c>
      <c r="E57">
        <v>0</v>
      </c>
      <c r="F57">
        <v>0</v>
      </c>
      <c r="G57">
        <v>1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32</v>
      </c>
      <c r="P57">
        <v>37</v>
      </c>
      <c r="Q57">
        <v>12</v>
      </c>
      <c r="R57">
        <v>12</v>
      </c>
      <c r="S57">
        <v>1.06173866744552</v>
      </c>
      <c r="T57">
        <v>0.57578415333256505</v>
      </c>
      <c r="U57">
        <v>0.35813523498652899</v>
      </c>
      <c r="V57">
        <v>0.11128936144064699</v>
      </c>
      <c r="W57">
        <v>182.59339457823299</v>
      </c>
      <c r="X57">
        <v>180.99905562116999</v>
      </c>
      <c r="Y57">
        <v>180.284984366754</v>
      </c>
      <c r="Z57">
        <v>179.47512257690499</v>
      </c>
      <c r="AA57">
        <v>1</v>
      </c>
      <c r="AB57">
        <v>0</v>
      </c>
      <c r="AC57">
        <v>0</v>
      </c>
      <c r="AD57">
        <v>0</v>
      </c>
      <c r="AE57">
        <v>29</v>
      </c>
    </row>
    <row r="58" spans="2:31" x14ac:dyDescent="0.3">
      <c r="B58" t="s">
        <v>66</v>
      </c>
      <c r="C58">
        <v>0.24001857010213601</v>
      </c>
      <c r="D58">
        <v>0.16573816155988899</v>
      </c>
      <c r="E58">
        <v>0</v>
      </c>
      <c r="F58">
        <v>0</v>
      </c>
      <c r="G58">
        <v>1</v>
      </c>
      <c r="H58">
        <v>0</v>
      </c>
      <c r="I58">
        <v>0</v>
      </c>
      <c r="J58">
        <v>1</v>
      </c>
      <c r="K58">
        <v>0</v>
      </c>
      <c r="L58">
        <v>0</v>
      </c>
      <c r="M58">
        <v>8.0500000000000002E-2</v>
      </c>
      <c r="N58">
        <v>0</v>
      </c>
      <c r="O58">
        <v>30</v>
      </c>
      <c r="P58">
        <v>32</v>
      </c>
      <c r="Q58">
        <v>19</v>
      </c>
      <c r="R58">
        <v>12</v>
      </c>
      <c r="S58">
        <v>0.89459096414813399</v>
      </c>
      <c r="T58">
        <v>1.06173866744552</v>
      </c>
      <c r="U58">
        <v>0.569777235692844</v>
      </c>
      <c r="V58">
        <v>0.35813523498652899</v>
      </c>
      <c r="W58">
        <v>182.04500972489501</v>
      </c>
      <c r="X58">
        <v>182.59339457823299</v>
      </c>
      <c r="Y58">
        <v>180.97934788613099</v>
      </c>
      <c r="Z58">
        <v>180.284984366754</v>
      </c>
      <c r="AA58">
        <v>1</v>
      </c>
      <c r="AB58">
        <v>0</v>
      </c>
      <c r="AC58">
        <v>0</v>
      </c>
      <c r="AD58">
        <v>0</v>
      </c>
      <c r="AE58">
        <v>30</v>
      </c>
    </row>
    <row r="59" spans="2:31" x14ac:dyDescent="0.3">
      <c r="B59" t="s">
        <v>67</v>
      </c>
      <c r="C59">
        <v>0.33658310120705698</v>
      </c>
      <c r="D59">
        <v>0.24001857010213601</v>
      </c>
      <c r="E59">
        <v>0</v>
      </c>
      <c r="F59">
        <v>0</v>
      </c>
      <c r="G59">
        <v>1</v>
      </c>
      <c r="H59">
        <v>0</v>
      </c>
      <c r="I59">
        <v>0</v>
      </c>
      <c r="J59">
        <v>1</v>
      </c>
      <c r="K59">
        <v>0</v>
      </c>
      <c r="L59">
        <v>0</v>
      </c>
      <c r="M59">
        <v>4.5499999999999999E-2</v>
      </c>
      <c r="N59">
        <v>8.0500000000000002E-2</v>
      </c>
      <c r="O59">
        <v>38</v>
      </c>
      <c r="P59">
        <v>30</v>
      </c>
      <c r="Q59">
        <v>23</v>
      </c>
      <c r="R59">
        <v>19</v>
      </c>
      <c r="S59">
        <v>1.22940946737196</v>
      </c>
      <c r="T59">
        <v>0.89459096414813399</v>
      </c>
      <c r="U59">
        <v>0.61996922475604899</v>
      </c>
      <c r="V59">
        <v>0.569777235692844</v>
      </c>
      <c r="W59">
        <v>183.143495627861</v>
      </c>
      <c r="X59">
        <v>182.04500972489501</v>
      </c>
      <c r="Y59">
        <v>181.14401976625999</v>
      </c>
      <c r="Z59">
        <v>180.97934788613099</v>
      </c>
      <c r="AA59">
        <v>1</v>
      </c>
      <c r="AB59">
        <v>0</v>
      </c>
      <c r="AC59">
        <v>0</v>
      </c>
      <c r="AD59">
        <v>0</v>
      </c>
      <c r="AE59">
        <v>76</v>
      </c>
    </row>
    <row r="60" spans="2:31" x14ac:dyDescent="0.3">
      <c r="B60" t="s">
        <v>68</v>
      </c>
      <c r="C60">
        <v>7.7994428969359306E-2</v>
      </c>
      <c r="D60">
        <v>0.33658310120705698</v>
      </c>
      <c r="E60">
        <v>0</v>
      </c>
      <c r="F60">
        <v>0</v>
      </c>
      <c r="G60">
        <v>1</v>
      </c>
      <c r="H60">
        <v>0</v>
      </c>
      <c r="I60">
        <v>0</v>
      </c>
      <c r="J60">
        <v>1</v>
      </c>
      <c r="K60">
        <v>0</v>
      </c>
      <c r="L60">
        <v>0</v>
      </c>
      <c r="M60">
        <v>9.8000000000000004E-2</v>
      </c>
      <c r="N60">
        <v>4.5499999999999999E-2</v>
      </c>
      <c r="O60">
        <v>42</v>
      </c>
      <c r="P60">
        <v>38</v>
      </c>
      <c r="Q60">
        <v>22</v>
      </c>
      <c r="R60">
        <v>23</v>
      </c>
      <c r="S60">
        <v>1.5091467092427799</v>
      </c>
      <c r="T60">
        <v>1.22940946737196</v>
      </c>
      <c r="U60">
        <v>0.51257459234663305</v>
      </c>
      <c r="V60">
        <v>0.61996922475604899</v>
      </c>
      <c r="W60">
        <v>184.061268731111</v>
      </c>
      <c r="X60">
        <v>183.143495627861</v>
      </c>
      <c r="Y60">
        <v>180.79167517174099</v>
      </c>
      <c r="Z60">
        <v>181.14401976625999</v>
      </c>
      <c r="AA60">
        <v>1</v>
      </c>
      <c r="AB60">
        <v>0</v>
      </c>
      <c r="AC60">
        <v>0</v>
      </c>
      <c r="AD60">
        <v>0</v>
      </c>
      <c r="AE60">
        <v>24</v>
      </c>
    </row>
    <row r="61" spans="2:31" x14ac:dyDescent="0.3">
      <c r="B61" t="s">
        <v>69</v>
      </c>
      <c r="C61">
        <v>3.3426183844011102E-2</v>
      </c>
      <c r="D61">
        <v>7.7994428969359306E-2</v>
      </c>
      <c r="E61">
        <v>0</v>
      </c>
      <c r="F61">
        <v>0</v>
      </c>
      <c r="G61">
        <v>1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9.8000000000000004E-2</v>
      </c>
      <c r="O61">
        <v>36</v>
      </c>
      <c r="P61">
        <v>42</v>
      </c>
      <c r="Q61">
        <v>26</v>
      </c>
      <c r="R61">
        <v>22</v>
      </c>
      <c r="S61">
        <v>1.6926197957990801</v>
      </c>
      <c r="T61">
        <v>1.5091467092427799</v>
      </c>
      <c r="U61">
        <v>1.1341123630931</v>
      </c>
      <c r="V61">
        <v>0.51257459234663305</v>
      </c>
      <c r="W61">
        <v>184.66321455314699</v>
      </c>
      <c r="X61">
        <v>184.061268731111</v>
      </c>
      <c r="Y61">
        <v>182.83084108626301</v>
      </c>
      <c r="Z61">
        <v>180.79167517174099</v>
      </c>
      <c r="AA61">
        <v>1</v>
      </c>
      <c r="AB61">
        <v>0</v>
      </c>
      <c r="AC61">
        <v>0</v>
      </c>
      <c r="AD61">
        <v>0</v>
      </c>
      <c r="AE61">
        <v>20</v>
      </c>
    </row>
    <row r="62" spans="2:31" x14ac:dyDescent="0.3">
      <c r="B62" t="s">
        <v>70</v>
      </c>
      <c r="C62">
        <v>6.9637883008356605E-2</v>
      </c>
      <c r="D62">
        <v>3.3426183844011102E-2</v>
      </c>
      <c r="E62">
        <v>0</v>
      </c>
      <c r="F62">
        <v>0</v>
      </c>
      <c r="G62">
        <v>1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32</v>
      </c>
      <c r="P62">
        <v>36</v>
      </c>
      <c r="Q62">
        <v>19</v>
      </c>
      <c r="R62">
        <v>26</v>
      </c>
      <c r="S62">
        <v>1.1614618249138999</v>
      </c>
      <c r="T62">
        <v>1.6926197957990801</v>
      </c>
      <c r="U62">
        <v>0.78467477577646605</v>
      </c>
      <c r="V62">
        <v>1.1341123630931</v>
      </c>
      <c r="W62">
        <v>182.92057029171201</v>
      </c>
      <c r="X62">
        <v>184.66321455314699</v>
      </c>
      <c r="Y62">
        <v>181.684392308978</v>
      </c>
      <c r="Z62">
        <v>182.83084108626301</v>
      </c>
      <c r="AA62">
        <v>1</v>
      </c>
      <c r="AB62">
        <v>0</v>
      </c>
      <c r="AC62">
        <v>0</v>
      </c>
      <c r="AD62">
        <v>0</v>
      </c>
      <c r="AE62">
        <v>27</v>
      </c>
    </row>
    <row r="63" spans="2:31" x14ac:dyDescent="0.3">
      <c r="B63" t="s">
        <v>71</v>
      </c>
      <c r="C63">
        <v>7.6601671309192196E-2</v>
      </c>
      <c r="D63">
        <v>6.9637883008356605E-2</v>
      </c>
      <c r="E63">
        <v>0</v>
      </c>
      <c r="F63">
        <v>0</v>
      </c>
      <c r="G63">
        <v>1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32</v>
      </c>
      <c r="P63">
        <v>32</v>
      </c>
      <c r="Q63">
        <v>18</v>
      </c>
      <c r="R63">
        <v>19</v>
      </c>
      <c r="S63">
        <v>1.07961241151261</v>
      </c>
      <c r="T63">
        <v>1.1614618249138999</v>
      </c>
      <c r="U63">
        <v>0.42664834281235697</v>
      </c>
      <c r="V63">
        <v>0.78467477577646605</v>
      </c>
      <c r="W63">
        <v>182.65203547084201</v>
      </c>
      <c r="X63">
        <v>182.92057029171201</v>
      </c>
      <c r="Y63">
        <v>180.50976490424</v>
      </c>
      <c r="Z63">
        <v>181.684392308978</v>
      </c>
      <c r="AA63">
        <v>1</v>
      </c>
      <c r="AB63">
        <v>0</v>
      </c>
      <c r="AC63">
        <v>0</v>
      </c>
      <c r="AD63">
        <v>0</v>
      </c>
      <c r="AE63">
        <v>22</v>
      </c>
    </row>
    <row r="64" spans="2:31" x14ac:dyDescent="0.3">
      <c r="B64" t="s">
        <v>72</v>
      </c>
      <c r="C64">
        <v>0.16573816155988899</v>
      </c>
      <c r="D64">
        <v>7.6601671309192196E-2</v>
      </c>
      <c r="E64">
        <v>0</v>
      </c>
      <c r="F64">
        <v>0</v>
      </c>
      <c r="G64">
        <v>1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</v>
      </c>
      <c r="O64">
        <v>35</v>
      </c>
      <c r="P64">
        <v>32</v>
      </c>
      <c r="Q64">
        <v>16</v>
      </c>
      <c r="R64">
        <v>18</v>
      </c>
      <c r="S64">
        <v>1.2361564819402799</v>
      </c>
      <c r="T64">
        <v>1.07961241151261</v>
      </c>
      <c r="U64">
        <v>0.85802910466936699</v>
      </c>
      <c r="V64">
        <v>0.42664834281235697</v>
      </c>
      <c r="W64">
        <v>183.16563150242899</v>
      </c>
      <c r="X64">
        <v>182.65203547084201</v>
      </c>
      <c r="Y64">
        <v>181.925056117682</v>
      </c>
      <c r="Z64">
        <v>180.50976490424</v>
      </c>
      <c r="AA64">
        <v>1</v>
      </c>
      <c r="AB64">
        <v>0</v>
      </c>
      <c r="AC64">
        <v>0</v>
      </c>
      <c r="AD64">
        <v>0</v>
      </c>
      <c r="AE64">
        <v>29</v>
      </c>
    </row>
    <row r="65" spans="2:31" x14ac:dyDescent="0.3">
      <c r="B65" t="s">
        <v>73</v>
      </c>
      <c r="C65">
        <v>0.24001857010213601</v>
      </c>
      <c r="D65">
        <v>0.16573816155988899</v>
      </c>
      <c r="E65">
        <v>0</v>
      </c>
      <c r="F65">
        <v>0</v>
      </c>
      <c r="G65">
        <v>1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33</v>
      </c>
      <c r="P65">
        <v>35</v>
      </c>
      <c r="Q65">
        <v>16</v>
      </c>
      <c r="R65">
        <v>16</v>
      </c>
      <c r="S65">
        <v>1.1883466475600799</v>
      </c>
      <c r="T65">
        <v>1.2361564819402799</v>
      </c>
      <c r="U65">
        <v>0.58203509718144897</v>
      </c>
      <c r="V65">
        <v>0.85802910466936699</v>
      </c>
      <c r="W65">
        <v>183.00877509041999</v>
      </c>
      <c r="X65">
        <v>183.16563150242899</v>
      </c>
      <c r="Y65">
        <v>181.01956396713101</v>
      </c>
      <c r="Z65">
        <v>181.925056117682</v>
      </c>
      <c r="AA65">
        <v>1</v>
      </c>
      <c r="AB65">
        <v>0</v>
      </c>
      <c r="AC65">
        <v>0</v>
      </c>
      <c r="AD65">
        <v>0</v>
      </c>
      <c r="AE65">
        <v>66</v>
      </c>
    </row>
    <row r="66" spans="2:31" x14ac:dyDescent="0.3">
      <c r="B66" t="s">
        <v>74</v>
      </c>
      <c r="C66">
        <v>0.33658310120705698</v>
      </c>
      <c r="D66">
        <v>0.24001857010213601</v>
      </c>
      <c r="E66">
        <v>0</v>
      </c>
      <c r="F66">
        <v>0</v>
      </c>
      <c r="G66">
        <v>0</v>
      </c>
      <c r="H66">
        <v>0</v>
      </c>
      <c r="I66">
        <v>1</v>
      </c>
      <c r="J66">
        <v>1</v>
      </c>
      <c r="K66">
        <v>0</v>
      </c>
      <c r="L66">
        <v>0</v>
      </c>
      <c r="M66">
        <v>1.0500000000000001E-2</v>
      </c>
      <c r="N66">
        <v>0</v>
      </c>
      <c r="O66">
        <v>31</v>
      </c>
      <c r="P66">
        <v>33</v>
      </c>
      <c r="Q66">
        <v>20</v>
      </c>
      <c r="R66">
        <v>16</v>
      </c>
      <c r="S66">
        <v>0.950149823056467</v>
      </c>
      <c r="T66">
        <v>1.1883466475600799</v>
      </c>
      <c r="U66">
        <v>0.205693010200721</v>
      </c>
      <c r="V66">
        <v>0.58203509718144897</v>
      </c>
      <c r="W66">
        <v>182.22728944572299</v>
      </c>
      <c r="X66">
        <v>183.00877509041999</v>
      </c>
      <c r="Y66">
        <v>179.78484583399199</v>
      </c>
      <c r="Z66">
        <v>181.01956396713101</v>
      </c>
      <c r="AA66">
        <v>1</v>
      </c>
      <c r="AB66">
        <v>0</v>
      </c>
      <c r="AC66">
        <v>0</v>
      </c>
      <c r="AD66">
        <v>0</v>
      </c>
      <c r="AE66">
        <v>69</v>
      </c>
    </row>
    <row r="67" spans="2:31" x14ac:dyDescent="0.3">
      <c r="B67" t="s">
        <v>75</v>
      </c>
      <c r="C67">
        <v>7.7994428969359306E-2</v>
      </c>
      <c r="D67">
        <v>0.33658310120705698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1.0500000000000001E-2</v>
      </c>
      <c r="N67">
        <v>1.0500000000000001E-2</v>
      </c>
      <c r="O67">
        <v>31</v>
      </c>
      <c r="P67">
        <v>31</v>
      </c>
      <c r="Q67">
        <v>26</v>
      </c>
      <c r="R67">
        <v>20</v>
      </c>
      <c r="S67">
        <v>1.15011527678229</v>
      </c>
      <c r="T67">
        <v>0.950149823056467</v>
      </c>
      <c r="U67">
        <v>0.16782103665752399</v>
      </c>
      <c r="V67">
        <v>0.205693010200721</v>
      </c>
      <c r="W67">
        <v>182.88334408393101</v>
      </c>
      <c r="X67">
        <v>182.22728944572299</v>
      </c>
      <c r="Y67">
        <v>179.660593952288</v>
      </c>
      <c r="Z67">
        <v>179.78484583399199</v>
      </c>
      <c r="AA67">
        <v>1</v>
      </c>
      <c r="AB67">
        <v>0</v>
      </c>
      <c r="AC67">
        <v>0</v>
      </c>
      <c r="AD67">
        <v>0</v>
      </c>
      <c r="AE67">
        <v>9</v>
      </c>
    </row>
    <row r="68" spans="2:31" x14ac:dyDescent="0.3">
      <c r="B68" t="s">
        <v>76</v>
      </c>
      <c r="C68">
        <v>3.3426183844011102E-2</v>
      </c>
      <c r="D68">
        <v>7.7994428969359306E-2</v>
      </c>
      <c r="E68">
        <v>0</v>
      </c>
      <c r="F68">
        <v>0</v>
      </c>
      <c r="G68">
        <v>1</v>
      </c>
      <c r="H68">
        <v>0</v>
      </c>
      <c r="I68">
        <v>0</v>
      </c>
      <c r="J68">
        <v>1</v>
      </c>
      <c r="K68">
        <v>0</v>
      </c>
      <c r="L68">
        <v>0</v>
      </c>
      <c r="M68">
        <v>9.8000000000000004E-2</v>
      </c>
      <c r="N68">
        <v>1.0500000000000001E-2</v>
      </c>
      <c r="O68">
        <v>39</v>
      </c>
      <c r="P68">
        <v>31</v>
      </c>
      <c r="Q68">
        <v>28</v>
      </c>
      <c r="R68">
        <v>26</v>
      </c>
      <c r="S68">
        <v>1.1584932227135101</v>
      </c>
      <c r="T68">
        <v>1.15011527678229</v>
      </c>
      <c r="U68">
        <v>0.45952575933836398</v>
      </c>
      <c r="V68">
        <v>0.16782103665752399</v>
      </c>
      <c r="W68">
        <v>182.91083078318101</v>
      </c>
      <c r="X68">
        <v>182.88334408393101</v>
      </c>
      <c r="Y68">
        <v>180.617630444024</v>
      </c>
      <c r="Z68">
        <v>179.660593952288</v>
      </c>
      <c r="AA68">
        <v>1</v>
      </c>
      <c r="AB68">
        <v>0</v>
      </c>
      <c r="AC68">
        <v>0</v>
      </c>
      <c r="AD68">
        <v>0</v>
      </c>
      <c r="AE68">
        <v>11</v>
      </c>
    </row>
    <row r="69" spans="2:31" x14ac:dyDescent="0.3">
      <c r="B69" t="s">
        <v>77</v>
      </c>
      <c r="C69">
        <v>6.9637883008356605E-2</v>
      </c>
      <c r="D69">
        <v>3.3426183844011102E-2</v>
      </c>
      <c r="E69">
        <v>0</v>
      </c>
      <c r="F69">
        <v>0</v>
      </c>
      <c r="G69">
        <v>1</v>
      </c>
      <c r="H69">
        <v>0</v>
      </c>
      <c r="I69">
        <v>0</v>
      </c>
      <c r="J69">
        <v>1</v>
      </c>
      <c r="K69">
        <v>0</v>
      </c>
      <c r="L69">
        <v>0</v>
      </c>
      <c r="M69">
        <v>9.8000000000000004E-2</v>
      </c>
      <c r="N69">
        <v>9.8000000000000004E-2</v>
      </c>
      <c r="O69">
        <v>43</v>
      </c>
      <c r="P69">
        <v>39</v>
      </c>
      <c r="Q69">
        <v>23</v>
      </c>
      <c r="R69">
        <v>28</v>
      </c>
      <c r="S69">
        <v>1.2032602694854699</v>
      </c>
      <c r="T69">
        <v>1.1584932227135101</v>
      </c>
      <c r="U69">
        <v>0.56777648311455298</v>
      </c>
      <c r="V69">
        <v>0.45952575933836398</v>
      </c>
      <c r="W69">
        <v>183.05770429621199</v>
      </c>
      <c r="X69">
        <v>182.91083078318101</v>
      </c>
      <c r="Y69">
        <v>180.972783737252</v>
      </c>
      <c r="Z69">
        <v>180.617630444024</v>
      </c>
      <c r="AA69">
        <v>1</v>
      </c>
      <c r="AB69">
        <v>0</v>
      </c>
      <c r="AC69">
        <v>0</v>
      </c>
      <c r="AD69">
        <v>0</v>
      </c>
      <c r="AE69">
        <v>32</v>
      </c>
    </row>
    <row r="70" spans="2:31" s="14" customFormat="1" x14ac:dyDescent="0.3">
      <c r="B70" s="14" t="s">
        <v>79</v>
      </c>
      <c r="C70" s="14">
        <v>0.16573816155988899</v>
      </c>
      <c r="D70" s="14">
        <v>6.9637883008356605E-2</v>
      </c>
      <c r="E70" s="14">
        <v>0</v>
      </c>
      <c r="F70" s="14">
        <v>0</v>
      </c>
      <c r="G70" s="14">
        <v>1</v>
      </c>
      <c r="H70" s="14">
        <v>0</v>
      </c>
      <c r="I70" s="14">
        <v>0</v>
      </c>
      <c r="J70" s="14">
        <v>1</v>
      </c>
      <c r="K70" s="14">
        <v>0</v>
      </c>
      <c r="L70" s="14">
        <v>0</v>
      </c>
      <c r="M70" s="14">
        <v>0.59499999999999997</v>
      </c>
      <c r="N70" s="14">
        <v>9.8000000000000004E-2</v>
      </c>
      <c r="O70" s="14">
        <v>37</v>
      </c>
      <c r="P70" s="14">
        <v>43</v>
      </c>
      <c r="Q70" s="14">
        <v>19</v>
      </c>
      <c r="R70" s="14">
        <v>23</v>
      </c>
      <c r="S70" s="14">
        <v>1.31088134846274</v>
      </c>
      <c r="T70" s="14">
        <v>1.2032602694854699</v>
      </c>
      <c r="U70" s="14">
        <v>0.44471074959835399</v>
      </c>
      <c r="V70" s="14">
        <v>0.56777648311455298</v>
      </c>
      <c r="W70" s="14">
        <v>183.410791825665</v>
      </c>
      <c r="X70" s="14">
        <v>183.05770429621199</v>
      </c>
      <c r="Y70" s="14">
        <v>180.569024769023</v>
      </c>
      <c r="Z70" s="14">
        <v>180.972783737252</v>
      </c>
      <c r="AA70" s="14">
        <v>1</v>
      </c>
      <c r="AB70" s="14">
        <v>0</v>
      </c>
      <c r="AC70" s="14">
        <v>0</v>
      </c>
      <c r="AD70" s="14">
        <v>0</v>
      </c>
      <c r="AE70" s="14">
        <v>36</v>
      </c>
    </row>
    <row r="71" spans="2:31" x14ac:dyDescent="0.3">
      <c r="B71" t="s">
        <v>80</v>
      </c>
      <c r="C71">
        <v>0.24001857010213601</v>
      </c>
      <c r="D71">
        <v>0.16573816155988899</v>
      </c>
      <c r="E71">
        <v>0</v>
      </c>
      <c r="F71">
        <v>0</v>
      </c>
      <c r="G71">
        <v>1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0.59499999999999997</v>
      </c>
      <c r="O71">
        <v>38</v>
      </c>
      <c r="P71">
        <v>37</v>
      </c>
      <c r="Q71">
        <v>17</v>
      </c>
      <c r="R71">
        <v>19</v>
      </c>
      <c r="S71">
        <v>1.2566452644374</v>
      </c>
      <c r="T71">
        <v>1.31088134846274</v>
      </c>
      <c r="U71">
        <v>0.50380405916917004</v>
      </c>
      <c r="V71">
        <v>0.44471074959835399</v>
      </c>
      <c r="W71">
        <v>183.232851917446</v>
      </c>
      <c r="X71">
        <v>183.410791825665</v>
      </c>
      <c r="Y71">
        <v>180.76290045659201</v>
      </c>
      <c r="Z71">
        <v>180.569024769023</v>
      </c>
      <c r="AA71">
        <v>1</v>
      </c>
      <c r="AB71">
        <v>0</v>
      </c>
      <c r="AC71">
        <v>0</v>
      </c>
      <c r="AD71">
        <v>0</v>
      </c>
      <c r="AE71">
        <v>49</v>
      </c>
    </row>
    <row r="72" spans="2:31" x14ac:dyDescent="0.3">
      <c r="B72" t="s">
        <v>81</v>
      </c>
      <c r="C72">
        <v>0.33658310120705698</v>
      </c>
      <c r="D72">
        <v>0.24001857010213601</v>
      </c>
      <c r="E72">
        <v>0</v>
      </c>
      <c r="F72">
        <v>0</v>
      </c>
      <c r="G72">
        <v>1</v>
      </c>
      <c r="H72">
        <v>0</v>
      </c>
      <c r="I72">
        <v>0</v>
      </c>
      <c r="J72">
        <v>1</v>
      </c>
      <c r="K72">
        <v>0</v>
      </c>
      <c r="L72">
        <v>0</v>
      </c>
      <c r="M72">
        <v>1.0500000000000001E-2</v>
      </c>
      <c r="N72">
        <v>0</v>
      </c>
      <c r="O72">
        <v>37</v>
      </c>
      <c r="P72">
        <v>38</v>
      </c>
      <c r="Q72">
        <v>14</v>
      </c>
      <c r="R72">
        <v>17</v>
      </c>
      <c r="S72">
        <v>1.0784028073298899</v>
      </c>
      <c r="T72">
        <v>1.2566452644374</v>
      </c>
      <c r="U72">
        <v>0.50399684368987696</v>
      </c>
      <c r="V72">
        <v>0.50380405916917004</v>
      </c>
      <c r="W72">
        <v>182.648066953182</v>
      </c>
      <c r="X72">
        <v>183.232851917446</v>
      </c>
      <c r="Y72">
        <v>180.763532951738</v>
      </c>
      <c r="Z72">
        <v>180.76290045659201</v>
      </c>
      <c r="AA72">
        <v>1</v>
      </c>
      <c r="AB72">
        <v>0</v>
      </c>
      <c r="AC72">
        <v>0</v>
      </c>
      <c r="AD72">
        <v>0</v>
      </c>
      <c r="AE72">
        <v>94</v>
      </c>
    </row>
    <row r="73" spans="2:31" x14ac:dyDescent="0.3">
      <c r="B73" t="s">
        <v>82</v>
      </c>
      <c r="C73">
        <v>7.7994428969359306E-2</v>
      </c>
      <c r="D73">
        <v>0.33658310120705698</v>
      </c>
      <c r="E73">
        <v>0</v>
      </c>
      <c r="F73">
        <v>0</v>
      </c>
      <c r="G73">
        <v>1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1.0500000000000001E-2</v>
      </c>
      <c r="O73">
        <v>36</v>
      </c>
      <c r="P73">
        <v>37</v>
      </c>
      <c r="Q73">
        <v>25</v>
      </c>
      <c r="R73">
        <v>14</v>
      </c>
      <c r="S73">
        <v>1.22505944147361</v>
      </c>
      <c r="T73">
        <v>1.0784028073298899</v>
      </c>
      <c r="U73">
        <v>0.48494930261406699</v>
      </c>
      <c r="V73">
        <v>0.50399684368987696</v>
      </c>
      <c r="W73">
        <v>183.12922388934899</v>
      </c>
      <c r="X73">
        <v>182.648066953182</v>
      </c>
      <c r="Y73">
        <v>180.70104101907501</v>
      </c>
      <c r="Z73">
        <v>180.763532951738</v>
      </c>
      <c r="AA73">
        <v>1</v>
      </c>
      <c r="AB73">
        <v>0</v>
      </c>
      <c r="AC73">
        <v>0</v>
      </c>
      <c r="AD73">
        <v>0</v>
      </c>
      <c r="AE73">
        <v>15</v>
      </c>
    </row>
    <row r="74" spans="2:31" x14ac:dyDescent="0.3">
      <c r="B74" t="s">
        <v>83</v>
      </c>
      <c r="C74">
        <v>3.3426183844011102E-2</v>
      </c>
      <c r="D74">
        <v>7.7994428969359306E-2</v>
      </c>
      <c r="E74">
        <v>0</v>
      </c>
      <c r="F74">
        <v>0</v>
      </c>
      <c r="G74">
        <v>1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0</v>
      </c>
      <c r="O74">
        <v>33</v>
      </c>
      <c r="P74">
        <v>36</v>
      </c>
      <c r="Q74">
        <v>31</v>
      </c>
      <c r="R74">
        <v>25</v>
      </c>
      <c r="S74">
        <v>0.68029944636780904</v>
      </c>
      <c r="T74">
        <v>1.22505944147361</v>
      </c>
      <c r="U74">
        <v>0.63091678314781596</v>
      </c>
      <c r="V74">
        <v>0.48494930261406699</v>
      </c>
      <c r="W74">
        <v>181.341953564199</v>
      </c>
      <c r="X74">
        <v>183.12922388934899</v>
      </c>
      <c r="Y74">
        <v>181.179936952585</v>
      </c>
      <c r="Z74">
        <v>180.70104101907501</v>
      </c>
      <c r="AA74">
        <v>1</v>
      </c>
      <c r="AB74">
        <v>0</v>
      </c>
      <c r="AC74">
        <v>0</v>
      </c>
      <c r="AD74">
        <v>0</v>
      </c>
      <c r="AE74">
        <v>3</v>
      </c>
    </row>
    <row r="75" spans="2:31" x14ac:dyDescent="0.3">
      <c r="B75" t="s">
        <v>0</v>
      </c>
      <c r="C75">
        <v>6.9637883008356605E-2</v>
      </c>
      <c r="D75">
        <v>3.3426183844011102E-2</v>
      </c>
      <c r="E75">
        <v>0</v>
      </c>
      <c r="F75">
        <v>0</v>
      </c>
      <c r="G75">
        <v>1</v>
      </c>
      <c r="H75">
        <v>0</v>
      </c>
      <c r="I75">
        <v>0</v>
      </c>
      <c r="J75">
        <v>1</v>
      </c>
      <c r="K75">
        <v>0</v>
      </c>
      <c r="L75">
        <v>0</v>
      </c>
      <c r="M75">
        <v>0.80149999999999999</v>
      </c>
      <c r="N75">
        <v>0</v>
      </c>
      <c r="O75">
        <v>34</v>
      </c>
      <c r="P75">
        <v>33</v>
      </c>
      <c r="Q75">
        <v>27</v>
      </c>
      <c r="R75">
        <v>31</v>
      </c>
      <c r="S75">
        <v>1.0534105923769499</v>
      </c>
      <c r="T75">
        <v>0.68029944636780904</v>
      </c>
      <c r="U75">
        <v>0.194150866314974</v>
      </c>
      <c r="V75">
        <v>0.63091678314781596</v>
      </c>
      <c r="W75">
        <v>182.56607149729999</v>
      </c>
      <c r="X75">
        <v>181.341953564199</v>
      </c>
      <c r="Y75">
        <v>179.746977907858</v>
      </c>
      <c r="Z75">
        <v>181.179936952585</v>
      </c>
      <c r="AA75">
        <v>1</v>
      </c>
      <c r="AB75">
        <v>0</v>
      </c>
      <c r="AC75">
        <v>0</v>
      </c>
      <c r="AD75">
        <v>0</v>
      </c>
      <c r="AE75">
        <v>13</v>
      </c>
    </row>
    <row r="76" spans="2:31" x14ac:dyDescent="0.3">
      <c r="B76" t="s">
        <v>84</v>
      </c>
      <c r="C76">
        <v>7.6601671309192196E-2</v>
      </c>
      <c r="D76">
        <v>6.9637883008356605E-2</v>
      </c>
      <c r="E76">
        <v>0</v>
      </c>
      <c r="F76">
        <v>0</v>
      </c>
      <c r="G76">
        <v>1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0.80149999999999999</v>
      </c>
      <c r="O76">
        <v>32</v>
      </c>
      <c r="P76">
        <v>34</v>
      </c>
      <c r="Q76">
        <v>17</v>
      </c>
      <c r="R76">
        <v>27</v>
      </c>
      <c r="S76">
        <v>1.2049810345834999</v>
      </c>
      <c r="T76">
        <v>1.0534105923769499</v>
      </c>
      <c r="U76">
        <v>0.25229758133747199</v>
      </c>
      <c r="V76">
        <v>0.194150866314974</v>
      </c>
      <c r="W76">
        <v>183.06334985099599</v>
      </c>
      <c r="X76">
        <v>182.56607149729999</v>
      </c>
      <c r="Y76">
        <v>179.937747970267</v>
      </c>
      <c r="Z76">
        <v>179.746977907858</v>
      </c>
      <c r="AA76">
        <v>1</v>
      </c>
      <c r="AB76">
        <v>0</v>
      </c>
      <c r="AC76">
        <v>0</v>
      </c>
      <c r="AD76">
        <v>0</v>
      </c>
      <c r="AE76">
        <v>16</v>
      </c>
    </row>
    <row r="77" spans="2:31" x14ac:dyDescent="0.3">
      <c r="B77" t="s">
        <v>85</v>
      </c>
      <c r="C77">
        <v>0.16573816155988899</v>
      </c>
      <c r="D77">
        <v>7.6601671309192196E-2</v>
      </c>
      <c r="E77">
        <v>0</v>
      </c>
      <c r="F77">
        <v>0</v>
      </c>
      <c r="G77">
        <v>1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</v>
      </c>
      <c r="O77">
        <v>38</v>
      </c>
      <c r="P77">
        <v>32</v>
      </c>
      <c r="Q77">
        <v>13</v>
      </c>
      <c r="R77">
        <v>17</v>
      </c>
      <c r="S77">
        <v>1.4970894600139699</v>
      </c>
      <c r="T77">
        <v>1.2049810345834999</v>
      </c>
      <c r="U77">
        <v>0.59491034447152202</v>
      </c>
      <c r="V77">
        <v>0.25229758133747199</v>
      </c>
      <c r="W77">
        <v>184.02171082681801</v>
      </c>
      <c r="X77">
        <v>183.06334985099599</v>
      </c>
      <c r="Y77">
        <v>181.06180559209801</v>
      </c>
      <c r="Z77">
        <v>179.937747970267</v>
      </c>
      <c r="AA77">
        <v>1</v>
      </c>
      <c r="AB77">
        <v>0</v>
      </c>
      <c r="AC77">
        <v>0</v>
      </c>
      <c r="AD77">
        <v>0</v>
      </c>
      <c r="AE77">
        <v>34</v>
      </c>
    </row>
    <row r="78" spans="2:31" x14ac:dyDescent="0.3">
      <c r="B78" t="s">
        <v>86</v>
      </c>
      <c r="C78">
        <v>0.24001857010213601</v>
      </c>
      <c r="D78">
        <v>0.16573816155988899</v>
      </c>
      <c r="E78">
        <v>0</v>
      </c>
      <c r="F78">
        <v>0</v>
      </c>
      <c r="G78">
        <v>1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40</v>
      </c>
      <c r="P78">
        <v>38</v>
      </c>
      <c r="Q78">
        <v>14</v>
      </c>
      <c r="R78">
        <v>13</v>
      </c>
      <c r="S78">
        <v>0.75195174553062105</v>
      </c>
      <c r="T78">
        <v>1.4970894600139699</v>
      </c>
      <c r="U78">
        <v>0.53941180985958004</v>
      </c>
      <c r="V78">
        <v>0.59491034447152202</v>
      </c>
      <c r="W78">
        <v>181.577033285862</v>
      </c>
      <c r="X78">
        <v>184.02171082681801</v>
      </c>
      <c r="Y78">
        <v>180.87972378562901</v>
      </c>
      <c r="Z78">
        <v>181.06180559209801</v>
      </c>
      <c r="AA78">
        <v>1</v>
      </c>
      <c r="AB78">
        <v>0</v>
      </c>
      <c r="AC78">
        <v>0</v>
      </c>
      <c r="AD78">
        <v>0</v>
      </c>
      <c r="AE78">
        <v>25</v>
      </c>
    </row>
    <row r="79" spans="2:31" x14ac:dyDescent="0.3">
      <c r="B79" t="s">
        <v>87</v>
      </c>
      <c r="C79">
        <v>0.33658310120705698</v>
      </c>
      <c r="D79">
        <v>0.24001857010213601</v>
      </c>
      <c r="E79">
        <v>0</v>
      </c>
      <c r="F79">
        <v>0</v>
      </c>
      <c r="G79">
        <v>1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0</v>
      </c>
      <c r="O79">
        <v>39</v>
      </c>
      <c r="P79">
        <v>40</v>
      </c>
      <c r="Q79">
        <v>15</v>
      </c>
      <c r="R79">
        <v>14</v>
      </c>
      <c r="S79">
        <v>0.88234303486902099</v>
      </c>
      <c r="T79">
        <v>0.75195174553062105</v>
      </c>
      <c r="U79">
        <v>0.18668944776740301</v>
      </c>
      <c r="V79">
        <v>0.53941180985958004</v>
      </c>
      <c r="W79">
        <v>182.004826229885</v>
      </c>
      <c r="X79">
        <v>181.577033285862</v>
      </c>
      <c r="Y79">
        <v>179.722498188213</v>
      </c>
      <c r="Z79">
        <v>180.87972378562901</v>
      </c>
      <c r="AA79">
        <v>1</v>
      </c>
      <c r="AB79">
        <v>0</v>
      </c>
      <c r="AC79">
        <v>0</v>
      </c>
      <c r="AD79">
        <v>0</v>
      </c>
      <c r="AE79">
        <v>63</v>
      </c>
    </row>
    <row r="80" spans="2:31" x14ac:dyDescent="0.3">
      <c r="B80" t="s">
        <v>88</v>
      </c>
      <c r="C80">
        <v>7.7994428969359306E-2</v>
      </c>
      <c r="D80">
        <v>0.33658310120705698</v>
      </c>
      <c r="E80">
        <v>0</v>
      </c>
      <c r="F80">
        <v>0</v>
      </c>
      <c r="G80">
        <v>1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33</v>
      </c>
      <c r="P80">
        <v>39</v>
      </c>
      <c r="Q80">
        <v>15</v>
      </c>
      <c r="R80">
        <v>15</v>
      </c>
      <c r="S80">
        <v>1.2644336645562599</v>
      </c>
      <c r="T80">
        <v>0.88234303486902099</v>
      </c>
      <c r="U80">
        <v>0.46207201558118</v>
      </c>
      <c r="V80">
        <v>0.18668944776740301</v>
      </c>
      <c r="W80">
        <v>183.258404411274</v>
      </c>
      <c r="X80">
        <v>182.004826229885</v>
      </c>
      <c r="Y80">
        <v>180.62598430308799</v>
      </c>
      <c r="Z80">
        <v>179.722498188213</v>
      </c>
      <c r="AA80">
        <v>1</v>
      </c>
      <c r="AB80">
        <v>0</v>
      </c>
      <c r="AC80">
        <v>0</v>
      </c>
      <c r="AD80">
        <v>0</v>
      </c>
      <c r="AE80">
        <v>17</v>
      </c>
    </row>
    <row r="81" spans="2:31" x14ac:dyDescent="0.3">
      <c r="B81" t="s">
        <v>125</v>
      </c>
      <c r="C81">
        <v>3.3426183844011102E-2</v>
      </c>
      <c r="D81">
        <v>7.7994428969359306E-2</v>
      </c>
      <c r="E81">
        <v>0</v>
      </c>
      <c r="F81">
        <v>0</v>
      </c>
      <c r="G81">
        <v>0</v>
      </c>
      <c r="H81">
        <v>1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21</v>
      </c>
      <c r="P81">
        <v>33</v>
      </c>
      <c r="Q81">
        <v>21</v>
      </c>
      <c r="R81">
        <v>15</v>
      </c>
      <c r="S81">
        <v>0.80846811081342296</v>
      </c>
      <c r="T81">
        <v>1.2644336645562599</v>
      </c>
      <c r="U81">
        <v>0.80846811081342296</v>
      </c>
      <c r="V81">
        <v>0.46207201558118</v>
      </c>
      <c r="W81">
        <v>181.76245443180301</v>
      </c>
      <c r="X81">
        <v>183.258404411274</v>
      </c>
      <c r="Y81">
        <v>181.76245443180301</v>
      </c>
      <c r="Z81">
        <v>180.62598430308799</v>
      </c>
      <c r="AA81">
        <v>1</v>
      </c>
      <c r="AB81">
        <v>0</v>
      </c>
      <c r="AC81">
        <v>0</v>
      </c>
      <c r="AD81">
        <v>0</v>
      </c>
      <c r="AE81">
        <v>1</v>
      </c>
    </row>
    <row r="82" spans="2:31" x14ac:dyDescent="0.3">
      <c r="B82" t="s">
        <v>89</v>
      </c>
      <c r="C82">
        <v>6.9637883008356605E-2</v>
      </c>
      <c r="D82">
        <v>3.3426183844011102E-2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1</v>
      </c>
      <c r="L82">
        <v>0</v>
      </c>
      <c r="M82">
        <v>0.92</v>
      </c>
      <c r="N82">
        <v>0</v>
      </c>
      <c r="O82">
        <v>20</v>
      </c>
      <c r="P82">
        <v>21</v>
      </c>
      <c r="Q82">
        <v>20</v>
      </c>
      <c r="R82">
        <v>21</v>
      </c>
      <c r="S82">
        <v>0.68723374242888302</v>
      </c>
      <c r="T82">
        <v>0.80846811081342296</v>
      </c>
      <c r="U82">
        <v>0.68723374242888302</v>
      </c>
      <c r="V82">
        <v>0.80846811081342296</v>
      </c>
      <c r="W82">
        <v>181.36470387936001</v>
      </c>
      <c r="X82">
        <v>181.76245443180301</v>
      </c>
      <c r="Y82">
        <v>181.36470387936001</v>
      </c>
      <c r="Z82">
        <v>181.76245443180301</v>
      </c>
      <c r="AA82">
        <v>1</v>
      </c>
      <c r="AB82">
        <v>0</v>
      </c>
      <c r="AC82">
        <v>0</v>
      </c>
      <c r="AD82">
        <v>0</v>
      </c>
      <c r="AE82">
        <v>1</v>
      </c>
    </row>
    <row r="83" spans="2:31" x14ac:dyDescent="0.3">
      <c r="B83" t="s">
        <v>90</v>
      </c>
      <c r="C83">
        <v>7.6601671309192196E-2</v>
      </c>
      <c r="D83">
        <v>6.9637883008356605E-2</v>
      </c>
      <c r="E83">
        <v>0</v>
      </c>
      <c r="F83">
        <v>0</v>
      </c>
      <c r="G83">
        <v>0</v>
      </c>
      <c r="H83">
        <v>1</v>
      </c>
      <c r="I83">
        <v>0</v>
      </c>
      <c r="J83">
        <v>1</v>
      </c>
      <c r="K83">
        <v>0</v>
      </c>
      <c r="L83">
        <v>0</v>
      </c>
      <c r="M83">
        <v>0</v>
      </c>
      <c r="N83">
        <v>0.92</v>
      </c>
      <c r="O83">
        <v>36</v>
      </c>
      <c r="P83">
        <v>20</v>
      </c>
      <c r="Q83">
        <v>31</v>
      </c>
      <c r="R83">
        <v>20</v>
      </c>
      <c r="S83">
        <v>1.12758440675984</v>
      </c>
      <c r="T83">
        <v>0.68723374242888302</v>
      </c>
      <c r="U83">
        <v>0.56785699155879199</v>
      </c>
      <c r="V83">
        <v>0.68723374242888302</v>
      </c>
      <c r="W83">
        <v>182.80942390669199</v>
      </c>
      <c r="X83">
        <v>181.36470387936001</v>
      </c>
      <c r="Y83">
        <v>180.973047872568</v>
      </c>
      <c r="Z83">
        <v>181.36470387936001</v>
      </c>
      <c r="AA83">
        <v>1</v>
      </c>
      <c r="AB83">
        <v>0</v>
      </c>
      <c r="AC83">
        <v>0</v>
      </c>
      <c r="AD83">
        <v>0</v>
      </c>
      <c r="AE83">
        <v>13</v>
      </c>
    </row>
    <row r="84" spans="2:31" x14ac:dyDescent="0.3">
      <c r="B84" t="s">
        <v>91</v>
      </c>
      <c r="C84">
        <v>0.16573816155988899</v>
      </c>
      <c r="D84">
        <v>7.6601671309192196E-2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36</v>
      </c>
      <c r="P84">
        <v>36</v>
      </c>
      <c r="Q84">
        <v>14</v>
      </c>
      <c r="R84">
        <v>31</v>
      </c>
      <c r="S84">
        <v>1.10697647236103</v>
      </c>
      <c r="T84">
        <v>1.12758440675984</v>
      </c>
      <c r="U84">
        <v>0.22340126868353499</v>
      </c>
      <c r="V84">
        <v>0.56785699155879199</v>
      </c>
      <c r="W84">
        <v>182.74181257336301</v>
      </c>
      <c r="X84">
        <v>182.80942390669199</v>
      </c>
      <c r="Y84">
        <v>179.84294379489401</v>
      </c>
      <c r="Z84">
        <v>180.973047872568</v>
      </c>
      <c r="AA84">
        <v>1</v>
      </c>
      <c r="AB84">
        <v>0</v>
      </c>
      <c r="AC84">
        <v>0</v>
      </c>
      <c r="AD84">
        <v>0</v>
      </c>
      <c r="AE84">
        <v>10</v>
      </c>
    </row>
    <row r="85" spans="2:31" x14ac:dyDescent="0.3">
      <c r="B85" t="s">
        <v>92</v>
      </c>
      <c r="C85">
        <v>0.24001857010213601</v>
      </c>
      <c r="D85">
        <v>0.16573816155988899</v>
      </c>
      <c r="E85">
        <v>0</v>
      </c>
      <c r="F85">
        <v>0</v>
      </c>
      <c r="G85">
        <v>1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</v>
      </c>
      <c r="O85">
        <v>37</v>
      </c>
      <c r="P85">
        <v>36</v>
      </c>
      <c r="Q85">
        <v>19</v>
      </c>
      <c r="R85">
        <v>14</v>
      </c>
      <c r="S85">
        <v>1.1470512507720401</v>
      </c>
      <c r="T85">
        <v>1.10697647236103</v>
      </c>
      <c r="U85">
        <v>0.40351440271744998</v>
      </c>
      <c r="V85">
        <v>0.22340126868353499</v>
      </c>
      <c r="W85">
        <v>182.87329150515799</v>
      </c>
      <c r="X85">
        <v>182.74181257336301</v>
      </c>
      <c r="Y85">
        <v>180.43386615064799</v>
      </c>
      <c r="Z85">
        <v>179.84294379489401</v>
      </c>
      <c r="AA85">
        <v>1</v>
      </c>
      <c r="AB85">
        <v>0</v>
      </c>
      <c r="AC85">
        <v>0</v>
      </c>
      <c r="AD85">
        <v>0</v>
      </c>
      <c r="AE85">
        <v>40</v>
      </c>
    </row>
    <row r="86" spans="2:31" x14ac:dyDescent="0.3">
      <c r="B86" t="s">
        <v>93</v>
      </c>
      <c r="C86">
        <v>0.33658310120705698</v>
      </c>
      <c r="D86">
        <v>0.24001857010213601</v>
      </c>
      <c r="E86">
        <v>0</v>
      </c>
      <c r="F86">
        <v>0</v>
      </c>
      <c r="G86">
        <v>1</v>
      </c>
      <c r="H86">
        <v>0</v>
      </c>
      <c r="I86">
        <v>0</v>
      </c>
      <c r="J86">
        <v>1</v>
      </c>
      <c r="K86">
        <v>0</v>
      </c>
      <c r="L86">
        <v>0</v>
      </c>
      <c r="M86">
        <v>0.48</v>
      </c>
      <c r="N86">
        <v>0</v>
      </c>
      <c r="O86">
        <v>40</v>
      </c>
      <c r="P86">
        <v>37</v>
      </c>
      <c r="Q86">
        <v>20</v>
      </c>
      <c r="R86">
        <v>19</v>
      </c>
      <c r="S86">
        <v>1.1192929825406199</v>
      </c>
      <c r="T86">
        <v>1.1470512507720401</v>
      </c>
      <c r="U86">
        <v>0.250825946625852</v>
      </c>
      <c r="V86">
        <v>0.40351440271744998</v>
      </c>
      <c r="W86">
        <v>182.782221071328</v>
      </c>
      <c r="X86">
        <v>182.87329150515799</v>
      </c>
      <c r="Y86">
        <v>179.932919772395</v>
      </c>
      <c r="Z86">
        <v>180.43386615064799</v>
      </c>
      <c r="AA86">
        <v>1</v>
      </c>
      <c r="AB86">
        <v>0</v>
      </c>
      <c r="AC86">
        <v>0</v>
      </c>
      <c r="AD86">
        <v>0</v>
      </c>
      <c r="AE86">
        <v>67</v>
      </c>
    </row>
    <row r="87" spans="2:31" x14ac:dyDescent="0.3">
      <c r="B87" t="s">
        <v>94</v>
      </c>
      <c r="C87">
        <v>7.7994428969359306E-2</v>
      </c>
      <c r="D87">
        <v>0.33658310120705698</v>
      </c>
      <c r="E87">
        <v>0</v>
      </c>
      <c r="F87">
        <v>0</v>
      </c>
      <c r="G87">
        <v>1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0.48</v>
      </c>
      <c r="O87">
        <v>42</v>
      </c>
      <c r="P87">
        <v>40</v>
      </c>
      <c r="Q87">
        <v>33</v>
      </c>
      <c r="R87">
        <v>20</v>
      </c>
      <c r="S87">
        <v>1.18171223264558</v>
      </c>
      <c r="T87">
        <v>1.1192929825406199</v>
      </c>
      <c r="U87">
        <v>0.37384817155676803</v>
      </c>
      <c r="V87">
        <v>0.250825946625852</v>
      </c>
      <c r="W87">
        <v>182.98700863728899</v>
      </c>
      <c r="X87">
        <v>182.782221071328</v>
      </c>
      <c r="Y87">
        <v>180.336535995921</v>
      </c>
      <c r="Z87">
        <v>179.932919772395</v>
      </c>
      <c r="AA87">
        <v>1</v>
      </c>
      <c r="AB87">
        <v>0</v>
      </c>
      <c r="AC87">
        <v>0</v>
      </c>
      <c r="AD87">
        <v>0</v>
      </c>
      <c r="AE87">
        <v>10</v>
      </c>
    </row>
    <row r="88" spans="2:31" x14ac:dyDescent="0.3">
      <c r="B88" t="s">
        <v>95</v>
      </c>
      <c r="C88">
        <v>3.3426183844011102E-2</v>
      </c>
      <c r="D88">
        <v>7.7994428969359306E-2</v>
      </c>
      <c r="E88">
        <v>0</v>
      </c>
      <c r="F88">
        <v>0</v>
      </c>
      <c r="G88">
        <v>1</v>
      </c>
      <c r="H88">
        <v>0</v>
      </c>
      <c r="I88">
        <v>0</v>
      </c>
      <c r="J88">
        <v>1</v>
      </c>
      <c r="K88">
        <v>0</v>
      </c>
      <c r="L88">
        <v>0</v>
      </c>
      <c r="M88">
        <v>0.17</v>
      </c>
      <c r="N88">
        <v>0</v>
      </c>
      <c r="O88">
        <v>28</v>
      </c>
      <c r="P88">
        <v>42</v>
      </c>
      <c r="Q88">
        <v>28</v>
      </c>
      <c r="R88">
        <v>33</v>
      </c>
      <c r="S88">
        <v>0.39163094191130099</v>
      </c>
      <c r="T88">
        <v>1.18171223264558</v>
      </c>
      <c r="U88">
        <v>0.39163094191130099</v>
      </c>
      <c r="V88">
        <v>0.37384817155676803</v>
      </c>
      <c r="W88">
        <v>180.39487841834401</v>
      </c>
      <c r="X88">
        <v>182.98700863728899</v>
      </c>
      <c r="Y88">
        <v>180.39487841834401</v>
      </c>
      <c r="Z88">
        <v>180.336535995921</v>
      </c>
      <c r="AA88">
        <v>1</v>
      </c>
      <c r="AB88">
        <v>0</v>
      </c>
      <c r="AC88">
        <v>0</v>
      </c>
      <c r="AD88">
        <v>0</v>
      </c>
      <c r="AE88">
        <v>1</v>
      </c>
    </row>
    <row r="89" spans="2:31" x14ac:dyDescent="0.3">
      <c r="B89" t="s">
        <v>96</v>
      </c>
      <c r="C89">
        <v>6.9637883008356605E-2</v>
      </c>
      <c r="D89">
        <v>3.3426183844011102E-2</v>
      </c>
      <c r="E89">
        <v>0</v>
      </c>
      <c r="F89">
        <v>0</v>
      </c>
      <c r="G89">
        <v>1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0.17</v>
      </c>
      <c r="O89">
        <v>28</v>
      </c>
      <c r="P89">
        <v>28</v>
      </c>
      <c r="Q89">
        <v>23</v>
      </c>
      <c r="R89">
        <v>28</v>
      </c>
      <c r="S89">
        <v>0.55330096755088898</v>
      </c>
      <c r="T89">
        <v>0.39163094191130099</v>
      </c>
      <c r="U89">
        <v>0.260034251418442</v>
      </c>
      <c r="V89">
        <v>0.39163094191130099</v>
      </c>
      <c r="W89">
        <v>180.92529188828999</v>
      </c>
      <c r="X89">
        <v>180.39487841834401</v>
      </c>
      <c r="Y89">
        <v>179.96313074612399</v>
      </c>
      <c r="Z89">
        <v>180.39487841834401</v>
      </c>
      <c r="AA89">
        <v>1</v>
      </c>
      <c r="AB89">
        <v>0</v>
      </c>
      <c r="AC89">
        <v>0</v>
      </c>
      <c r="AD89">
        <v>0</v>
      </c>
      <c r="AE89">
        <v>4</v>
      </c>
    </row>
    <row r="90" spans="2:31" x14ac:dyDescent="0.3">
      <c r="B90" t="s">
        <v>97</v>
      </c>
      <c r="C90">
        <v>7.6601671309192196E-2</v>
      </c>
      <c r="D90">
        <v>6.9637883008356605E-2</v>
      </c>
      <c r="E90">
        <v>0</v>
      </c>
      <c r="F90">
        <v>0</v>
      </c>
      <c r="G90">
        <v>1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32</v>
      </c>
      <c r="P90">
        <v>28</v>
      </c>
      <c r="Q90">
        <v>32</v>
      </c>
      <c r="R90">
        <v>23</v>
      </c>
      <c r="S90">
        <v>0.83403977160716503</v>
      </c>
      <c r="T90">
        <v>0.55330096755088898</v>
      </c>
      <c r="U90">
        <v>0.83403977160716503</v>
      </c>
      <c r="V90">
        <v>0.260034251418442</v>
      </c>
      <c r="W90">
        <v>181.84635095671601</v>
      </c>
      <c r="X90">
        <v>180.92529188828999</v>
      </c>
      <c r="Y90">
        <v>181.84635095671601</v>
      </c>
      <c r="Z90">
        <v>179.96313074612399</v>
      </c>
      <c r="AA90">
        <v>1</v>
      </c>
      <c r="AB90">
        <v>0</v>
      </c>
      <c r="AC90">
        <v>0</v>
      </c>
      <c r="AD90">
        <v>0</v>
      </c>
      <c r="AE90">
        <v>1</v>
      </c>
    </row>
    <row r="91" spans="2:31" s="14" customFormat="1" x14ac:dyDescent="0.3">
      <c r="B91" s="14" t="s">
        <v>99</v>
      </c>
      <c r="C91" s="14">
        <v>0.24001857010213601</v>
      </c>
      <c r="D91" s="14">
        <v>7.6601671309192196E-2</v>
      </c>
      <c r="E91" s="14">
        <v>0</v>
      </c>
      <c r="F91" s="14">
        <v>0</v>
      </c>
      <c r="G91" s="14">
        <v>1</v>
      </c>
      <c r="H91" s="14">
        <v>0</v>
      </c>
      <c r="I91" s="14">
        <v>0</v>
      </c>
      <c r="J91" s="14">
        <v>1</v>
      </c>
      <c r="K91" s="14">
        <v>0</v>
      </c>
      <c r="L91" s="14">
        <v>0</v>
      </c>
      <c r="M91" s="14">
        <v>0.65</v>
      </c>
      <c r="N91" s="14">
        <v>0</v>
      </c>
      <c r="O91" s="14">
        <v>42</v>
      </c>
      <c r="P91" s="14">
        <v>32</v>
      </c>
      <c r="Q91" s="14">
        <v>17</v>
      </c>
      <c r="R91" s="14">
        <v>32</v>
      </c>
      <c r="S91" s="14">
        <v>0.63839172616115003</v>
      </c>
      <c r="T91" s="14">
        <v>0.83403977160716503</v>
      </c>
      <c r="U91" s="14">
        <v>0.190829919004078</v>
      </c>
      <c r="V91" s="14">
        <v>0.83403977160716503</v>
      </c>
      <c r="W91" s="14">
        <v>181.20446104383601</v>
      </c>
      <c r="X91" s="14">
        <v>181.84635095671601</v>
      </c>
      <c r="Y91" s="14">
        <v>179.736082411431</v>
      </c>
      <c r="Z91" s="14">
        <v>181.84635095671601</v>
      </c>
      <c r="AA91" s="14">
        <v>1</v>
      </c>
      <c r="AB91" s="14">
        <v>0</v>
      </c>
      <c r="AC91" s="14">
        <v>0</v>
      </c>
      <c r="AD91" s="14">
        <v>0</v>
      </c>
      <c r="AE91" s="14">
        <v>20</v>
      </c>
    </row>
    <row r="92" spans="2:31" x14ac:dyDescent="0.3">
      <c r="B92" t="s">
        <v>100</v>
      </c>
      <c r="C92">
        <v>0.33658310120705698</v>
      </c>
      <c r="D92">
        <v>0.24001857010213601</v>
      </c>
      <c r="E92">
        <v>0</v>
      </c>
      <c r="F92">
        <v>0</v>
      </c>
      <c r="G92">
        <v>0</v>
      </c>
      <c r="H92">
        <v>1</v>
      </c>
      <c r="I92">
        <v>0</v>
      </c>
      <c r="J92">
        <v>1</v>
      </c>
      <c r="K92">
        <v>0</v>
      </c>
      <c r="L92">
        <v>0</v>
      </c>
      <c r="M92">
        <v>0</v>
      </c>
      <c r="N92">
        <v>0.65</v>
      </c>
      <c r="O92">
        <v>19</v>
      </c>
      <c r="P92">
        <v>42</v>
      </c>
      <c r="Q92">
        <v>19</v>
      </c>
      <c r="R92">
        <v>17</v>
      </c>
      <c r="S92">
        <v>0.77478499775257503</v>
      </c>
      <c r="T92">
        <v>0.63839172616115003</v>
      </c>
      <c r="U92">
        <v>0.77478499775257503</v>
      </c>
      <c r="V92">
        <v>0.190829919004078</v>
      </c>
      <c r="W92">
        <v>181.651945530684</v>
      </c>
      <c r="X92">
        <v>181.20446104383601</v>
      </c>
      <c r="Y92">
        <v>181.651945530684</v>
      </c>
      <c r="Z92">
        <v>179.736082411431</v>
      </c>
      <c r="AA92">
        <v>1</v>
      </c>
      <c r="AB92">
        <v>0</v>
      </c>
      <c r="AC92">
        <v>0</v>
      </c>
      <c r="AD92">
        <v>0</v>
      </c>
      <c r="AE92">
        <v>1</v>
      </c>
    </row>
    <row r="93" spans="2:31" x14ac:dyDescent="0.3">
      <c r="B93" t="s">
        <v>101</v>
      </c>
      <c r="C93">
        <v>7.7994428969359306E-2</v>
      </c>
      <c r="D93">
        <v>0.33658310120705698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1</v>
      </c>
      <c r="L93">
        <v>0</v>
      </c>
      <c r="M93">
        <v>0.03</v>
      </c>
      <c r="N93">
        <v>0</v>
      </c>
      <c r="O93">
        <v>34</v>
      </c>
      <c r="P93">
        <v>19</v>
      </c>
      <c r="Q93">
        <v>27</v>
      </c>
      <c r="R93">
        <v>19</v>
      </c>
      <c r="S93">
        <v>0.73778305761239804</v>
      </c>
      <c r="T93">
        <v>0.77478499775257503</v>
      </c>
      <c r="U93">
        <v>0.23554737138683501</v>
      </c>
      <c r="V93">
        <v>0.77478499775257503</v>
      </c>
      <c r="W93">
        <v>181.53054808927999</v>
      </c>
      <c r="X93">
        <v>181.651945530684</v>
      </c>
      <c r="Y93">
        <v>179.88279321321099</v>
      </c>
      <c r="Z93">
        <v>181.651945530684</v>
      </c>
      <c r="AA93">
        <v>1</v>
      </c>
      <c r="AB93">
        <v>0</v>
      </c>
      <c r="AC93">
        <v>0</v>
      </c>
      <c r="AD93">
        <v>0</v>
      </c>
      <c r="AE93">
        <v>4</v>
      </c>
    </row>
    <row r="94" spans="2:31" s="14" customFormat="1" x14ac:dyDescent="0.3">
      <c r="B94" s="14" t="s">
        <v>103</v>
      </c>
      <c r="C94" s="14">
        <v>6.9637883008356605E-2</v>
      </c>
      <c r="D94" s="14">
        <v>7.7994428969359306E-2</v>
      </c>
      <c r="E94" s="14">
        <v>0</v>
      </c>
      <c r="F94" s="14">
        <v>0</v>
      </c>
      <c r="G94" s="14">
        <v>1</v>
      </c>
      <c r="H94" s="14">
        <v>0</v>
      </c>
      <c r="I94" s="14">
        <v>0</v>
      </c>
      <c r="J94" s="14">
        <v>1</v>
      </c>
      <c r="K94" s="14">
        <v>0</v>
      </c>
      <c r="L94" s="14">
        <v>0</v>
      </c>
      <c r="M94" s="14">
        <v>1.59</v>
      </c>
      <c r="N94" s="14">
        <v>0.03</v>
      </c>
      <c r="O94" s="14">
        <v>30</v>
      </c>
      <c r="P94" s="14">
        <v>34</v>
      </c>
      <c r="Q94" s="14">
        <v>30</v>
      </c>
      <c r="R94" s="14">
        <v>27</v>
      </c>
      <c r="S94" s="14">
        <v>0.68473415802180104</v>
      </c>
      <c r="T94" s="14">
        <v>0.73778305761239804</v>
      </c>
      <c r="U94" s="14">
        <v>0.68473415802180104</v>
      </c>
      <c r="V94" s="14">
        <v>0.23554737138683501</v>
      </c>
      <c r="W94" s="14">
        <v>181.35650314311599</v>
      </c>
      <c r="X94" s="14">
        <v>181.53054808927999</v>
      </c>
      <c r="Y94" s="14">
        <v>181.35650314311599</v>
      </c>
      <c r="Z94" s="14">
        <v>179.88279321321099</v>
      </c>
      <c r="AA94" s="14">
        <v>1</v>
      </c>
      <c r="AB94" s="14">
        <v>0</v>
      </c>
      <c r="AC94" s="14">
        <v>0</v>
      </c>
      <c r="AD94" s="14">
        <v>0</v>
      </c>
      <c r="AE94" s="14">
        <v>1</v>
      </c>
    </row>
    <row r="95" spans="2:31" x14ac:dyDescent="0.3">
      <c r="B95" t="s">
        <v>104</v>
      </c>
      <c r="C95">
        <v>7.6601671309192196E-2</v>
      </c>
      <c r="D95">
        <v>6.9637883008356605E-2</v>
      </c>
      <c r="E95">
        <v>0</v>
      </c>
      <c r="F95">
        <v>0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1.59</v>
      </c>
      <c r="O95">
        <v>29</v>
      </c>
      <c r="P95">
        <v>30</v>
      </c>
      <c r="Q95">
        <v>23</v>
      </c>
      <c r="R95">
        <v>30</v>
      </c>
      <c r="S95">
        <v>0.92974533506203205</v>
      </c>
      <c r="T95">
        <v>0.68473415802180104</v>
      </c>
      <c r="U95">
        <v>0.82613198219377604</v>
      </c>
      <c r="V95">
        <v>0.68473415802180104</v>
      </c>
      <c r="W95">
        <v>182.16034558747401</v>
      </c>
      <c r="X95">
        <v>181.35650314311599</v>
      </c>
      <c r="Y95">
        <v>181.82040676572799</v>
      </c>
      <c r="Z95">
        <v>181.35650314311599</v>
      </c>
      <c r="AA95">
        <v>1</v>
      </c>
      <c r="AB95">
        <v>0</v>
      </c>
      <c r="AC95">
        <v>0</v>
      </c>
      <c r="AD95">
        <v>0</v>
      </c>
      <c r="AE95">
        <v>5</v>
      </c>
    </row>
    <row r="96" spans="2:31" x14ac:dyDescent="0.3">
      <c r="B96" t="s">
        <v>105</v>
      </c>
      <c r="C96">
        <v>0.16573816155988899</v>
      </c>
      <c r="D96">
        <v>7.6601671309192196E-2</v>
      </c>
      <c r="E96">
        <v>0</v>
      </c>
      <c r="F96">
        <v>0</v>
      </c>
      <c r="G96">
        <v>1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36</v>
      </c>
      <c r="P96">
        <v>29</v>
      </c>
      <c r="Q96">
        <v>15</v>
      </c>
      <c r="R96">
        <v>23</v>
      </c>
      <c r="S96">
        <v>0.879515979129883</v>
      </c>
      <c r="T96">
        <v>0.92974533506203205</v>
      </c>
      <c r="U96">
        <v>0.53439333418861801</v>
      </c>
      <c r="V96">
        <v>0.82613198219377604</v>
      </c>
      <c r="W96">
        <v>181.99555111263101</v>
      </c>
      <c r="X96">
        <v>182.16034558747401</v>
      </c>
      <c r="Y96">
        <v>180.863258970435</v>
      </c>
      <c r="Z96">
        <v>181.82040676572799</v>
      </c>
      <c r="AA96">
        <v>1</v>
      </c>
      <c r="AB96">
        <v>0</v>
      </c>
      <c r="AC96">
        <v>0</v>
      </c>
      <c r="AD96">
        <v>0</v>
      </c>
      <c r="AE96">
        <v>23</v>
      </c>
    </row>
    <row r="97" spans="2:31" x14ac:dyDescent="0.3">
      <c r="B97" t="s">
        <v>9</v>
      </c>
      <c r="C97">
        <v>6.2641509433962295E-2</v>
      </c>
      <c r="D97">
        <v>6.2641509433962295E-2</v>
      </c>
      <c r="E97">
        <v>0</v>
      </c>
      <c r="F97">
        <v>0</v>
      </c>
      <c r="G97">
        <v>1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22</v>
      </c>
      <c r="P97">
        <v>22</v>
      </c>
      <c r="Q97">
        <v>21</v>
      </c>
      <c r="R97">
        <v>21</v>
      </c>
      <c r="S97">
        <v>1.63786136599534</v>
      </c>
      <c r="T97">
        <v>1.63786136599534</v>
      </c>
      <c r="U97">
        <v>1.5205810785713301</v>
      </c>
      <c r="V97">
        <v>1.5205810785713301</v>
      </c>
      <c r="W97">
        <v>182.26356091205801</v>
      </c>
      <c r="X97">
        <v>182.26356091205801</v>
      </c>
      <c r="Y97">
        <v>181.87878306617901</v>
      </c>
      <c r="Z97">
        <v>181.87878306617901</v>
      </c>
      <c r="AA97">
        <v>0</v>
      </c>
      <c r="AB97">
        <v>1</v>
      </c>
      <c r="AC97">
        <v>0</v>
      </c>
      <c r="AD97">
        <v>0</v>
      </c>
      <c r="AE97">
        <v>3</v>
      </c>
    </row>
    <row r="98" spans="2:31" x14ac:dyDescent="0.3">
      <c r="B98" t="s">
        <v>10</v>
      </c>
      <c r="C98">
        <v>0.13018867924528299</v>
      </c>
      <c r="D98">
        <v>6.2641509433962295E-2</v>
      </c>
      <c r="E98">
        <v>0</v>
      </c>
      <c r="F98">
        <v>0</v>
      </c>
      <c r="G98">
        <v>1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28</v>
      </c>
      <c r="P98">
        <v>22</v>
      </c>
      <c r="Q98">
        <v>13</v>
      </c>
      <c r="R98">
        <v>21</v>
      </c>
      <c r="S98">
        <v>2.0229406676105901</v>
      </c>
      <c r="T98">
        <v>1.63786136599534</v>
      </c>
      <c r="U98">
        <v>1.1869011379277301</v>
      </c>
      <c r="V98">
        <v>1.5205810785713301</v>
      </c>
      <c r="W98">
        <v>183.52694444754101</v>
      </c>
      <c r="X98">
        <v>182.26356091205801</v>
      </c>
      <c r="Y98">
        <v>180.78403260475</v>
      </c>
      <c r="Z98">
        <v>181.87878306617901</v>
      </c>
      <c r="AA98">
        <v>0</v>
      </c>
      <c r="AB98">
        <v>1</v>
      </c>
      <c r="AC98">
        <v>0</v>
      </c>
      <c r="AD98">
        <v>0</v>
      </c>
      <c r="AE98">
        <v>12</v>
      </c>
    </row>
    <row r="99" spans="2:31" x14ac:dyDescent="0.3">
      <c r="B99" t="s">
        <v>11</v>
      </c>
      <c r="C99">
        <v>0.25622641509434002</v>
      </c>
      <c r="D99">
        <v>0.13018867924528299</v>
      </c>
      <c r="E99">
        <v>0</v>
      </c>
      <c r="F99">
        <v>0</v>
      </c>
      <c r="G99">
        <v>1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20</v>
      </c>
      <c r="P99">
        <v>28</v>
      </c>
      <c r="Q99">
        <v>17</v>
      </c>
      <c r="R99">
        <v>13</v>
      </c>
      <c r="S99">
        <v>1.76330879713842</v>
      </c>
      <c r="T99">
        <v>2.0229406676105901</v>
      </c>
      <c r="U99">
        <v>1.4960001361144599</v>
      </c>
      <c r="V99">
        <v>1.1869011379277301</v>
      </c>
      <c r="W99">
        <v>182.675133848879</v>
      </c>
      <c r="X99">
        <v>183.52694444754101</v>
      </c>
      <c r="Y99">
        <v>181.79813692950901</v>
      </c>
      <c r="Z99">
        <v>180.78403260475</v>
      </c>
      <c r="AA99">
        <v>0</v>
      </c>
      <c r="AB99">
        <v>1</v>
      </c>
      <c r="AC99">
        <v>0</v>
      </c>
      <c r="AD99">
        <v>0</v>
      </c>
      <c r="AE99">
        <v>7</v>
      </c>
    </row>
    <row r="100" spans="2:31" x14ac:dyDescent="0.3">
      <c r="B100" t="s">
        <v>12</v>
      </c>
      <c r="C100">
        <v>0.36603773584905702</v>
      </c>
      <c r="D100">
        <v>0.25622641509434002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32</v>
      </c>
      <c r="P100">
        <v>20</v>
      </c>
      <c r="Q100">
        <v>17</v>
      </c>
      <c r="R100">
        <v>17</v>
      </c>
      <c r="S100">
        <v>1.40950891209219</v>
      </c>
      <c r="T100">
        <v>1.76330879713842</v>
      </c>
      <c r="U100">
        <v>0.86441035012684198</v>
      </c>
      <c r="V100">
        <v>1.4960001361144599</v>
      </c>
      <c r="W100">
        <v>181.51437307116899</v>
      </c>
      <c r="X100">
        <v>182.675133848879</v>
      </c>
      <c r="Y100">
        <v>179.72599196235799</v>
      </c>
      <c r="Z100">
        <v>181.79813692950901</v>
      </c>
      <c r="AA100">
        <v>0</v>
      </c>
      <c r="AB100">
        <v>1</v>
      </c>
      <c r="AC100">
        <v>0</v>
      </c>
      <c r="AD100">
        <v>0</v>
      </c>
      <c r="AE100">
        <v>77</v>
      </c>
    </row>
    <row r="101" spans="2:31" x14ac:dyDescent="0.3">
      <c r="B101" t="s">
        <v>13</v>
      </c>
      <c r="C101">
        <v>8.9433962264150901E-2</v>
      </c>
      <c r="D101">
        <v>0.36603773584905702</v>
      </c>
      <c r="E101">
        <v>1</v>
      </c>
      <c r="F101">
        <v>0</v>
      </c>
      <c r="G101">
        <v>1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28</v>
      </c>
      <c r="P101">
        <v>32</v>
      </c>
      <c r="Q101">
        <v>17</v>
      </c>
      <c r="R101">
        <v>17</v>
      </c>
      <c r="S101">
        <v>1.6920981883636499</v>
      </c>
      <c r="T101">
        <v>1.40950891209219</v>
      </c>
      <c r="U101">
        <v>1.5676582585841901</v>
      </c>
      <c r="V101">
        <v>0.86441035012684198</v>
      </c>
      <c r="W101">
        <v>182.441503242663</v>
      </c>
      <c r="X101">
        <v>181.51437307116899</v>
      </c>
      <c r="Y101">
        <v>182.03323575651001</v>
      </c>
      <c r="Z101">
        <v>179.72599196235799</v>
      </c>
      <c r="AA101">
        <v>0</v>
      </c>
      <c r="AB101">
        <v>1</v>
      </c>
      <c r="AC101">
        <v>0</v>
      </c>
      <c r="AD101">
        <v>0</v>
      </c>
      <c r="AE101">
        <v>26</v>
      </c>
    </row>
    <row r="102" spans="2:31" x14ac:dyDescent="0.3">
      <c r="B102" t="s">
        <v>14</v>
      </c>
      <c r="C102">
        <v>3.77358490566038E-2</v>
      </c>
      <c r="D102">
        <v>8.9433962264150901E-2</v>
      </c>
      <c r="E102">
        <v>0</v>
      </c>
      <c r="F102">
        <v>1</v>
      </c>
      <c r="G102">
        <v>1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0</v>
      </c>
      <c r="O102">
        <v>31</v>
      </c>
      <c r="P102">
        <v>28</v>
      </c>
      <c r="Q102">
        <v>22</v>
      </c>
      <c r="R102">
        <v>17</v>
      </c>
      <c r="S102">
        <v>1.83051907948268</v>
      </c>
      <c r="T102">
        <v>1.6920981883636499</v>
      </c>
      <c r="U102">
        <v>1.2789973637952601</v>
      </c>
      <c r="V102">
        <v>1.5676582585841901</v>
      </c>
      <c r="W102">
        <v>182.89564002454901</v>
      </c>
      <c r="X102">
        <v>182.441503242663</v>
      </c>
      <c r="Y102">
        <v>181.08618557675601</v>
      </c>
      <c r="Z102">
        <v>182.03323575651001</v>
      </c>
      <c r="AA102">
        <v>0</v>
      </c>
      <c r="AB102">
        <v>1</v>
      </c>
      <c r="AC102">
        <v>0</v>
      </c>
      <c r="AD102">
        <v>0</v>
      </c>
      <c r="AE102">
        <v>6</v>
      </c>
    </row>
    <row r="103" spans="2:31" x14ac:dyDescent="0.3">
      <c r="B103" t="s">
        <v>15</v>
      </c>
      <c r="C103">
        <v>5.7735849056603797E-2</v>
      </c>
      <c r="D103">
        <v>3.77358490566038E-2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0</v>
      </c>
      <c r="O103">
        <v>34</v>
      </c>
      <c r="P103">
        <v>31</v>
      </c>
      <c r="Q103">
        <v>20</v>
      </c>
      <c r="R103">
        <v>22</v>
      </c>
      <c r="S103">
        <v>1.63501635663776</v>
      </c>
      <c r="T103">
        <v>1.83051907948268</v>
      </c>
      <c r="U103">
        <v>0.90689656342082403</v>
      </c>
      <c r="V103">
        <v>1.2789973637952601</v>
      </c>
      <c r="W103">
        <v>182.25422689185601</v>
      </c>
      <c r="X103">
        <v>182.89564002454901</v>
      </c>
      <c r="Y103">
        <v>179.86538242592101</v>
      </c>
      <c r="Z103">
        <v>181.08618557675601</v>
      </c>
      <c r="AA103">
        <v>0</v>
      </c>
      <c r="AB103">
        <v>1</v>
      </c>
      <c r="AC103">
        <v>0</v>
      </c>
      <c r="AD103">
        <v>0</v>
      </c>
      <c r="AE103">
        <v>3</v>
      </c>
    </row>
    <row r="104" spans="2:31" x14ac:dyDescent="0.3">
      <c r="B104" t="s">
        <v>16</v>
      </c>
      <c r="C104">
        <v>6.2641509433962295E-2</v>
      </c>
      <c r="D104">
        <v>5.7735849056603797E-2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0.34649999999999997</v>
      </c>
      <c r="N104">
        <v>0</v>
      </c>
      <c r="O104">
        <v>30</v>
      </c>
      <c r="P104">
        <v>34</v>
      </c>
      <c r="Q104">
        <v>20</v>
      </c>
      <c r="R104">
        <v>20</v>
      </c>
      <c r="S104">
        <v>1.49992622090348</v>
      </c>
      <c r="T104">
        <v>1.63501635663776</v>
      </c>
      <c r="U104">
        <v>0.74936375087622897</v>
      </c>
      <c r="V104">
        <v>0.90689656342082403</v>
      </c>
      <c r="W104">
        <v>181.81101778511601</v>
      </c>
      <c r="X104">
        <v>182.25422689185601</v>
      </c>
      <c r="Y104">
        <v>179.348542489751</v>
      </c>
      <c r="Z104">
        <v>179.86538242592101</v>
      </c>
      <c r="AA104">
        <v>0</v>
      </c>
      <c r="AB104">
        <v>1</v>
      </c>
      <c r="AC104">
        <v>0</v>
      </c>
      <c r="AD104">
        <v>0</v>
      </c>
      <c r="AE104">
        <v>3</v>
      </c>
    </row>
    <row r="105" spans="2:31" x14ac:dyDescent="0.3">
      <c r="B105" t="s">
        <v>17</v>
      </c>
      <c r="C105">
        <v>0.13018867924528299</v>
      </c>
      <c r="D105">
        <v>6.2641509433962295E-2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9.8000000000000004E-2</v>
      </c>
      <c r="N105">
        <v>0.34649999999999997</v>
      </c>
      <c r="O105">
        <v>34</v>
      </c>
      <c r="P105">
        <v>30</v>
      </c>
      <c r="Q105">
        <v>26</v>
      </c>
      <c r="R105">
        <v>20</v>
      </c>
      <c r="S105">
        <v>2.1927423582532901</v>
      </c>
      <c r="T105">
        <v>1.49992622090348</v>
      </c>
      <c r="U105">
        <v>1.1875471765321499</v>
      </c>
      <c r="V105">
        <v>0.74936375087622897</v>
      </c>
      <c r="W105">
        <v>184.084036608443</v>
      </c>
      <c r="X105">
        <v>181.81101778511601</v>
      </c>
      <c r="Y105">
        <v>180.78615215397701</v>
      </c>
      <c r="Z105">
        <v>179.348542489751</v>
      </c>
      <c r="AA105">
        <v>0</v>
      </c>
      <c r="AB105">
        <v>1</v>
      </c>
      <c r="AC105">
        <v>0</v>
      </c>
      <c r="AD105">
        <v>0</v>
      </c>
      <c r="AE105">
        <v>24</v>
      </c>
    </row>
    <row r="106" spans="2:31" x14ac:dyDescent="0.3">
      <c r="B106" t="s">
        <v>18</v>
      </c>
      <c r="C106">
        <v>0.25622641509434002</v>
      </c>
      <c r="D106">
        <v>0.13018867924528299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9.8000000000000004E-2</v>
      </c>
      <c r="O106">
        <v>33</v>
      </c>
      <c r="P106">
        <v>34</v>
      </c>
      <c r="Q106">
        <v>27</v>
      </c>
      <c r="R106">
        <v>26</v>
      </c>
      <c r="S106">
        <v>1.9758400635881701</v>
      </c>
      <c r="T106">
        <v>2.1927423582532901</v>
      </c>
      <c r="U106">
        <v>1.03896168350689</v>
      </c>
      <c r="V106">
        <v>1.1875471765321499</v>
      </c>
      <c r="W106">
        <v>183.372414906785</v>
      </c>
      <c r="X106">
        <v>184.084036608443</v>
      </c>
      <c r="Y106">
        <v>180.29866694063901</v>
      </c>
      <c r="Z106">
        <v>180.78615215397701</v>
      </c>
      <c r="AA106">
        <v>0</v>
      </c>
      <c r="AB106">
        <v>1</v>
      </c>
      <c r="AC106">
        <v>0</v>
      </c>
      <c r="AD106">
        <v>0</v>
      </c>
      <c r="AE106">
        <v>41</v>
      </c>
    </row>
    <row r="107" spans="2:31" x14ac:dyDescent="0.3">
      <c r="B107" t="s">
        <v>19</v>
      </c>
      <c r="C107">
        <v>0.36603773584905702</v>
      </c>
      <c r="D107">
        <v>0.25622641509434002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1</v>
      </c>
      <c r="K107">
        <v>0</v>
      </c>
      <c r="L107">
        <v>0</v>
      </c>
      <c r="M107">
        <v>1.0500000000000001E-2</v>
      </c>
      <c r="N107">
        <v>0</v>
      </c>
      <c r="O107">
        <v>22</v>
      </c>
      <c r="P107">
        <v>33</v>
      </c>
      <c r="Q107">
        <v>20</v>
      </c>
      <c r="R107">
        <v>27</v>
      </c>
      <c r="S107">
        <v>1.28679438537877</v>
      </c>
      <c r="T107">
        <v>1.9758400635881701</v>
      </c>
      <c r="U107">
        <v>1.1104763372870401</v>
      </c>
      <c r="V107">
        <v>1.03896168350689</v>
      </c>
      <c r="W107">
        <v>181.11176635622999</v>
      </c>
      <c r="X107">
        <v>183.372414906785</v>
      </c>
      <c r="Y107">
        <v>180.533295069839</v>
      </c>
      <c r="Z107">
        <v>180.29866694063901</v>
      </c>
      <c r="AA107">
        <v>0</v>
      </c>
      <c r="AB107">
        <v>1</v>
      </c>
      <c r="AC107">
        <v>0</v>
      </c>
      <c r="AD107">
        <v>0</v>
      </c>
      <c r="AE107">
        <v>6</v>
      </c>
    </row>
    <row r="108" spans="2:31" s="14" customFormat="1" x14ac:dyDescent="0.3">
      <c r="B108" s="14" t="s">
        <v>21</v>
      </c>
      <c r="C108" s="14">
        <v>3.77358490566038E-2</v>
      </c>
      <c r="D108" s="14">
        <v>0.36603773584905702</v>
      </c>
      <c r="E108" s="14">
        <v>0</v>
      </c>
      <c r="F108" s="14">
        <v>0</v>
      </c>
      <c r="G108" s="14">
        <v>0</v>
      </c>
      <c r="H108" s="14">
        <v>1</v>
      </c>
      <c r="I108" s="14">
        <v>0</v>
      </c>
      <c r="J108" s="14">
        <v>0</v>
      </c>
      <c r="K108" s="14">
        <v>1</v>
      </c>
      <c r="L108" s="14">
        <v>0</v>
      </c>
      <c r="M108" s="14">
        <v>1.379</v>
      </c>
      <c r="N108" s="14">
        <v>1.0500000000000001E-2</v>
      </c>
      <c r="O108" s="14">
        <v>13</v>
      </c>
      <c r="P108" s="14">
        <v>22</v>
      </c>
      <c r="Q108" s="14">
        <v>12</v>
      </c>
      <c r="R108" s="14">
        <v>20</v>
      </c>
      <c r="S108" s="14">
        <v>2.45898669024663</v>
      </c>
      <c r="T108" s="14">
        <v>1.28679438537877</v>
      </c>
      <c r="U108" s="14">
        <v>2.3475998292466702</v>
      </c>
      <c r="V108" s="14">
        <v>1.1104763372870401</v>
      </c>
      <c r="W108" s="14">
        <v>184.957541634667</v>
      </c>
      <c r="X108" s="14">
        <v>181.11176635622999</v>
      </c>
      <c r="Y108" s="14">
        <v>184.592099177318</v>
      </c>
      <c r="Z108" s="14">
        <v>180.533295069839</v>
      </c>
      <c r="AA108" s="14">
        <v>0</v>
      </c>
      <c r="AB108" s="14">
        <v>1</v>
      </c>
      <c r="AC108" s="14">
        <v>0</v>
      </c>
      <c r="AD108" s="14">
        <v>0</v>
      </c>
      <c r="AE108" s="14">
        <v>2</v>
      </c>
    </row>
    <row r="109" spans="2:31" x14ac:dyDescent="0.3">
      <c r="B109" t="s">
        <v>22</v>
      </c>
      <c r="C109">
        <v>5.7735849056603797E-2</v>
      </c>
      <c r="D109">
        <v>3.77358490566038E-2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1</v>
      </c>
      <c r="L109">
        <v>0</v>
      </c>
      <c r="M109">
        <v>1.7500000000000002E-2</v>
      </c>
      <c r="N109">
        <v>1.379</v>
      </c>
      <c r="O109">
        <v>20</v>
      </c>
      <c r="P109">
        <v>13</v>
      </c>
      <c r="Q109">
        <v>20</v>
      </c>
      <c r="R109">
        <v>12</v>
      </c>
      <c r="S109">
        <v>2.1996296697798399</v>
      </c>
      <c r="T109">
        <v>2.45898669024663</v>
      </c>
      <c r="U109">
        <v>2.1996296697798399</v>
      </c>
      <c r="V109">
        <v>2.3475998292466702</v>
      </c>
      <c r="W109">
        <v>184.10663277486799</v>
      </c>
      <c r="X109">
        <v>184.957541634667</v>
      </c>
      <c r="Y109">
        <v>184.10663277486799</v>
      </c>
      <c r="Z109">
        <v>184.592099177318</v>
      </c>
      <c r="AA109">
        <v>0</v>
      </c>
      <c r="AB109">
        <v>1</v>
      </c>
      <c r="AC109">
        <v>0</v>
      </c>
      <c r="AD109">
        <v>0</v>
      </c>
      <c r="AE109">
        <v>1</v>
      </c>
    </row>
    <row r="110" spans="2:31" x14ac:dyDescent="0.3">
      <c r="B110" t="s">
        <v>23</v>
      </c>
      <c r="C110">
        <v>6.2641509433962295E-2</v>
      </c>
      <c r="D110">
        <v>5.7735849056603797E-2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1.7500000000000002E-2</v>
      </c>
      <c r="O110">
        <v>17</v>
      </c>
      <c r="P110">
        <v>20</v>
      </c>
      <c r="Q110">
        <v>14</v>
      </c>
      <c r="R110">
        <v>20</v>
      </c>
      <c r="S110">
        <v>2.1699088456459901</v>
      </c>
      <c r="T110">
        <v>2.1996296697798399</v>
      </c>
      <c r="U110">
        <v>1.64197782043137</v>
      </c>
      <c r="V110">
        <v>2.1996296697798399</v>
      </c>
      <c r="W110">
        <v>184.009123509337</v>
      </c>
      <c r="X110">
        <v>184.10663277486799</v>
      </c>
      <c r="Y110">
        <v>182.27706633999799</v>
      </c>
      <c r="Z110">
        <v>184.10663277486799</v>
      </c>
      <c r="AA110">
        <v>0</v>
      </c>
      <c r="AB110">
        <v>1</v>
      </c>
      <c r="AC110">
        <v>0</v>
      </c>
      <c r="AD110">
        <v>0</v>
      </c>
      <c r="AE110">
        <v>4</v>
      </c>
    </row>
    <row r="111" spans="2:31" x14ac:dyDescent="0.3">
      <c r="B111" t="s">
        <v>24</v>
      </c>
      <c r="C111">
        <v>0.13018867924528299</v>
      </c>
      <c r="D111">
        <v>6.2641509433962295E-2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29</v>
      </c>
      <c r="P111">
        <v>17</v>
      </c>
      <c r="Q111">
        <v>20</v>
      </c>
      <c r="R111">
        <v>14</v>
      </c>
      <c r="S111">
        <v>2.0561518460220198</v>
      </c>
      <c r="T111">
        <v>2.1699088456459901</v>
      </c>
      <c r="U111">
        <v>1.8075341182167199</v>
      </c>
      <c r="V111">
        <v>1.64197782043137</v>
      </c>
      <c r="W111">
        <v>183.635905006634</v>
      </c>
      <c r="X111">
        <v>184.009123509337</v>
      </c>
      <c r="Y111">
        <v>182.82023004664299</v>
      </c>
      <c r="Z111">
        <v>182.27706633999799</v>
      </c>
      <c r="AA111">
        <v>0</v>
      </c>
      <c r="AB111">
        <v>1</v>
      </c>
      <c r="AC111">
        <v>0</v>
      </c>
      <c r="AD111">
        <v>0</v>
      </c>
      <c r="AE111">
        <v>15</v>
      </c>
    </row>
    <row r="112" spans="2:31" x14ac:dyDescent="0.3">
      <c r="B112" t="s">
        <v>25</v>
      </c>
      <c r="C112">
        <v>0.25622641509434002</v>
      </c>
      <c r="D112">
        <v>0.13018867924528299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24</v>
      </c>
      <c r="P112">
        <v>29</v>
      </c>
      <c r="Q112">
        <v>20</v>
      </c>
      <c r="R112">
        <v>20</v>
      </c>
      <c r="S112">
        <v>2.1409831883019401</v>
      </c>
      <c r="T112">
        <v>2.0561518460220198</v>
      </c>
      <c r="U112">
        <v>1.5721835434596101</v>
      </c>
      <c r="V112">
        <v>1.8075341182167199</v>
      </c>
      <c r="W112">
        <v>183.914223058733</v>
      </c>
      <c r="X112">
        <v>183.635905006634</v>
      </c>
      <c r="Y112">
        <v>182.04808249166501</v>
      </c>
      <c r="Z112">
        <v>182.82023004664299</v>
      </c>
      <c r="AA112">
        <v>0</v>
      </c>
      <c r="AB112">
        <v>1</v>
      </c>
      <c r="AC112">
        <v>0</v>
      </c>
      <c r="AD112">
        <v>0</v>
      </c>
      <c r="AE112">
        <v>16</v>
      </c>
    </row>
    <row r="113" spans="2:31" x14ac:dyDescent="0.3">
      <c r="B113" t="s">
        <v>26</v>
      </c>
      <c r="C113">
        <v>0.36603773584905702</v>
      </c>
      <c r="D113">
        <v>0.25622641509434002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28</v>
      </c>
      <c r="P113">
        <v>24</v>
      </c>
      <c r="Q113">
        <v>17</v>
      </c>
      <c r="R113">
        <v>20</v>
      </c>
      <c r="S113">
        <v>1.8804302852843799</v>
      </c>
      <c r="T113">
        <v>2.1409831883019401</v>
      </c>
      <c r="U113">
        <v>1.6384625625799101</v>
      </c>
      <c r="V113">
        <v>1.5721835434596101</v>
      </c>
      <c r="W113">
        <v>183.05939069975199</v>
      </c>
      <c r="X113">
        <v>183.914223058733</v>
      </c>
      <c r="Y113">
        <v>182.265533341798</v>
      </c>
      <c r="Z113">
        <v>182.04808249166501</v>
      </c>
      <c r="AA113">
        <v>0</v>
      </c>
      <c r="AB113">
        <v>1</v>
      </c>
      <c r="AC113">
        <v>0</v>
      </c>
      <c r="AD113">
        <v>0</v>
      </c>
      <c r="AE113">
        <v>46</v>
      </c>
    </row>
    <row r="114" spans="2:31" s="14" customFormat="1" x14ac:dyDescent="0.3">
      <c r="B114" s="14" t="s">
        <v>28</v>
      </c>
      <c r="C114" s="14">
        <v>3.77358490566038E-2</v>
      </c>
      <c r="D114" s="14">
        <v>0.36603773584905702</v>
      </c>
      <c r="E114" s="14">
        <v>0</v>
      </c>
      <c r="F114" s="14">
        <v>0</v>
      </c>
      <c r="G114" s="14">
        <v>1</v>
      </c>
      <c r="H114" s="14">
        <v>0</v>
      </c>
      <c r="I114" s="14">
        <v>0</v>
      </c>
      <c r="J114" s="14">
        <v>1</v>
      </c>
      <c r="K114" s="14">
        <v>0</v>
      </c>
      <c r="L114" s="14">
        <v>0</v>
      </c>
      <c r="M114" s="14">
        <v>0.434</v>
      </c>
      <c r="N114" s="14">
        <v>0</v>
      </c>
      <c r="O114" s="14">
        <v>25</v>
      </c>
      <c r="P114" s="14">
        <v>28</v>
      </c>
      <c r="Q114" s="14">
        <v>21</v>
      </c>
      <c r="R114" s="14">
        <v>17</v>
      </c>
      <c r="S114" s="14">
        <v>1.6618779358142499</v>
      </c>
      <c r="T114" s="14">
        <v>1.8804302852843799</v>
      </c>
      <c r="U114" s="14">
        <v>1.21069085678098</v>
      </c>
      <c r="V114" s="14">
        <v>1.6384625625799101</v>
      </c>
      <c r="W114" s="14">
        <v>182.34235543246101</v>
      </c>
      <c r="X114" s="14">
        <v>183.05939069975199</v>
      </c>
      <c r="Y114" s="14">
        <v>180.86208286345499</v>
      </c>
      <c r="Z114" s="14">
        <v>182.265533341798</v>
      </c>
      <c r="AA114" s="14">
        <v>0</v>
      </c>
      <c r="AB114" s="14">
        <v>1</v>
      </c>
      <c r="AC114" s="14">
        <v>0</v>
      </c>
      <c r="AD114" s="14">
        <v>0</v>
      </c>
      <c r="AE114" s="14">
        <v>4</v>
      </c>
    </row>
    <row r="115" spans="2:31" x14ac:dyDescent="0.3">
      <c r="B115" t="s">
        <v>29</v>
      </c>
      <c r="C115">
        <v>5.7735849056603797E-2</v>
      </c>
      <c r="D115">
        <v>3.77358490566038E-2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0.11550000000000001</v>
      </c>
      <c r="N115">
        <v>0.434</v>
      </c>
      <c r="O115">
        <v>32</v>
      </c>
      <c r="P115">
        <v>25</v>
      </c>
      <c r="Q115">
        <v>24</v>
      </c>
      <c r="R115">
        <v>21</v>
      </c>
      <c r="S115">
        <v>1.8973252758446699</v>
      </c>
      <c r="T115">
        <v>1.6618779358142499</v>
      </c>
      <c r="U115">
        <v>1.3172146601415</v>
      </c>
      <c r="V115">
        <v>1.21069085678098</v>
      </c>
      <c r="W115">
        <v>183.114820458808</v>
      </c>
      <c r="X115">
        <v>182.34235543246101</v>
      </c>
      <c r="Y115">
        <v>181.21157040728801</v>
      </c>
      <c r="Z115">
        <v>180.86208286345499</v>
      </c>
      <c r="AA115">
        <v>0</v>
      </c>
      <c r="AB115">
        <v>1</v>
      </c>
      <c r="AC115">
        <v>0</v>
      </c>
      <c r="AD115">
        <v>0</v>
      </c>
      <c r="AE115">
        <v>12</v>
      </c>
    </row>
    <row r="116" spans="2:31" x14ac:dyDescent="0.3">
      <c r="B116" t="s">
        <v>30</v>
      </c>
      <c r="C116">
        <v>6.2641509433962295E-2</v>
      </c>
      <c r="D116">
        <v>5.7735849056603797E-2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0.11550000000000001</v>
      </c>
      <c r="O116">
        <v>34</v>
      </c>
      <c r="P116">
        <v>32</v>
      </c>
      <c r="Q116">
        <v>25</v>
      </c>
      <c r="R116">
        <v>24</v>
      </c>
      <c r="S116">
        <v>2.3362704126913099</v>
      </c>
      <c r="T116">
        <v>1.8973252758446699</v>
      </c>
      <c r="U116">
        <v>1.99398859156636</v>
      </c>
      <c r="V116">
        <v>1.3172146601415</v>
      </c>
      <c r="W116">
        <v>184.554929175496</v>
      </c>
      <c r="X116">
        <v>183.114820458808</v>
      </c>
      <c r="Y116">
        <v>183.431957321412</v>
      </c>
      <c r="Z116">
        <v>181.21157040728801</v>
      </c>
      <c r="AA116">
        <v>0</v>
      </c>
      <c r="AB116">
        <v>1</v>
      </c>
      <c r="AC116">
        <v>0</v>
      </c>
      <c r="AD116">
        <v>0</v>
      </c>
      <c r="AE116">
        <v>13</v>
      </c>
    </row>
    <row r="117" spans="2:31" x14ac:dyDescent="0.3">
      <c r="B117" t="s">
        <v>31</v>
      </c>
      <c r="C117">
        <v>0.13018867924528299</v>
      </c>
      <c r="D117">
        <v>6.2641509433962295E-2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32</v>
      </c>
      <c r="P117">
        <v>34</v>
      </c>
      <c r="Q117">
        <v>22</v>
      </c>
      <c r="R117">
        <v>25</v>
      </c>
      <c r="S117">
        <v>2.1678142544521699</v>
      </c>
      <c r="T117">
        <v>2.3362704126913099</v>
      </c>
      <c r="U117">
        <v>1.6138895308846599</v>
      </c>
      <c r="V117">
        <v>1.99398859156636</v>
      </c>
      <c r="W117">
        <v>184.002251490985</v>
      </c>
      <c r="X117">
        <v>184.554929175496</v>
      </c>
      <c r="Y117">
        <v>182.18491315906999</v>
      </c>
      <c r="Z117">
        <v>183.431957321412</v>
      </c>
      <c r="AA117">
        <v>0</v>
      </c>
      <c r="AB117">
        <v>1</v>
      </c>
      <c r="AC117">
        <v>0</v>
      </c>
      <c r="AD117">
        <v>0</v>
      </c>
      <c r="AE117">
        <v>17</v>
      </c>
    </row>
    <row r="118" spans="2:31" x14ac:dyDescent="0.3">
      <c r="B118" t="s">
        <v>32</v>
      </c>
      <c r="C118">
        <v>0.25622641509434002</v>
      </c>
      <c r="D118">
        <v>0.13018867924528299</v>
      </c>
      <c r="E118">
        <v>0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0.27650000000000002</v>
      </c>
      <c r="N118">
        <v>0</v>
      </c>
      <c r="O118">
        <v>29</v>
      </c>
      <c r="P118">
        <v>32</v>
      </c>
      <c r="Q118">
        <v>20</v>
      </c>
      <c r="R118">
        <v>22</v>
      </c>
      <c r="S118">
        <v>1.87717863666728</v>
      </c>
      <c r="T118">
        <v>2.1678142544521699</v>
      </c>
      <c r="U118">
        <v>1.70336886535428</v>
      </c>
      <c r="V118">
        <v>1.6138895308846599</v>
      </c>
      <c r="W118">
        <v>183.04872256124401</v>
      </c>
      <c r="X118">
        <v>184.002251490985</v>
      </c>
      <c r="Y118">
        <v>182.478480529378</v>
      </c>
      <c r="Z118">
        <v>182.18491315906999</v>
      </c>
      <c r="AA118">
        <v>0</v>
      </c>
      <c r="AB118">
        <v>1</v>
      </c>
      <c r="AC118">
        <v>0</v>
      </c>
      <c r="AD118">
        <v>0</v>
      </c>
      <c r="AE118">
        <v>19</v>
      </c>
    </row>
    <row r="119" spans="2:31" x14ac:dyDescent="0.3">
      <c r="B119" t="s">
        <v>33</v>
      </c>
      <c r="C119">
        <v>0.36603773584905702</v>
      </c>
      <c r="D119">
        <v>0.25622641509434002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0.27650000000000002</v>
      </c>
      <c r="O119">
        <v>33</v>
      </c>
      <c r="P119">
        <v>29</v>
      </c>
      <c r="Q119">
        <v>15</v>
      </c>
      <c r="R119">
        <v>20</v>
      </c>
      <c r="S119">
        <v>2.4015777345890901</v>
      </c>
      <c r="T119">
        <v>1.87717863666728</v>
      </c>
      <c r="U119">
        <v>1.4965404327487899</v>
      </c>
      <c r="V119">
        <v>1.70336886535428</v>
      </c>
      <c r="W119">
        <v>184.769192042615</v>
      </c>
      <c r="X119">
        <v>183.04872256124401</v>
      </c>
      <c r="Y119">
        <v>181.79990955626201</v>
      </c>
      <c r="Z119">
        <v>182.478480529378</v>
      </c>
      <c r="AA119">
        <v>0</v>
      </c>
      <c r="AB119">
        <v>1</v>
      </c>
      <c r="AC119">
        <v>0</v>
      </c>
      <c r="AD119">
        <v>0</v>
      </c>
      <c r="AE119">
        <v>98</v>
      </c>
    </row>
    <row r="120" spans="2:31" s="14" customFormat="1" x14ac:dyDescent="0.3">
      <c r="B120" s="14" t="s">
        <v>34</v>
      </c>
      <c r="C120" s="14">
        <v>3.77358490566038E-2</v>
      </c>
      <c r="D120" s="14">
        <v>0.36603773584905702</v>
      </c>
      <c r="E120" s="14">
        <v>0</v>
      </c>
      <c r="F120" s="14">
        <v>0</v>
      </c>
      <c r="G120" s="14">
        <v>0</v>
      </c>
      <c r="H120" s="14">
        <v>0</v>
      </c>
      <c r="I120" s="14">
        <v>1</v>
      </c>
      <c r="J120" s="14">
        <v>1</v>
      </c>
      <c r="K120" s="14">
        <v>0</v>
      </c>
      <c r="L120" s="14">
        <v>0</v>
      </c>
      <c r="M120" s="14">
        <v>0.47249999999999998</v>
      </c>
      <c r="N120" s="14">
        <v>0</v>
      </c>
      <c r="O120" s="14">
        <v>21</v>
      </c>
      <c r="P120" s="14">
        <v>33</v>
      </c>
      <c r="Q120" s="14">
        <v>21</v>
      </c>
      <c r="R120" s="14">
        <v>15</v>
      </c>
      <c r="S120" s="14">
        <v>1.8401337244887399</v>
      </c>
      <c r="T120" s="14">
        <v>2.4015777345890901</v>
      </c>
      <c r="U120" s="14">
        <v>1.8401337244887399</v>
      </c>
      <c r="V120" s="14">
        <v>1.4965404327487899</v>
      </c>
      <c r="W120" s="14">
        <v>182.927184135462</v>
      </c>
      <c r="X120" s="14">
        <v>184.769192042615</v>
      </c>
      <c r="Y120" s="14">
        <v>182.927184135462</v>
      </c>
      <c r="Z120" s="14">
        <v>181.79990955626201</v>
      </c>
      <c r="AA120" s="14">
        <v>0</v>
      </c>
      <c r="AB120" s="14">
        <v>1</v>
      </c>
      <c r="AC120" s="14">
        <v>0</v>
      </c>
      <c r="AD120" s="14">
        <v>0</v>
      </c>
      <c r="AE120" s="14">
        <v>1</v>
      </c>
    </row>
    <row r="121" spans="2:31" x14ac:dyDescent="0.3">
      <c r="B121" t="s">
        <v>35</v>
      </c>
      <c r="C121">
        <v>5.7735849056603797E-2</v>
      </c>
      <c r="D121">
        <v>3.77358490566038E-2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0</v>
      </c>
      <c r="N121">
        <v>0.47249999999999998</v>
      </c>
      <c r="O121">
        <v>26</v>
      </c>
      <c r="P121">
        <v>21</v>
      </c>
      <c r="Q121">
        <v>22</v>
      </c>
      <c r="R121">
        <v>21</v>
      </c>
      <c r="S121">
        <v>1.7032634966617699</v>
      </c>
      <c r="T121">
        <v>1.8401337244887399</v>
      </c>
      <c r="U121">
        <v>1.41275304501677</v>
      </c>
      <c r="V121">
        <v>1.8401337244887399</v>
      </c>
      <c r="W121">
        <v>182.47813483156699</v>
      </c>
      <c r="X121">
        <v>182.927184135462</v>
      </c>
      <c r="Y121">
        <v>181.52501655189201</v>
      </c>
      <c r="Z121">
        <v>182.927184135462</v>
      </c>
      <c r="AA121">
        <v>0</v>
      </c>
      <c r="AB121">
        <v>1</v>
      </c>
      <c r="AC121">
        <v>0</v>
      </c>
      <c r="AD121">
        <v>0</v>
      </c>
      <c r="AE121">
        <v>14</v>
      </c>
    </row>
    <row r="122" spans="2:31" x14ac:dyDescent="0.3">
      <c r="B122" t="s">
        <v>36</v>
      </c>
      <c r="C122">
        <v>6.2641509433962295E-2</v>
      </c>
      <c r="D122">
        <v>5.7735849056603797E-2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28</v>
      </c>
      <c r="P122">
        <v>26</v>
      </c>
      <c r="Q122">
        <v>18</v>
      </c>
      <c r="R122">
        <v>22</v>
      </c>
      <c r="S122">
        <v>1.6593247799001201</v>
      </c>
      <c r="T122">
        <v>1.7032634966617699</v>
      </c>
      <c r="U122">
        <v>1.2857876050553501</v>
      </c>
      <c r="V122">
        <v>1.41275304501677</v>
      </c>
      <c r="W122">
        <v>182.33397893668001</v>
      </c>
      <c r="X122">
        <v>182.47813483156699</v>
      </c>
      <c r="Y122">
        <v>181.10846327117901</v>
      </c>
      <c r="Z122">
        <v>181.52501655189201</v>
      </c>
      <c r="AA122">
        <v>0</v>
      </c>
      <c r="AB122">
        <v>1</v>
      </c>
      <c r="AC122">
        <v>0</v>
      </c>
      <c r="AD122">
        <v>0</v>
      </c>
      <c r="AE122">
        <v>6</v>
      </c>
    </row>
    <row r="123" spans="2:31" x14ac:dyDescent="0.3">
      <c r="B123" t="s">
        <v>37</v>
      </c>
      <c r="C123">
        <v>0.13018867924528299</v>
      </c>
      <c r="D123">
        <v>6.2641509433962295E-2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29</v>
      </c>
      <c r="P123">
        <v>28</v>
      </c>
      <c r="Q123">
        <v>19</v>
      </c>
      <c r="R123">
        <v>18</v>
      </c>
      <c r="S123">
        <v>2.0065873901789701</v>
      </c>
      <c r="T123">
        <v>1.6593247799001201</v>
      </c>
      <c r="U123">
        <v>1.49002709791621</v>
      </c>
      <c r="V123">
        <v>1.2857876050553501</v>
      </c>
      <c r="W123">
        <v>183.473291962529</v>
      </c>
      <c r="X123">
        <v>182.33397893668001</v>
      </c>
      <c r="Y123">
        <v>181.77854034749399</v>
      </c>
      <c r="Z123">
        <v>181.10846327117901</v>
      </c>
      <c r="AA123">
        <v>0</v>
      </c>
      <c r="AB123">
        <v>1</v>
      </c>
      <c r="AC123">
        <v>0</v>
      </c>
      <c r="AD123">
        <v>0</v>
      </c>
      <c r="AE123">
        <v>18</v>
      </c>
    </row>
    <row r="124" spans="2:31" x14ac:dyDescent="0.3">
      <c r="B124" t="s">
        <v>38</v>
      </c>
      <c r="C124">
        <v>0.25622641509434002</v>
      </c>
      <c r="D124">
        <v>0.13018867924528299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30</v>
      </c>
      <c r="P124">
        <v>29</v>
      </c>
      <c r="Q124">
        <v>20</v>
      </c>
      <c r="R124">
        <v>19</v>
      </c>
      <c r="S124">
        <v>1.5761663916289399</v>
      </c>
      <c r="T124">
        <v>2.0065873901789701</v>
      </c>
      <c r="U124">
        <v>1.12588809019432</v>
      </c>
      <c r="V124">
        <v>1.49002709791621</v>
      </c>
      <c r="W124">
        <v>182.061149578835</v>
      </c>
      <c r="X124">
        <v>183.473291962529</v>
      </c>
      <c r="Y124">
        <v>180.58385856363</v>
      </c>
      <c r="Z124">
        <v>181.77854034749399</v>
      </c>
      <c r="AA124">
        <v>0</v>
      </c>
      <c r="AB124">
        <v>1</v>
      </c>
      <c r="AC124">
        <v>0</v>
      </c>
      <c r="AD124">
        <v>0</v>
      </c>
      <c r="AE124">
        <v>39</v>
      </c>
    </row>
    <row r="125" spans="2:31" x14ac:dyDescent="0.3">
      <c r="B125" t="s">
        <v>39</v>
      </c>
      <c r="C125">
        <v>0.36603773584905702</v>
      </c>
      <c r="D125">
        <v>0.25622641509434002</v>
      </c>
      <c r="E125">
        <v>0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1</v>
      </c>
      <c r="M125">
        <v>0.44450000000000001</v>
      </c>
      <c r="N125">
        <v>0</v>
      </c>
      <c r="O125">
        <v>27</v>
      </c>
      <c r="P125">
        <v>30</v>
      </c>
      <c r="Q125">
        <v>23</v>
      </c>
      <c r="R125">
        <v>20</v>
      </c>
      <c r="S125">
        <v>2.0654862406037502</v>
      </c>
      <c r="T125">
        <v>1.5761663916289399</v>
      </c>
      <c r="U125">
        <v>1.68651381973003</v>
      </c>
      <c r="V125">
        <v>1.12588809019432</v>
      </c>
      <c r="W125">
        <v>183.66652966077299</v>
      </c>
      <c r="X125">
        <v>182.061149578835</v>
      </c>
      <c r="Y125">
        <v>182.42318182326099</v>
      </c>
      <c r="Z125">
        <v>180.58385856363</v>
      </c>
      <c r="AA125">
        <v>0</v>
      </c>
      <c r="AB125">
        <v>1</v>
      </c>
      <c r="AC125">
        <v>0</v>
      </c>
      <c r="AD125">
        <v>0</v>
      </c>
      <c r="AE125">
        <v>6</v>
      </c>
    </row>
    <row r="126" spans="2:31" x14ac:dyDescent="0.3">
      <c r="B126" t="s">
        <v>40</v>
      </c>
      <c r="C126">
        <v>8.9433962264150901E-2</v>
      </c>
      <c r="D126">
        <v>0.36603773584905702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0.49</v>
      </c>
      <c r="N126">
        <v>0.44450000000000001</v>
      </c>
      <c r="O126">
        <v>34</v>
      </c>
      <c r="P126">
        <v>27</v>
      </c>
      <c r="Q126">
        <v>29</v>
      </c>
      <c r="R126">
        <v>23</v>
      </c>
      <c r="S126">
        <v>2.2309748361718098</v>
      </c>
      <c r="T126">
        <v>2.0654862406037502</v>
      </c>
      <c r="U126">
        <v>1.5422706910222601</v>
      </c>
      <c r="V126">
        <v>1.68651381973003</v>
      </c>
      <c r="W126">
        <v>184.20947124728301</v>
      </c>
      <c r="X126">
        <v>183.66652966077299</v>
      </c>
      <c r="Y126">
        <v>181.949943212015</v>
      </c>
      <c r="Z126">
        <v>182.42318182326099</v>
      </c>
      <c r="AA126">
        <v>0</v>
      </c>
      <c r="AB126">
        <v>1</v>
      </c>
      <c r="AC126">
        <v>0</v>
      </c>
      <c r="AD126">
        <v>0</v>
      </c>
      <c r="AE126">
        <v>12</v>
      </c>
    </row>
    <row r="127" spans="2:31" s="14" customFormat="1" x14ac:dyDescent="0.3">
      <c r="B127" s="14" t="s">
        <v>42</v>
      </c>
      <c r="C127" s="14">
        <v>5.7735849056603797E-2</v>
      </c>
      <c r="D127" s="14">
        <v>8.9433962264150901E-2</v>
      </c>
      <c r="E127" s="14">
        <v>0</v>
      </c>
      <c r="F127" s="14">
        <v>0</v>
      </c>
      <c r="G127" s="14">
        <v>1</v>
      </c>
      <c r="H127" s="14">
        <v>0</v>
      </c>
      <c r="I127" s="14">
        <v>0</v>
      </c>
      <c r="J127" s="14">
        <v>1</v>
      </c>
      <c r="K127" s="14">
        <v>0</v>
      </c>
      <c r="L127" s="14">
        <v>0</v>
      </c>
      <c r="M127" s="14">
        <v>0.15049999999999999</v>
      </c>
      <c r="N127" s="14">
        <v>0.49</v>
      </c>
      <c r="O127" s="14">
        <v>26</v>
      </c>
      <c r="P127" s="14">
        <v>34</v>
      </c>
      <c r="Q127" s="14">
        <v>26</v>
      </c>
      <c r="R127" s="14">
        <v>29</v>
      </c>
      <c r="S127" s="14">
        <v>2.4468295492590899</v>
      </c>
      <c r="T127" s="14">
        <v>2.2309748361718098</v>
      </c>
      <c r="U127" s="14">
        <v>2.4468295492590899</v>
      </c>
      <c r="V127" s="14">
        <v>1.5422706910222601</v>
      </c>
      <c r="W127" s="14">
        <v>184.917656001506</v>
      </c>
      <c r="X127" s="14">
        <v>184.20947124728301</v>
      </c>
      <c r="Y127" s="14">
        <v>184.917656001506</v>
      </c>
      <c r="Z127" s="14">
        <v>181.949943212015</v>
      </c>
      <c r="AA127" s="14">
        <v>0</v>
      </c>
      <c r="AB127" s="14">
        <v>1</v>
      </c>
      <c r="AC127" s="14">
        <v>0</v>
      </c>
      <c r="AD127" s="14">
        <v>0</v>
      </c>
      <c r="AE127" s="14">
        <v>1</v>
      </c>
    </row>
    <row r="128" spans="2:31" x14ac:dyDescent="0.3">
      <c r="B128" t="s">
        <v>43</v>
      </c>
      <c r="C128">
        <v>6.2641509433962295E-2</v>
      </c>
      <c r="D128">
        <v>5.7735849056603797E-2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0.15049999999999999</v>
      </c>
      <c r="O128">
        <v>34</v>
      </c>
      <c r="P128">
        <v>26</v>
      </c>
      <c r="Q128">
        <v>22</v>
      </c>
      <c r="R128">
        <v>26</v>
      </c>
      <c r="S128">
        <v>2.4697822792206998</v>
      </c>
      <c r="T128">
        <v>2.4468295492590899</v>
      </c>
      <c r="U128">
        <v>2.2950728559031801</v>
      </c>
      <c r="V128">
        <v>2.4468295492590899</v>
      </c>
      <c r="W128">
        <v>184.99296023366401</v>
      </c>
      <c r="X128">
        <v>184.917656001506</v>
      </c>
      <c r="Y128">
        <v>184.41976658760899</v>
      </c>
      <c r="Z128">
        <v>184.917656001506</v>
      </c>
      <c r="AA128">
        <v>0</v>
      </c>
      <c r="AB128">
        <v>1</v>
      </c>
      <c r="AC128">
        <v>0</v>
      </c>
      <c r="AD128">
        <v>0</v>
      </c>
      <c r="AE128">
        <v>19</v>
      </c>
    </row>
    <row r="129" spans="2:31" x14ac:dyDescent="0.3">
      <c r="B129" t="s">
        <v>44</v>
      </c>
      <c r="C129">
        <v>0.13018867924528299</v>
      </c>
      <c r="D129">
        <v>6.2641509433962295E-2</v>
      </c>
      <c r="E129">
        <v>0</v>
      </c>
      <c r="F129">
        <v>0</v>
      </c>
      <c r="G129">
        <v>0</v>
      </c>
      <c r="H129">
        <v>1</v>
      </c>
      <c r="I129">
        <v>0</v>
      </c>
      <c r="J129">
        <v>1</v>
      </c>
      <c r="K129">
        <v>0</v>
      </c>
      <c r="L129">
        <v>0</v>
      </c>
      <c r="M129">
        <v>3.5000000000000003E-2</v>
      </c>
      <c r="N129">
        <v>0</v>
      </c>
      <c r="O129">
        <v>27</v>
      </c>
      <c r="P129">
        <v>34</v>
      </c>
      <c r="Q129">
        <v>21</v>
      </c>
      <c r="R129">
        <v>22</v>
      </c>
      <c r="S129">
        <v>2.4399421136514601</v>
      </c>
      <c r="T129">
        <v>2.4697822792206998</v>
      </c>
      <c r="U129">
        <v>2.0424757477706601</v>
      </c>
      <c r="V129">
        <v>2.2950728559031801</v>
      </c>
      <c r="W129">
        <v>184.89505942798999</v>
      </c>
      <c r="X129">
        <v>184.99296023366401</v>
      </c>
      <c r="Y129">
        <v>183.591035917883</v>
      </c>
      <c r="Z129">
        <v>184.41976658760899</v>
      </c>
      <c r="AA129">
        <v>0</v>
      </c>
      <c r="AB129">
        <v>1</v>
      </c>
      <c r="AC129">
        <v>0</v>
      </c>
      <c r="AD129">
        <v>0</v>
      </c>
      <c r="AE129">
        <v>21</v>
      </c>
    </row>
    <row r="130" spans="2:31" x14ac:dyDescent="0.3">
      <c r="B130" t="s">
        <v>45</v>
      </c>
      <c r="C130">
        <v>0.25622641509434002</v>
      </c>
      <c r="D130">
        <v>0.13018867924528299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0</v>
      </c>
      <c r="K130">
        <v>1</v>
      </c>
      <c r="L130">
        <v>0</v>
      </c>
      <c r="M130">
        <v>0</v>
      </c>
      <c r="N130">
        <v>3.5000000000000003E-2</v>
      </c>
      <c r="O130">
        <v>29</v>
      </c>
      <c r="P130">
        <v>27</v>
      </c>
      <c r="Q130">
        <v>16</v>
      </c>
      <c r="R130">
        <v>21</v>
      </c>
      <c r="S130">
        <v>1.53116434764258</v>
      </c>
      <c r="T130">
        <v>2.4399421136514601</v>
      </c>
      <c r="U130">
        <v>1.3688718886826401</v>
      </c>
      <c r="V130">
        <v>2.0424757477706601</v>
      </c>
      <c r="W130">
        <v>181.913505077568</v>
      </c>
      <c r="X130">
        <v>184.89505942798999</v>
      </c>
      <c r="Y130">
        <v>181.38104950355199</v>
      </c>
      <c r="Z130">
        <v>183.591035917883</v>
      </c>
      <c r="AA130">
        <v>0</v>
      </c>
      <c r="AB130">
        <v>1</v>
      </c>
      <c r="AC130">
        <v>0</v>
      </c>
      <c r="AD130">
        <v>0</v>
      </c>
      <c r="AE130">
        <v>36</v>
      </c>
    </row>
    <row r="131" spans="2:31" x14ac:dyDescent="0.3">
      <c r="B131" t="s">
        <v>46</v>
      </c>
      <c r="C131">
        <v>0.36603773584905702</v>
      </c>
      <c r="D131">
        <v>0.25622641509434002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1</v>
      </c>
      <c r="M131">
        <v>1.351</v>
      </c>
      <c r="N131">
        <v>0</v>
      </c>
      <c r="O131">
        <v>16</v>
      </c>
      <c r="P131">
        <v>29</v>
      </c>
      <c r="Q131">
        <v>14</v>
      </c>
      <c r="R131">
        <v>16</v>
      </c>
      <c r="S131">
        <v>1.60148084240161</v>
      </c>
      <c r="T131">
        <v>1.53116434764258</v>
      </c>
      <c r="U131">
        <v>1.25635487279335</v>
      </c>
      <c r="V131">
        <v>1.3688718886826401</v>
      </c>
      <c r="W131">
        <v>182.14420223885</v>
      </c>
      <c r="X131">
        <v>181.913505077568</v>
      </c>
      <c r="Y131">
        <v>181.011899188955</v>
      </c>
      <c r="Z131">
        <v>181.38104950355199</v>
      </c>
      <c r="AA131">
        <v>0</v>
      </c>
      <c r="AB131">
        <v>1</v>
      </c>
      <c r="AC131">
        <v>0</v>
      </c>
      <c r="AD131">
        <v>0</v>
      </c>
      <c r="AE131">
        <v>14</v>
      </c>
    </row>
    <row r="132" spans="2:31" x14ac:dyDescent="0.3">
      <c r="B132" t="s">
        <v>47</v>
      </c>
      <c r="C132">
        <v>8.9433962264150901E-2</v>
      </c>
      <c r="D132">
        <v>0.36603773584905702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0.17849999999999999</v>
      </c>
      <c r="N132">
        <v>1.351</v>
      </c>
      <c r="O132">
        <v>26</v>
      </c>
      <c r="P132">
        <v>16</v>
      </c>
      <c r="Q132">
        <v>25</v>
      </c>
      <c r="R132">
        <v>14</v>
      </c>
      <c r="S132">
        <v>2.4198821666573598</v>
      </c>
      <c r="T132">
        <v>1.60148084240161</v>
      </c>
      <c r="U132">
        <v>2.3838481745731102</v>
      </c>
      <c r="V132">
        <v>1.25635487279335</v>
      </c>
      <c r="W132">
        <v>184.82924595360001</v>
      </c>
      <c r="X132">
        <v>182.14420223885</v>
      </c>
      <c r="Y132">
        <v>184.71102419479399</v>
      </c>
      <c r="Z132">
        <v>181.011899188955</v>
      </c>
      <c r="AA132">
        <v>0</v>
      </c>
      <c r="AB132">
        <v>1</v>
      </c>
      <c r="AC132">
        <v>0</v>
      </c>
      <c r="AD132">
        <v>0</v>
      </c>
      <c r="AE132">
        <v>2</v>
      </c>
    </row>
    <row r="133" spans="2:31" x14ac:dyDescent="0.3">
      <c r="B133" t="s">
        <v>48</v>
      </c>
      <c r="C133">
        <v>3.77358490566038E-2</v>
      </c>
      <c r="D133">
        <v>8.9433962264150901E-2</v>
      </c>
      <c r="E133">
        <v>0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0.17849999999999999</v>
      </c>
      <c r="O133">
        <v>31</v>
      </c>
      <c r="P133">
        <v>26</v>
      </c>
      <c r="Q133">
        <v>26</v>
      </c>
      <c r="R133">
        <v>25</v>
      </c>
      <c r="S133">
        <v>2.24871576007784</v>
      </c>
      <c r="T133">
        <v>2.4198821666573598</v>
      </c>
      <c r="U133">
        <v>2.1674122806976999</v>
      </c>
      <c r="V133">
        <v>2.3838481745731102</v>
      </c>
      <c r="W133">
        <v>184.26767637820799</v>
      </c>
      <c r="X133">
        <v>184.82924595360001</v>
      </c>
      <c r="Y133">
        <v>184.000932679454</v>
      </c>
      <c r="Z133">
        <v>184.71102419479399</v>
      </c>
      <c r="AA133">
        <v>0</v>
      </c>
      <c r="AB133">
        <v>1</v>
      </c>
      <c r="AC133">
        <v>0</v>
      </c>
      <c r="AD133">
        <v>0</v>
      </c>
      <c r="AE133">
        <v>4</v>
      </c>
    </row>
    <row r="134" spans="2:31" s="14" customFormat="1" x14ac:dyDescent="0.3">
      <c r="B134" s="14" t="s">
        <v>50</v>
      </c>
      <c r="C134" s="14">
        <v>6.2641509433962295E-2</v>
      </c>
      <c r="D134" s="14">
        <v>3.77358490566038E-2</v>
      </c>
      <c r="E134" s="14">
        <v>0</v>
      </c>
      <c r="F134" s="14">
        <v>0</v>
      </c>
      <c r="G134" s="14">
        <v>1</v>
      </c>
      <c r="H134" s="14">
        <v>0</v>
      </c>
      <c r="I134" s="14">
        <v>0</v>
      </c>
      <c r="J134" s="14">
        <v>0</v>
      </c>
      <c r="K134" s="14">
        <v>1</v>
      </c>
      <c r="L134" s="14">
        <v>0</v>
      </c>
      <c r="M134" s="14">
        <v>0.38150000000000001</v>
      </c>
      <c r="N134" s="14">
        <v>0</v>
      </c>
      <c r="O134" s="14">
        <v>31</v>
      </c>
      <c r="P134" s="14">
        <v>31</v>
      </c>
      <c r="Q134" s="14">
        <v>23</v>
      </c>
      <c r="R134" s="14">
        <v>26</v>
      </c>
      <c r="S134" s="14">
        <v>2.4257340445760698</v>
      </c>
      <c r="T134" s="14">
        <v>2.24871576007784</v>
      </c>
      <c r="U134" s="14">
        <v>2.1918984470376399</v>
      </c>
      <c r="V134" s="14">
        <v>2.1674122806976999</v>
      </c>
      <c r="W134" s="14">
        <v>184.84844502813701</v>
      </c>
      <c r="X134" s="14">
        <v>184.26767637820799</v>
      </c>
      <c r="Y134" s="14">
        <v>184.081267870858</v>
      </c>
      <c r="Z134" s="14">
        <v>184.000932679454</v>
      </c>
      <c r="AA134" s="14">
        <v>0</v>
      </c>
      <c r="AB134" s="14">
        <v>1</v>
      </c>
      <c r="AC134" s="14">
        <v>0</v>
      </c>
      <c r="AD134" s="14">
        <v>0</v>
      </c>
      <c r="AE134" s="14">
        <v>13</v>
      </c>
    </row>
    <row r="135" spans="2:31" x14ac:dyDescent="0.3">
      <c r="B135" t="s">
        <v>51</v>
      </c>
      <c r="C135">
        <v>0.13018867924528299</v>
      </c>
      <c r="D135">
        <v>6.2641509433962295E-2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0.38150000000000001</v>
      </c>
      <c r="O135">
        <v>29</v>
      </c>
      <c r="P135">
        <v>31</v>
      </c>
      <c r="Q135">
        <v>22</v>
      </c>
      <c r="R135">
        <v>23</v>
      </c>
      <c r="S135">
        <v>2.3165954046959798</v>
      </c>
      <c r="T135">
        <v>2.4257340445760698</v>
      </c>
      <c r="U135">
        <v>2.0034699206388402</v>
      </c>
      <c r="V135">
        <v>2.1918984470376399</v>
      </c>
      <c r="W135">
        <v>184.49037862433099</v>
      </c>
      <c r="X135">
        <v>184.84844502813701</v>
      </c>
      <c r="Y135">
        <v>183.463064044091</v>
      </c>
      <c r="Z135">
        <v>184.081267870858</v>
      </c>
      <c r="AA135">
        <v>0</v>
      </c>
      <c r="AB135">
        <v>1</v>
      </c>
      <c r="AC135">
        <v>0</v>
      </c>
      <c r="AD135">
        <v>0</v>
      </c>
      <c r="AE135">
        <v>46</v>
      </c>
    </row>
    <row r="136" spans="2:31" x14ac:dyDescent="0.3">
      <c r="B136" t="s">
        <v>52</v>
      </c>
      <c r="C136">
        <v>0.25622641509434002</v>
      </c>
      <c r="D136">
        <v>0.13018867924528299</v>
      </c>
      <c r="E136">
        <v>1</v>
      </c>
      <c r="F136">
        <v>0</v>
      </c>
      <c r="G136">
        <v>0</v>
      </c>
      <c r="H136">
        <v>1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22</v>
      </c>
      <c r="P136">
        <v>29</v>
      </c>
      <c r="Q136">
        <v>18</v>
      </c>
      <c r="R136">
        <v>22</v>
      </c>
      <c r="S136">
        <v>2.0928678593900298</v>
      </c>
      <c r="T136">
        <v>2.3165954046959798</v>
      </c>
      <c r="U136">
        <v>1.7330159103526499</v>
      </c>
      <c r="V136">
        <v>2.0034699206388402</v>
      </c>
      <c r="W136">
        <v>183.75636436807801</v>
      </c>
      <c r="X136">
        <v>184.49037862433099</v>
      </c>
      <c r="Y136">
        <v>182.57574773737699</v>
      </c>
      <c r="Z136">
        <v>183.463064044091</v>
      </c>
      <c r="AA136">
        <v>0</v>
      </c>
      <c r="AB136">
        <v>1</v>
      </c>
      <c r="AC136">
        <v>0</v>
      </c>
      <c r="AD136">
        <v>0</v>
      </c>
      <c r="AE136">
        <v>11</v>
      </c>
    </row>
    <row r="137" spans="2:31" x14ac:dyDescent="0.3">
      <c r="B137" t="s">
        <v>53</v>
      </c>
      <c r="C137">
        <v>0.36603773584905702</v>
      </c>
      <c r="D137">
        <v>0.25622641509434002</v>
      </c>
      <c r="E137">
        <v>0</v>
      </c>
      <c r="F137">
        <v>1</v>
      </c>
      <c r="G137">
        <v>1</v>
      </c>
      <c r="H137">
        <v>0</v>
      </c>
      <c r="I137">
        <v>0</v>
      </c>
      <c r="J137">
        <v>0</v>
      </c>
      <c r="K137">
        <v>1</v>
      </c>
      <c r="L137">
        <v>0</v>
      </c>
      <c r="M137">
        <v>0.13300000000000001</v>
      </c>
      <c r="N137">
        <v>0</v>
      </c>
      <c r="O137">
        <v>32</v>
      </c>
      <c r="P137">
        <v>22</v>
      </c>
      <c r="Q137">
        <v>22</v>
      </c>
      <c r="R137">
        <v>18</v>
      </c>
      <c r="S137">
        <v>2.04615959853292</v>
      </c>
      <c r="T137">
        <v>2.0928678593900298</v>
      </c>
      <c r="U137">
        <v>1.5841169458359501</v>
      </c>
      <c r="V137">
        <v>1.7330159103526499</v>
      </c>
      <c r="W137">
        <v>183.60312204243101</v>
      </c>
      <c r="X137">
        <v>183.75636436807801</v>
      </c>
      <c r="Y137">
        <v>182.08723407426501</v>
      </c>
      <c r="Z137">
        <v>182.57574773737699</v>
      </c>
      <c r="AA137">
        <v>0</v>
      </c>
      <c r="AB137">
        <v>1</v>
      </c>
      <c r="AC137">
        <v>0</v>
      </c>
      <c r="AD137">
        <v>0</v>
      </c>
      <c r="AE137">
        <v>107</v>
      </c>
    </row>
    <row r="138" spans="2:31" x14ac:dyDescent="0.3">
      <c r="B138" t="s">
        <v>54</v>
      </c>
      <c r="C138">
        <v>8.9433962264150901E-2</v>
      </c>
      <c r="D138">
        <v>0.36603773584905702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0.13300000000000001</v>
      </c>
      <c r="O138">
        <v>35</v>
      </c>
      <c r="P138">
        <v>32</v>
      </c>
      <c r="Q138">
        <v>25</v>
      </c>
      <c r="R138">
        <v>22</v>
      </c>
      <c r="S138">
        <v>2.3921127426173801</v>
      </c>
      <c r="T138">
        <v>2.04615959853292</v>
      </c>
      <c r="U138">
        <v>1.61474781560212</v>
      </c>
      <c r="V138">
        <v>1.5841169458359501</v>
      </c>
      <c r="W138">
        <v>184.73813891934799</v>
      </c>
      <c r="X138">
        <v>183.60312204243101</v>
      </c>
      <c r="Y138">
        <v>182.187729053813</v>
      </c>
      <c r="Z138">
        <v>182.08723407426501</v>
      </c>
      <c r="AA138">
        <v>0</v>
      </c>
      <c r="AB138">
        <v>1</v>
      </c>
      <c r="AC138">
        <v>0</v>
      </c>
      <c r="AD138">
        <v>0</v>
      </c>
      <c r="AE138">
        <v>22</v>
      </c>
    </row>
    <row r="139" spans="2:31" x14ac:dyDescent="0.3">
      <c r="B139" t="s">
        <v>55</v>
      </c>
      <c r="C139">
        <v>3.77358490566038E-2</v>
      </c>
      <c r="D139">
        <v>8.9433962264150901E-2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32</v>
      </c>
      <c r="P139">
        <v>35</v>
      </c>
      <c r="Q139">
        <v>22</v>
      </c>
      <c r="R139">
        <v>25</v>
      </c>
      <c r="S139">
        <v>2.0725931102855601</v>
      </c>
      <c r="T139">
        <v>2.3921127426173801</v>
      </c>
      <c r="U139">
        <v>1.3859361394957199</v>
      </c>
      <c r="V139">
        <v>1.61474781560212</v>
      </c>
      <c r="W139">
        <v>183.689846162354</v>
      </c>
      <c r="X139">
        <v>184.73813891934799</v>
      </c>
      <c r="Y139">
        <v>181.437034578398</v>
      </c>
      <c r="Z139">
        <v>182.187729053813</v>
      </c>
      <c r="AA139">
        <v>0</v>
      </c>
      <c r="AB139">
        <v>1</v>
      </c>
      <c r="AC139">
        <v>0</v>
      </c>
      <c r="AD139">
        <v>0</v>
      </c>
      <c r="AE139">
        <v>6</v>
      </c>
    </row>
    <row r="140" spans="2:31" x14ac:dyDescent="0.3">
      <c r="B140" t="s">
        <v>56</v>
      </c>
      <c r="C140">
        <v>5.7735849056603797E-2</v>
      </c>
      <c r="D140">
        <v>3.77358490566038E-2</v>
      </c>
      <c r="E140">
        <v>0</v>
      </c>
      <c r="F140">
        <v>0</v>
      </c>
      <c r="G140">
        <v>0</v>
      </c>
      <c r="H140">
        <v>0</v>
      </c>
      <c r="I140">
        <v>1</v>
      </c>
      <c r="J140">
        <v>1</v>
      </c>
      <c r="K140">
        <v>0</v>
      </c>
      <c r="L140">
        <v>0</v>
      </c>
      <c r="M140">
        <v>0.85399999999999998</v>
      </c>
      <c r="N140">
        <v>0</v>
      </c>
      <c r="O140">
        <v>29</v>
      </c>
      <c r="P140">
        <v>32</v>
      </c>
      <c r="Q140">
        <v>21</v>
      </c>
      <c r="R140">
        <v>22</v>
      </c>
      <c r="S140">
        <v>1.8408368964894899</v>
      </c>
      <c r="T140">
        <v>2.0725931102855601</v>
      </c>
      <c r="U140">
        <v>1.23506407276555</v>
      </c>
      <c r="V140">
        <v>1.3859361394957199</v>
      </c>
      <c r="W140">
        <v>182.92949113021501</v>
      </c>
      <c r="X140">
        <v>183.689846162354</v>
      </c>
      <c r="Y140">
        <v>180.94204748282701</v>
      </c>
      <c r="Z140">
        <v>181.437034578398</v>
      </c>
      <c r="AA140">
        <v>0</v>
      </c>
      <c r="AB140">
        <v>1</v>
      </c>
      <c r="AC140">
        <v>0</v>
      </c>
      <c r="AD140">
        <v>0</v>
      </c>
      <c r="AE140">
        <v>4</v>
      </c>
    </row>
    <row r="141" spans="2:31" x14ac:dyDescent="0.3">
      <c r="B141" t="s">
        <v>57</v>
      </c>
      <c r="C141">
        <v>6.2641509433962295E-2</v>
      </c>
      <c r="D141">
        <v>5.7735849056603797E-2</v>
      </c>
      <c r="E141">
        <v>0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0.85399999999999998</v>
      </c>
      <c r="O141">
        <v>31</v>
      </c>
      <c r="P141">
        <v>29</v>
      </c>
      <c r="Q141">
        <v>20</v>
      </c>
      <c r="R141">
        <v>21</v>
      </c>
      <c r="S141">
        <v>1.5516246145810499</v>
      </c>
      <c r="T141">
        <v>1.8408368964894899</v>
      </c>
      <c r="U141">
        <v>1.4230120162375799</v>
      </c>
      <c r="V141">
        <v>1.23506407276555</v>
      </c>
      <c r="W141">
        <v>181.980631937602</v>
      </c>
      <c r="X141">
        <v>182.92949113021501</v>
      </c>
      <c r="Y141">
        <v>181.558674593955</v>
      </c>
      <c r="Z141">
        <v>180.94204748282701</v>
      </c>
      <c r="AA141">
        <v>0</v>
      </c>
      <c r="AB141">
        <v>1</v>
      </c>
      <c r="AC141">
        <v>0</v>
      </c>
      <c r="AD141">
        <v>0</v>
      </c>
      <c r="AE141">
        <v>18</v>
      </c>
    </row>
    <row r="142" spans="2:31" x14ac:dyDescent="0.3">
      <c r="B142" t="s">
        <v>58</v>
      </c>
      <c r="C142">
        <v>0.13018867924528299</v>
      </c>
      <c r="D142">
        <v>6.2641509433962295E-2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1.5645</v>
      </c>
      <c r="N142">
        <v>0</v>
      </c>
      <c r="O142">
        <v>30</v>
      </c>
      <c r="P142">
        <v>31</v>
      </c>
      <c r="Q142">
        <v>18</v>
      </c>
      <c r="R142">
        <v>20</v>
      </c>
      <c r="S142">
        <v>1.6603481257286801</v>
      </c>
      <c r="T142">
        <v>1.5516246145810499</v>
      </c>
      <c r="U142">
        <v>1.1961454700516101</v>
      </c>
      <c r="V142">
        <v>1.4230120162375799</v>
      </c>
      <c r="W142">
        <v>182.33733637050099</v>
      </c>
      <c r="X142">
        <v>181.980631937602</v>
      </c>
      <c r="Y142">
        <v>180.81436177838501</v>
      </c>
      <c r="Z142">
        <v>181.558674593955</v>
      </c>
      <c r="AA142">
        <v>0</v>
      </c>
      <c r="AB142">
        <v>1</v>
      </c>
      <c r="AC142">
        <v>0</v>
      </c>
      <c r="AD142">
        <v>0</v>
      </c>
      <c r="AE142">
        <v>37</v>
      </c>
    </row>
    <row r="143" spans="2:31" x14ac:dyDescent="0.3">
      <c r="B143" t="s">
        <v>59</v>
      </c>
      <c r="C143">
        <v>0.25622641509434002</v>
      </c>
      <c r="D143">
        <v>0.13018867924528299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1.5645</v>
      </c>
      <c r="O143">
        <v>36</v>
      </c>
      <c r="P143">
        <v>30</v>
      </c>
      <c r="Q143">
        <v>17</v>
      </c>
      <c r="R143">
        <v>18</v>
      </c>
      <c r="S143">
        <v>1.42657703054014</v>
      </c>
      <c r="T143">
        <v>1.6603481257286801</v>
      </c>
      <c r="U143">
        <v>0.76068984616123703</v>
      </c>
      <c r="V143">
        <v>1.1961454700516101</v>
      </c>
      <c r="W143">
        <v>181.570370835105</v>
      </c>
      <c r="X143">
        <v>182.33733637050099</v>
      </c>
      <c r="Y143">
        <v>179.385701595017</v>
      </c>
      <c r="Z143">
        <v>180.81436177838501</v>
      </c>
      <c r="AA143">
        <v>0</v>
      </c>
      <c r="AB143">
        <v>1</v>
      </c>
      <c r="AC143">
        <v>0</v>
      </c>
      <c r="AD143">
        <v>0</v>
      </c>
      <c r="AE143">
        <v>62</v>
      </c>
    </row>
    <row r="144" spans="2:31" x14ac:dyDescent="0.3">
      <c r="B144" t="s">
        <v>60</v>
      </c>
      <c r="C144">
        <v>0.36603773584905702</v>
      </c>
      <c r="D144">
        <v>0.25622641509434002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34</v>
      </c>
      <c r="P144">
        <v>36</v>
      </c>
      <c r="Q144">
        <v>25</v>
      </c>
      <c r="R144">
        <v>17</v>
      </c>
      <c r="S144">
        <v>1.90852537682927</v>
      </c>
      <c r="T144">
        <v>1.42657703054014</v>
      </c>
      <c r="U144">
        <v>1.30968579142554</v>
      </c>
      <c r="V144">
        <v>0.76068984616123703</v>
      </c>
      <c r="W144">
        <v>183.15156619694599</v>
      </c>
      <c r="X144">
        <v>181.570370835105</v>
      </c>
      <c r="Y144">
        <v>181.186869394441</v>
      </c>
      <c r="Z144">
        <v>179.385701595017</v>
      </c>
      <c r="AA144">
        <v>0</v>
      </c>
      <c r="AB144">
        <v>1</v>
      </c>
      <c r="AC144">
        <v>0</v>
      </c>
      <c r="AD144">
        <v>0</v>
      </c>
      <c r="AE144">
        <v>93</v>
      </c>
    </row>
    <row r="145" spans="2:31" x14ac:dyDescent="0.3">
      <c r="B145" t="s">
        <v>61</v>
      </c>
      <c r="C145">
        <v>8.9433962264150901E-2</v>
      </c>
      <c r="D145">
        <v>0.36603773584905702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36</v>
      </c>
      <c r="P145">
        <v>34</v>
      </c>
      <c r="Q145">
        <v>29</v>
      </c>
      <c r="R145">
        <v>25</v>
      </c>
      <c r="S145">
        <v>1.7069819973946301</v>
      </c>
      <c r="T145">
        <v>1.90852537682927</v>
      </c>
      <c r="U145">
        <v>1.2154496858302499</v>
      </c>
      <c r="V145">
        <v>1.30968579142554</v>
      </c>
      <c r="W145">
        <v>182.49033463712101</v>
      </c>
      <c r="X145">
        <v>183.15156619694599</v>
      </c>
      <c r="Y145">
        <v>180.87769581965301</v>
      </c>
      <c r="Z145">
        <v>181.186869394441</v>
      </c>
      <c r="AA145">
        <v>0</v>
      </c>
      <c r="AB145">
        <v>1</v>
      </c>
      <c r="AC145">
        <v>0</v>
      </c>
      <c r="AD145">
        <v>0</v>
      </c>
      <c r="AE145">
        <v>9</v>
      </c>
    </row>
    <row r="146" spans="2:31" x14ac:dyDescent="0.3">
      <c r="B146" t="s">
        <v>62</v>
      </c>
      <c r="C146">
        <v>3.77358490566038E-2</v>
      </c>
      <c r="D146">
        <v>8.9433962264150901E-2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7.0000000000000007E-2</v>
      </c>
      <c r="N146">
        <v>0</v>
      </c>
      <c r="O146">
        <v>30</v>
      </c>
      <c r="P146">
        <v>36</v>
      </c>
      <c r="Q146">
        <v>30</v>
      </c>
      <c r="R146">
        <v>29</v>
      </c>
      <c r="S146">
        <v>1.68100849886475</v>
      </c>
      <c r="T146">
        <v>1.7069819973946301</v>
      </c>
      <c r="U146">
        <v>1.68100849886475</v>
      </c>
      <c r="V146">
        <v>1.2154496858302499</v>
      </c>
      <c r="W146">
        <v>182.405119746932</v>
      </c>
      <c r="X146">
        <v>182.49033463712101</v>
      </c>
      <c r="Y146">
        <v>182.405119746932</v>
      </c>
      <c r="Z146">
        <v>180.87769581965301</v>
      </c>
      <c r="AA146">
        <v>0</v>
      </c>
      <c r="AB146">
        <v>1</v>
      </c>
      <c r="AC146">
        <v>0</v>
      </c>
      <c r="AD146">
        <v>0</v>
      </c>
      <c r="AE146">
        <v>1</v>
      </c>
    </row>
    <row r="147" spans="2:31" x14ac:dyDescent="0.3">
      <c r="B147" t="s">
        <v>63</v>
      </c>
      <c r="C147">
        <v>5.7735849056603797E-2</v>
      </c>
      <c r="D147">
        <v>3.77358490566038E-2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0.42699999999999999</v>
      </c>
      <c r="N147">
        <v>7.0000000000000007E-2</v>
      </c>
      <c r="O147">
        <v>28</v>
      </c>
      <c r="P147">
        <v>30</v>
      </c>
      <c r="Q147">
        <v>28</v>
      </c>
      <c r="R147">
        <v>30</v>
      </c>
      <c r="S147">
        <v>1.8204486836993701</v>
      </c>
      <c r="T147">
        <v>1.68100849886475</v>
      </c>
      <c r="U147">
        <v>1.73668346073543</v>
      </c>
      <c r="V147">
        <v>1.68100849886475</v>
      </c>
      <c r="W147">
        <v>182.86260066830499</v>
      </c>
      <c r="X147">
        <v>182.405119746932</v>
      </c>
      <c r="Y147">
        <v>182.58778038298999</v>
      </c>
      <c r="Z147">
        <v>182.405119746932</v>
      </c>
      <c r="AA147">
        <v>0</v>
      </c>
      <c r="AB147">
        <v>1</v>
      </c>
      <c r="AC147">
        <v>0</v>
      </c>
      <c r="AD147">
        <v>0</v>
      </c>
      <c r="AE147">
        <v>3</v>
      </c>
    </row>
    <row r="148" spans="2:31" x14ac:dyDescent="0.3">
      <c r="B148" t="s">
        <v>64</v>
      </c>
      <c r="C148">
        <v>6.2641509433962295E-2</v>
      </c>
      <c r="D148">
        <v>5.7735849056603797E-2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0.42699999999999999</v>
      </c>
      <c r="O148">
        <v>26</v>
      </c>
      <c r="P148">
        <v>28</v>
      </c>
      <c r="Q148">
        <v>20</v>
      </c>
      <c r="R148">
        <v>28</v>
      </c>
      <c r="S148">
        <v>1.29629681457192</v>
      </c>
      <c r="T148">
        <v>1.8204486836993701</v>
      </c>
      <c r="U148">
        <v>0.78728605184301004</v>
      </c>
      <c r="V148">
        <v>1.73668346073543</v>
      </c>
      <c r="W148">
        <v>181.142942305026</v>
      </c>
      <c r="X148">
        <v>182.86260066830499</v>
      </c>
      <c r="Y148">
        <v>179.47295948767399</v>
      </c>
      <c r="Z148">
        <v>182.58778038298999</v>
      </c>
      <c r="AA148">
        <v>0</v>
      </c>
      <c r="AB148">
        <v>1</v>
      </c>
      <c r="AC148">
        <v>0</v>
      </c>
      <c r="AD148">
        <v>0</v>
      </c>
      <c r="AE148">
        <v>13</v>
      </c>
    </row>
    <row r="149" spans="2:31" x14ac:dyDescent="0.3">
      <c r="B149" t="s">
        <v>65</v>
      </c>
      <c r="C149">
        <v>0.13018867924528299</v>
      </c>
      <c r="D149">
        <v>6.2641509433962295E-2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33</v>
      </c>
      <c r="P149">
        <v>26</v>
      </c>
      <c r="Q149">
        <v>19</v>
      </c>
      <c r="R149">
        <v>20</v>
      </c>
      <c r="S149">
        <v>1.63772443865734</v>
      </c>
      <c r="T149">
        <v>1.29629681457192</v>
      </c>
      <c r="U149">
        <v>1.0455657299715</v>
      </c>
      <c r="V149">
        <v>0.78728605184301004</v>
      </c>
      <c r="W149">
        <v>182.26311167538501</v>
      </c>
      <c r="X149">
        <v>181.142942305026</v>
      </c>
      <c r="Y149">
        <v>180.32033375974899</v>
      </c>
      <c r="Z149">
        <v>179.47295948767399</v>
      </c>
      <c r="AA149">
        <v>0</v>
      </c>
      <c r="AB149">
        <v>1</v>
      </c>
      <c r="AC149">
        <v>0</v>
      </c>
      <c r="AD149">
        <v>0</v>
      </c>
      <c r="AE149">
        <v>28</v>
      </c>
    </row>
    <row r="150" spans="2:31" x14ac:dyDescent="0.3">
      <c r="B150" t="s">
        <v>66</v>
      </c>
      <c r="C150">
        <v>0.25622641509434002</v>
      </c>
      <c r="D150">
        <v>0.13018867924528299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8.0500000000000002E-2</v>
      </c>
      <c r="N150">
        <v>0</v>
      </c>
      <c r="O150">
        <v>28</v>
      </c>
      <c r="P150">
        <v>33</v>
      </c>
      <c r="Q150">
        <v>19</v>
      </c>
      <c r="R150">
        <v>19</v>
      </c>
      <c r="S150">
        <v>1.56272541251061</v>
      </c>
      <c r="T150">
        <v>1.63772443865734</v>
      </c>
      <c r="U150">
        <v>1.2267946332428801</v>
      </c>
      <c r="V150">
        <v>1.0455657299715</v>
      </c>
      <c r="W150">
        <v>182.01705187831601</v>
      </c>
      <c r="X150">
        <v>182.26311167538501</v>
      </c>
      <c r="Y150">
        <v>180.914916775731</v>
      </c>
      <c r="Z150">
        <v>180.32033375974899</v>
      </c>
      <c r="AA150">
        <v>0</v>
      </c>
      <c r="AB150">
        <v>1</v>
      </c>
      <c r="AC150">
        <v>0</v>
      </c>
      <c r="AD150">
        <v>0</v>
      </c>
      <c r="AE150">
        <v>18</v>
      </c>
    </row>
    <row r="151" spans="2:31" x14ac:dyDescent="0.3">
      <c r="B151" t="s">
        <v>67</v>
      </c>
      <c r="C151">
        <v>0.36603773584905702</v>
      </c>
      <c r="D151">
        <v>0.25622641509434002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4.5499999999999999E-2</v>
      </c>
      <c r="N151">
        <v>8.0500000000000002E-2</v>
      </c>
      <c r="O151">
        <v>34</v>
      </c>
      <c r="P151">
        <v>28</v>
      </c>
      <c r="Q151">
        <v>23</v>
      </c>
      <c r="R151">
        <v>19</v>
      </c>
      <c r="S151">
        <v>1.8576784759824201</v>
      </c>
      <c r="T151">
        <v>1.56272541251061</v>
      </c>
      <c r="U151">
        <v>1.28508774114576</v>
      </c>
      <c r="V151">
        <v>1.2267946332428801</v>
      </c>
      <c r="W151">
        <v>182.98474565610999</v>
      </c>
      <c r="X151">
        <v>182.01705187831601</v>
      </c>
      <c r="Y151">
        <v>181.106167129743</v>
      </c>
      <c r="Z151">
        <v>180.914916775731</v>
      </c>
      <c r="AA151">
        <v>0</v>
      </c>
      <c r="AB151">
        <v>1</v>
      </c>
      <c r="AC151">
        <v>0</v>
      </c>
      <c r="AD151">
        <v>0</v>
      </c>
      <c r="AE151">
        <v>94</v>
      </c>
    </row>
    <row r="152" spans="2:31" x14ac:dyDescent="0.3">
      <c r="B152" t="s">
        <v>68</v>
      </c>
      <c r="C152">
        <v>8.9433962264150901E-2</v>
      </c>
      <c r="D152">
        <v>0.36603773584905702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9.8000000000000004E-2</v>
      </c>
      <c r="N152">
        <v>4.5499999999999999E-2</v>
      </c>
      <c r="O152">
        <v>36</v>
      </c>
      <c r="P152">
        <v>34</v>
      </c>
      <c r="Q152">
        <v>23</v>
      </c>
      <c r="R152">
        <v>23</v>
      </c>
      <c r="S152">
        <v>2.1479445682005101</v>
      </c>
      <c r="T152">
        <v>1.8576784759824201</v>
      </c>
      <c r="U152">
        <v>1.12206144366585</v>
      </c>
      <c r="V152">
        <v>1.28508774114576</v>
      </c>
      <c r="W152">
        <v>183.937062231629</v>
      </c>
      <c r="X152">
        <v>182.98474565610999</v>
      </c>
      <c r="Y152">
        <v>180.57130394903501</v>
      </c>
      <c r="Z152">
        <v>181.106167129743</v>
      </c>
      <c r="AA152">
        <v>0</v>
      </c>
      <c r="AB152">
        <v>1</v>
      </c>
      <c r="AC152">
        <v>0</v>
      </c>
      <c r="AD152">
        <v>0</v>
      </c>
      <c r="AE152">
        <v>19</v>
      </c>
    </row>
    <row r="153" spans="2:31" x14ac:dyDescent="0.3">
      <c r="B153" t="s">
        <v>69</v>
      </c>
      <c r="C153">
        <v>3.77358490566038E-2</v>
      </c>
      <c r="D153">
        <v>8.9433962264150901E-2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9.8000000000000004E-2</v>
      </c>
      <c r="O153">
        <v>34</v>
      </c>
      <c r="P153">
        <v>36</v>
      </c>
      <c r="Q153">
        <v>26</v>
      </c>
      <c r="R153">
        <v>23</v>
      </c>
      <c r="S153">
        <v>2.2220043662086901</v>
      </c>
      <c r="T153">
        <v>2.1479445682005101</v>
      </c>
      <c r="U153">
        <v>1.5506455279924301</v>
      </c>
      <c r="V153">
        <v>1.12206144366585</v>
      </c>
      <c r="W153">
        <v>184.18004057155099</v>
      </c>
      <c r="X153">
        <v>183.937062231629</v>
      </c>
      <c r="Y153">
        <v>181.97741971126101</v>
      </c>
      <c r="Z153">
        <v>180.57130394903501</v>
      </c>
      <c r="AA153">
        <v>0</v>
      </c>
      <c r="AB153">
        <v>1</v>
      </c>
      <c r="AC153">
        <v>0</v>
      </c>
      <c r="AD153">
        <v>0</v>
      </c>
      <c r="AE153">
        <v>18</v>
      </c>
    </row>
    <row r="154" spans="2:31" x14ac:dyDescent="0.3">
      <c r="B154" t="s">
        <v>70</v>
      </c>
      <c r="C154">
        <v>5.7735849056603797E-2</v>
      </c>
      <c r="D154">
        <v>3.77358490566038E-2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35</v>
      </c>
      <c r="P154">
        <v>34</v>
      </c>
      <c r="Q154">
        <v>23</v>
      </c>
      <c r="R154">
        <v>26</v>
      </c>
      <c r="S154">
        <v>1.7587244372295701</v>
      </c>
      <c r="T154">
        <v>2.2220043662086901</v>
      </c>
      <c r="U154">
        <v>1.4221883288543</v>
      </c>
      <c r="V154">
        <v>1.5506455279924301</v>
      </c>
      <c r="W154">
        <v>182.66009329799701</v>
      </c>
      <c r="X154">
        <v>184.18004057155099</v>
      </c>
      <c r="Y154">
        <v>181.55597220752699</v>
      </c>
      <c r="Z154">
        <v>181.97741971126101</v>
      </c>
      <c r="AA154">
        <v>0</v>
      </c>
      <c r="AB154">
        <v>1</v>
      </c>
      <c r="AC154">
        <v>0</v>
      </c>
      <c r="AD154">
        <v>0</v>
      </c>
      <c r="AE154">
        <v>23</v>
      </c>
    </row>
    <row r="155" spans="2:31" x14ac:dyDescent="0.3">
      <c r="B155" t="s">
        <v>71</v>
      </c>
      <c r="C155">
        <v>6.2641509433962295E-2</v>
      </c>
      <c r="D155">
        <v>5.7735849056603797E-2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34</v>
      </c>
      <c r="P155">
        <v>35</v>
      </c>
      <c r="Q155">
        <v>22</v>
      </c>
      <c r="R155">
        <v>23</v>
      </c>
      <c r="S155">
        <v>1.7587644858538301</v>
      </c>
      <c r="T155">
        <v>1.7587244372295701</v>
      </c>
      <c r="U155">
        <v>1.10074938903555</v>
      </c>
      <c r="V155">
        <v>1.4221883288543</v>
      </c>
      <c r="W155">
        <v>182.66022469112099</v>
      </c>
      <c r="X155">
        <v>182.66009329799701</v>
      </c>
      <c r="Y155">
        <v>180.501382509959</v>
      </c>
      <c r="Z155">
        <v>181.55597220752699</v>
      </c>
      <c r="AA155">
        <v>0</v>
      </c>
      <c r="AB155">
        <v>1</v>
      </c>
      <c r="AC155">
        <v>0</v>
      </c>
      <c r="AD155">
        <v>0</v>
      </c>
      <c r="AE155">
        <v>22</v>
      </c>
    </row>
    <row r="156" spans="2:31" x14ac:dyDescent="0.3">
      <c r="B156" t="s">
        <v>72</v>
      </c>
      <c r="C156">
        <v>0.13018867924528299</v>
      </c>
      <c r="D156">
        <v>6.2641509433962295E-2</v>
      </c>
      <c r="E156">
        <v>0</v>
      </c>
      <c r="F156">
        <v>0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31</v>
      </c>
      <c r="P156">
        <v>34</v>
      </c>
      <c r="Q156">
        <v>17</v>
      </c>
      <c r="R156">
        <v>22</v>
      </c>
      <c r="S156">
        <v>1.9095660897848401</v>
      </c>
      <c r="T156">
        <v>1.7587644858538301</v>
      </c>
      <c r="U156">
        <v>1.59039135376651</v>
      </c>
      <c r="V156">
        <v>1.10074938903555</v>
      </c>
      <c r="W156">
        <v>183.15498060953001</v>
      </c>
      <c r="X156">
        <v>182.66022469112099</v>
      </c>
      <c r="Y156">
        <v>182.10781940212101</v>
      </c>
      <c r="Z156">
        <v>180.501382509959</v>
      </c>
      <c r="AA156">
        <v>0</v>
      </c>
      <c r="AB156">
        <v>1</v>
      </c>
      <c r="AC156">
        <v>0</v>
      </c>
      <c r="AD156">
        <v>0</v>
      </c>
      <c r="AE156">
        <v>11</v>
      </c>
    </row>
    <row r="157" spans="2:31" x14ac:dyDescent="0.3">
      <c r="B157" t="s">
        <v>73</v>
      </c>
      <c r="C157">
        <v>0.25622641509434002</v>
      </c>
      <c r="D157">
        <v>0.13018867924528299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0</v>
      </c>
      <c r="O157">
        <v>34</v>
      </c>
      <c r="P157">
        <v>31</v>
      </c>
      <c r="Q157">
        <v>18</v>
      </c>
      <c r="R157">
        <v>17</v>
      </c>
      <c r="S157">
        <v>1.8762405967389599</v>
      </c>
      <c r="T157">
        <v>1.9095660897848401</v>
      </c>
      <c r="U157">
        <v>1.3399017136498399</v>
      </c>
      <c r="V157">
        <v>1.59039135376651</v>
      </c>
      <c r="W157">
        <v>183.04564500242401</v>
      </c>
      <c r="X157">
        <v>183.15498060953001</v>
      </c>
      <c r="Y157">
        <v>181.28600299753899</v>
      </c>
      <c r="Z157">
        <v>182.10781940212101</v>
      </c>
      <c r="AA157">
        <v>0</v>
      </c>
      <c r="AB157">
        <v>1</v>
      </c>
      <c r="AC157">
        <v>0</v>
      </c>
      <c r="AD157">
        <v>0</v>
      </c>
      <c r="AE157">
        <v>56</v>
      </c>
    </row>
    <row r="158" spans="2:31" x14ac:dyDescent="0.3">
      <c r="B158" t="s">
        <v>74</v>
      </c>
      <c r="C158">
        <v>0.36603773584905702</v>
      </c>
      <c r="D158">
        <v>0.25622641509434002</v>
      </c>
      <c r="E158">
        <v>0</v>
      </c>
      <c r="F158">
        <v>0</v>
      </c>
      <c r="G158">
        <v>0</v>
      </c>
      <c r="H158">
        <v>0</v>
      </c>
      <c r="I158">
        <v>1</v>
      </c>
      <c r="J158">
        <v>1</v>
      </c>
      <c r="K158">
        <v>0</v>
      </c>
      <c r="L158">
        <v>0</v>
      </c>
      <c r="M158">
        <v>1.0500000000000001E-2</v>
      </c>
      <c r="N158">
        <v>0</v>
      </c>
      <c r="O158">
        <v>31</v>
      </c>
      <c r="P158">
        <v>34</v>
      </c>
      <c r="Q158">
        <v>20</v>
      </c>
      <c r="R158">
        <v>18</v>
      </c>
      <c r="S158">
        <v>1.69962375251503</v>
      </c>
      <c r="T158">
        <v>1.8762405967389599</v>
      </c>
      <c r="U158">
        <v>0.86009889828019204</v>
      </c>
      <c r="V158">
        <v>1.3399017136498399</v>
      </c>
      <c r="W158">
        <v>182.46619341376299</v>
      </c>
      <c r="X158">
        <v>183.04564500242401</v>
      </c>
      <c r="Y158">
        <v>179.71184677913399</v>
      </c>
      <c r="Z158">
        <v>181.28600299753899</v>
      </c>
      <c r="AA158">
        <v>0</v>
      </c>
      <c r="AB158">
        <v>1</v>
      </c>
      <c r="AC158">
        <v>0</v>
      </c>
      <c r="AD158">
        <v>0</v>
      </c>
      <c r="AE158">
        <v>42</v>
      </c>
    </row>
    <row r="159" spans="2:31" x14ac:dyDescent="0.3">
      <c r="B159" t="s">
        <v>75</v>
      </c>
      <c r="C159">
        <v>8.9433962264150901E-2</v>
      </c>
      <c r="D159">
        <v>0.36603773584905702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1.0500000000000001E-2</v>
      </c>
      <c r="N159">
        <v>1.0500000000000001E-2</v>
      </c>
      <c r="O159">
        <v>31</v>
      </c>
      <c r="P159">
        <v>31</v>
      </c>
      <c r="Q159">
        <v>25</v>
      </c>
      <c r="R159">
        <v>20</v>
      </c>
      <c r="S159">
        <v>1.78609027854067</v>
      </c>
      <c r="T159">
        <v>1.69962375251503</v>
      </c>
      <c r="U159">
        <v>0.74311960236386898</v>
      </c>
      <c r="V159">
        <v>0.86009889828019204</v>
      </c>
      <c r="W159">
        <v>182.74987624193099</v>
      </c>
      <c r="X159">
        <v>182.46619341376299</v>
      </c>
      <c r="Y159">
        <v>179.328056438202</v>
      </c>
      <c r="Z159">
        <v>179.71184677913399</v>
      </c>
      <c r="AA159">
        <v>0</v>
      </c>
      <c r="AB159">
        <v>1</v>
      </c>
      <c r="AC159">
        <v>0</v>
      </c>
      <c r="AD159">
        <v>0</v>
      </c>
      <c r="AE159">
        <v>3</v>
      </c>
    </row>
    <row r="160" spans="2:31" x14ac:dyDescent="0.3">
      <c r="B160" t="s">
        <v>76</v>
      </c>
      <c r="C160">
        <v>3.77358490566038E-2</v>
      </c>
      <c r="D160">
        <v>8.9433962264150901E-2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9.8000000000000004E-2</v>
      </c>
      <c r="N160">
        <v>1.0500000000000001E-2</v>
      </c>
      <c r="O160">
        <v>36</v>
      </c>
      <c r="P160">
        <v>31</v>
      </c>
      <c r="Q160">
        <v>26</v>
      </c>
      <c r="R160">
        <v>25</v>
      </c>
      <c r="S160">
        <v>1.8110574129846</v>
      </c>
      <c r="T160">
        <v>1.78609027854067</v>
      </c>
      <c r="U160">
        <v>0.91339228934695804</v>
      </c>
      <c r="V160">
        <v>0.74311960236386898</v>
      </c>
      <c r="W160">
        <v>182.831789412679</v>
      </c>
      <c r="X160">
        <v>182.74987624193099</v>
      </c>
      <c r="Y160">
        <v>179.886693862687</v>
      </c>
      <c r="Z160">
        <v>179.328056438202</v>
      </c>
      <c r="AA160">
        <v>0</v>
      </c>
      <c r="AB160">
        <v>1</v>
      </c>
      <c r="AC160">
        <v>0</v>
      </c>
      <c r="AD160">
        <v>0</v>
      </c>
      <c r="AE160">
        <v>17</v>
      </c>
    </row>
    <row r="161" spans="2:31" x14ac:dyDescent="0.3">
      <c r="B161" t="s">
        <v>77</v>
      </c>
      <c r="C161">
        <v>5.7735849056603797E-2</v>
      </c>
      <c r="D161">
        <v>3.77358490566038E-2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9.8000000000000004E-2</v>
      </c>
      <c r="N161">
        <v>9.8000000000000004E-2</v>
      </c>
      <c r="O161">
        <v>39</v>
      </c>
      <c r="P161">
        <v>36</v>
      </c>
      <c r="Q161">
        <v>22</v>
      </c>
      <c r="R161">
        <v>26</v>
      </c>
      <c r="S161">
        <v>1.90493936818501</v>
      </c>
      <c r="T161">
        <v>1.8110574129846</v>
      </c>
      <c r="U161">
        <v>1.0465038446369599</v>
      </c>
      <c r="V161">
        <v>0.91339228934695804</v>
      </c>
      <c r="W161">
        <v>183.13980107672199</v>
      </c>
      <c r="X161">
        <v>182.831789412679</v>
      </c>
      <c r="Y161">
        <v>180.32341156377001</v>
      </c>
      <c r="Z161">
        <v>179.886693862687</v>
      </c>
      <c r="AA161">
        <v>0</v>
      </c>
      <c r="AB161">
        <v>1</v>
      </c>
      <c r="AC161">
        <v>0</v>
      </c>
      <c r="AD161">
        <v>0</v>
      </c>
      <c r="AE161">
        <v>24</v>
      </c>
    </row>
    <row r="162" spans="2:31" x14ac:dyDescent="0.3">
      <c r="B162" t="s">
        <v>78</v>
      </c>
      <c r="C162">
        <v>6.2641509433962295E-2</v>
      </c>
      <c r="D162">
        <v>5.7735849056603797E-2</v>
      </c>
      <c r="E162">
        <v>0</v>
      </c>
      <c r="F162">
        <v>0</v>
      </c>
      <c r="G162">
        <v>0</v>
      </c>
      <c r="H162">
        <v>1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9.8000000000000004E-2</v>
      </c>
      <c r="O162">
        <v>37</v>
      </c>
      <c r="P162">
        <v>39</v>
      </c>
      <c r="Q162">
        <v>33</v>
      </c>
      <c r="R162">
        <v>22</v>
      </c>
      <c r="S162">
        <v>0.51874534609116996</v>
      </c>
      <c r="T162">
        <v>1.90493936818501</v>
      </c>
      <c r="U162">
        <v>0.51701459304529596</v>
      </c>
      <c r="V162">
        <v>1.0465038446369599</v>
      </c>
      <c r="W162">
        <v>178.591920426808</v>
      </c>
      <c r="X162">
        <v>183.13980107672199</v>
      </c>
      <c r="Y162">
        <v>178.586242103167</v>
      </c>
      <c r="Z162">
        <v>180.32341156377001</v>
      </c>
      <c r="AA162">
        <v>0</v>
      </c>
      <c r="AB162">
        <v>1</v>
      </c>
      <c r="AC162">
        <v>0</v>
      </c>
      <c r="AD162">
        <v>0</v>
      </c>
      <c r="AE162">
        <v>3</v>
      </c>
    </row>
    <row r="163" spans="2:31" x14ac:dyDescent="0.3">
      <c r="B163" t="s">
        <v>79</v>
      </c>
      <c r="C163">
        <v>0.13018867924528299</v>
      </c>
      <c r="D163">
        <v>6.2641509433962295E-2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0.59499999999999997</v>
      </c>
      <c r="N163">
        <v>0</v>
      </c>
      <c r="O163">
        <v>35</v>
      </c>
      <c r="P163">
        <v>37</v>
      </c>
      <c r="Q163">
        <v>18</v>
      </c>
      <c r="R163">
        <v>33</v>
      </c>
      <c r="S163">
        <v>1.90562431779238</v>
      </c>
      <c r="T163">
        <v>0.51874534609116996</v>
      </c>
      <c r="U163">
        <v>1.1219583909219599</v>
      </c>
      <c r="V163">
        <v>0.51701459304529596</v>
      </c>
      <c r="W163">
        <v>183.14204828672001</v>
      </c>
      <c r="X163">
        <v>178.591920426808</v>
      </c>
      <c r="Y163">
        <v>180.57096584948201</v>
      </c>
      <c r="Z163">
        <v>178.586242103167</v>
      </c>
      <c r="AA163">
        <v>0</v>
      </c>
      <c r="AB163">
        <v>1</v>
      </c>
      <c r="AC163">
        <v>0</v>
      </c>
      <c r="AD163">
        <v>0</v>
      </c>
      <c r="AE163">
        <v>36</v>
      </c>
    </row>
    <row r="164" spans="2:31" x14ac:dyDescent="0.3">
      <c r="B164" t="s">
        <v>80</v>
      </c>
      <c r="C164">
        <v>0.25622641509434002</v>
      </c>
      <c r="D164">
        <v>0.13018867924528299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0.59499999999999997</v>
      </c>
      <c r="O164">
        <v>34</v>
      </c>
      <c r="P164">
        <v>35</v>
      </c>
      <c r="Q164">
        <v>23</v>
      </c>
      <c r="R164">
        <v>18</v>
      </c>
      <c r="S164">
        <v>1.7933164699734601</v>
      </c>
      <c r="T164">
        <v>1.90562431779238</v>
      </c>
      <c r="U164">
        <v>1.1685366887267601</v>
      </c>
      <c r="V164">
        <v>1.1219583909219599</v>
      </c>
      <c r="W164">
        <v>182.773584219073</v>
      </c>
      <c r="X164">
        <v>183.14204828672001</v>
      </c>
      <c r="Y164">
        <v>180.72378178716099</v>
      </c>
      <c r="Z164">
        <v>180.57096584948201</v>
      </c>
      <c r="AA164">
        <v>0</v>
      </c>
      <c r="AB164">
        <v>1</v>
      </c>
      <c r="AC164">
        <v>0</v>
      </c>
      <c r="AD164">
        <v>0</v>
      </c>
      <c r="AE164">
        <v>78</v>
      </c>
    </row>
    <row r="165" spans="2:31" x14ac:dyDescent="0.3">
      <c r="B165" t="s">
        <v>81</v>
      </c>
      <c r="C165">
        <v>0.36603773584905702</v>
      </c>
      <c r="D165">
        <v>0.25622641509434002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1.0500000000000001E-2</v>
      </c>
      <c r="N165">
        <v>0</v>
      </c>
      <c r="O165">
        <v>34</v>
      </c>
      <c r="P165">
        <v>34</v>
      </c>
      <c r="Q165">
        <v>23</v>
      </c>
      <c r="R165">
        <v>23</v>
      </c>
      <c r="S165">
        <v>1.5045641895302999</v>
      </c>
      <c r="T165">
        <v>1.7933164699734601</v>
      </c>
      <c r="U165">
        <v>1.15657945388038</v>
      </c>
      <c r="V165">
        <v>1.1685366887267601</v>
      </c>
      <c r="W165">
        <v>181.826234217619</v>
      </c>
      <c r="X165">
        <v>182.773584219073</v>
      </c>
      <c r="Y165">
        <v>180.68455201404299</v>
      </c>
      <c r="Z165">
        <v>180.72378178716099</v>
      </c>
      <c r="AA165">
        <v>0</v>
      </c>
      <c r="AB165">
        <v>1</v>
      </c>
      <c r="AC165">
        <v>0</v>
      </c>
      <c r="AD165">
        <v>0</v>
      </c>
      <c r="AE165">
        <v>71</v>
      </c>
    </row>
    <row r="166" spans="2:31" x14ac:dyDescent="0.3">
      <c r="B166" t="s">
        <v>82</v>
      </c>
      <c r="C166">
        <v>8.9433962264150901E-2</v>
      </c>
      <c r="D166">
        <v>0.36603773584905702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1.0500000000000001E-2</v>
      </c>
      <c r="O166">
        <v>36</v>
      </c>
      <c r="P166">
        <v>34</v>
      </c>
      <c r="Q166">
        <v>31</v>
      </c>
      <c r="R166">
        <v>23</v>
      </c>
      <c r="S166">
        <v>1.4761359732946699</v>
      </c>
      <c r="T166">
        <v>1.5045641895302999</v>
      </c>
      <c r="U166">
        <v>1.1650787322243901</v>
      </c>
      <c r="V166">
        <v>1.15657945388038</v>
      </c>
      <c r="W166">
        <v>181.73296579164901</v>
      </c>
      <c r="X166">
        <v>181.826234217619</v>
      </c>
      <c r="Y166">
        <v>180.71243678551301</v>
      </c>
      <c r="Z166">
        <v>180.68455201404299</v>
      </c>
      <c r="AA166">
        <v>0</v>
      </c>
      <c r="AB166">
        <v>1</v>
      </c>
      <c r="AC166">
        <v>0</v>
      </c>
      <c r="AD166">
        <v>0</v>
      </c>
      <c r="AE166">
        <v>12</v>
      </c>
    </row>
    <row r="167" spans="2:31" x14ac:dyDescent="0.3">
      <c r="B167" t="s">
        <v>83</v>
      </c>
      <c r="C167">
        <v>3.77358490566038E-2</v>
      </c>
      <c r="D167">
        <v>8.9433962264150901E-2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34</v>
      </c>
      <c r="P167">
        <v>36</v>
      </c>
      <c r="Q167">
        <v>26</v>
      </c>
      <c r="R167">
        <v>31</v>
      </c>
      <c r="S167">
        <v>1.5478192081823501</v>
      </c>
      <c r="T167">
        <v>1.4761359732946699</v>
      </c>
      <c r="U167">
        <v>1.3133328758404501</v>
      </c>
      <c r="V167">
        <v>1.1650787322243901</v>
      </c>
      <c r="W167">
        <v>181.96814700847199</v>
      </c>
      <c r="X167">
        <v>181.73296579164901</v>
      </c>
      <c r="Y167">
        <v>181.19883489449001</v>
      </c>
      <c r="Z167">
        <v>180.71243678551301</v>
      </c>
      <c r="AA167">
        <v>0</v>
      </c>
      <c r="AB167">
        <v>1</v>
      </c>
      <c r="AC167">
        <v>0</v>
      </c>
      <c r="AD167">
        <v>0</v>
      </c>
      <c r="AE167">
        <v>4</v>
      </c>
    </row>
    <row r="168" spans="2:31" x14ac:dyDescent="0.3">
      <c r="B168" t="s">
        <v>0</v>
      </c>
      <c r="C168">
        <v>5.7735849056603797E-2</v>
      </c>
      <c r="D168">
        <v>3.77358490566038E-2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0.80149999999999999</v>
      </c>
      <c r="N168">
        <v>0</v>
      </c>
      <c r="O168">
        <v>35</v>
      </c>
      <c r="P168">
        <v>34</v>
      </c>
      <c r="Q168">
        <v>23</v>
      </c>
      <c r="R168">
        <v>26</v>
      </c>
      <c r="S168">
        <v>1.7081152419663701</v>
      </c>
      <c r="T168">
        <v>1.5478192081823501</v>
      </c>
      <c r="U168">
        <v>0.78143879344273104</v>
      </c>
      <c r="V168">
        <v>1.3133328758404501</v>
      </c>
      <c r="W168">
        <v>182.494052631123</v>
      </c>
      <c r="X168">
        <v>181.96814700847199</v>
      </c>
      <c r="Y168">
        <v>179.45377556903799</v>
      </c>
      <c r="Z168">
        <v>181.19883489449001</v>
      </c>
      <c r="AA168">
        <v>0</v>
      </c>
      <c r="AB168">
        <v>1</v>
      </c>
      <c r="AC168">
        <v>0</v>
      </c>
      <c r="AD168">
        <v>0</v>
      </c>
      <c r="AE168">
        <v>8</v>
      </c>
    </row>
    <row r="169" spans="2:31" x14ac:dyDescent="0.3">
      <c r="B169" t="s">
        <v>84</v>
      </c>
      <c r="C169">
        <v>6.2641509433962295E-2</v>
      </c>
      <c r="D169">
        <v>5.7735849056603797E-2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0.80149999999999999</v>
      </c>
      <c r="O169">
        <v>33</v>
      </c>
      <c r="P169">
        <v>35</v>
      </c>
      <c r="Q169">
        <v>23</v>
      </c>
      <c r="R169">
        <v>23</v>
      </c>
      <c r="S169">
        <v>1.83550449449894</v>
      </c>
      <c r="T169">
        <v>1.7081152419663701</v>
      </c>
      <c r="U169">
        <v>0.93447577691827099</v>
      </c>
      <c r="V169">
        <v>0.78143879344273104</v>
      </c>
      <c r="W169">
        <v>182.91199637302799</v>
      </c>
      <c r="X169">
        <v>182.494052631123</v>
      </c>
      <c r="Y169">
        <v>179.955865409837</v>
      </c>
      <c r="Z169">
        <v>179.45377556903799</v>
      </c>
      <c r="AA169">
        <v>0</v>
      </c>
      <c r="AB169">
        <v>1</v>
      </c>
      <c r="AC169">
        <v>0</v>
      </c>
      <c r="AD169">
        <v>0</v>
      </c>
      <c r="AE169">
        <v>16</v>
      </c>
    </row>
    <row r="170" spans="2:31" x14ac:dyDescent="0.3">
      <c r="B170" t="s">
        <v>85</v>
      </c>
      <c r="C170">
        <v>0.13018867924528299</v>
      </c>
      <c r="D170">
        <v>6.2641509433962295E-2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33</v>
      </c>
      <c r="P170">
        <v>33</v>
      </c>
      <c r="Q170">
        <v>17</v>
      </c>
      <c r="R170">
        <v>23</v>
      </c>
      <c r="S170">
        <v>2.1294482061769</v>
      </c>
      <c r="T170">
        <v>1.83550449449894</v>
      </c>
      <c r="U170">
        <v>1.3555899397734501</v>
      </c>
      <c r="V170">
        <v>0.93447577691827099</v>
      </c>
      <c r="W170">
        <v>183.87637862918899</v>
      </c>
      <c r="X170">
        <v>182.91199637302799</v>
      </c>
      <c r="Y170">
        <v>181.33747355568701</v>
      </c>
      <c r="Z170">
        <v>179.955865409837</v>
      </c>
      <c r="AA170">
        <v>0</v>
      </c>
      <c r="AB170">
        <v>1</v>
      </c>
      <c r="AC170">
        <v>0</v>
      </c>
      <c r="AD170">
        <v>0</v>
      </c>
      <c r="AE170">
        <v>14</v>
      </c>
    </row>
    <row r="171" spans="2:31" x14ac:dyDescent="0.3">
      <c r="B171" t="s">
        <v>86</v>
      </c>
      <c r="C171">
        <v>0.25622641509434002</v>
      </c>
      <c r="D171">
        <v>0.13018867924528299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31</v>
      </c>
      <c r="P171">
        <v>33</v>
      </c>
      <c r="Q171">
        <v>19</v>
      </c>
      <c r="R171">
        <v>17</v>
      </c>
      <c r="S171">
        <v>1.4349330438911101</v>
      </c>
      <c r="T171">
        <v>2.1294482061769</v>
      </c>
      <c r="U171">
        <v>1.2049831956910599</v>
      </c>
      <c r="V171">
        <v>1.3555899397734501</v>
      </c>
      <c r="W171">
        <v>181.59778557707099</v>
      </c>
      <c r="X171">
        <v>183.87637862918899</v>
      </c>
      <c r="Y171">
        <v>180.843356941244</v>
      </c>
      <c r="Z171">
        <v>181.33747355568701</v>
      </c>
      <c r="AA171">
        <v>0</v>
      </c>
      <c r="AB171">
        <v>1</v>
      </c>
      <c r="AC171">
        <v>0</v>
      </c>
      <c r="AD171">
        <v>0</v>
      </c>
      <c r="AE171">
        <v>41</v>
      </c>
    </row>
    <row r="172" spans="2:31" x14ac:dyDescent="0.3">
      <c r="B172" t="s">
        <v>87</v>
      </c>
      <c r="C172">
        <v>0.36603773584905702</v>
      </c>
      <c r="D172">
        <v>0.25622641509434002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32</v>
      </c>
      <c r="P172">
        <v>31</v>
      </c>
      <c r="Q172">
        <v>22</v>
      </c>
      <c r="R172">
        <v>19</v>
      </c>
      <c r="S172">
        <v>1.50617809966368</v>
      </c>
      <c r="T172">
        <v>1.4349330438911101</v>
      </c>
      <c r="U172">
        <v>0.84783024476023905</v>
      </c>
      <c r="V172">
        <v>1.2049831956910599</v>
      </c>
      <c r="W172">
        <v>181.83152919837201</v>
      </c>
      <c r="X172">
        <v>181.59778557707099</v>
      </c>
      <c r="Y172">
        <v>179.67159529120801</v>
      </c>
      <c r="Z172">
        <v>180.843356941244</v>
      </c>
      <c r="AA172">
        <v>0</v>
      </c>
      <c r="AB172">
        <v>1</v>
      </c>
      <c r="AC172">
        <v>0</v>
      </c>
      <c r="AD172">
        <v>0</v>
      </c>
      <c r="AE172">
        <v>73</v>
      </c>
    </row>
    <row r="173" spans="2:31" x14ac:dyDescent="0.3">
      <c r="B173" t="s">
        <v>88</v>
      </c>
      <c r="C173">
        <v>8.9433962264150901E-2</v>
      </c>
      <c r="D173">
        <v>0.36603773584905702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33</v>
      </c>
      <c r="P173">
        <v>32</v>
      </c>
      <c r="Q173">
        <v>28</v>
      </c>
      <c r="R173">
        <v>22</v>
      </c>
      <c r="S173">
        <v>1.7937206701340001</v>
      </c>
      <c r="T173">
        <v>1.50617809966368</v>
      </c>
      <c r="U173">
        <v>1.1147626715771799</v>
      </c>
      <c r="V173">
        <v>0.84783024476023905</v>
      </c>
      <c r="W173">
        <v>182.774910335085</v>
      </c>
      <c r="X173">
        <v>181.83152919837201</v>
      </c>
      <c r="Y173">
        <v>180.547357846382</v>
      </c>
      <c r="Z173">
        <v>179.67159529120801</v>
      </c>
      <c r="AA173">
        <v>0</v>
      </c>
      <c r="AB173">
        <v>1</v>
      </c>
      <c r="AC173">
        <v>0</v>
      </c>
      <c r="AD173">
        <v>0</v>
      </c>
      <c r="AE173">
        <v>15</v>
      </c>
    </row>
    <row r="174" spans="2:31" s="14" customFormat="1" x14ac:dyDescent="0.3">
      <c r="B174" s="14" t="s">
        <v>89</v>
      </c>
      <c r="C174" s="14">
        <v>5.7735849056603797E-2</v>
      </c>
      <c r="D174" s="14">
        <v>8.9433962264150901E-2</v>
      </c>
      <c r="E174" s="14">
        <v>0</v>
      </c>
      <c r="F174" s="14">
        <v>0</v>
      </c>
      <c r="G174" s="14">
        <v>1</v>
      </c>
      <c r="H174" s="14">
        <v>0</v>
      </c>
      <c r="I174" s="14">
        <v>0</v>
      </c>
      <c r="J174" s="14">
        <v>1</v>
      </c>
      <c r="K174" s="14">
        <v>0</v>
      </c>
      <c r="L174" s="14">
        <v>0</v>
      </c>
      <c r="M174" s="14">
        <v>0.92</v>
      </c>
      <c r="N174" s="14">
        <v>0</v>
      </c>
      <c r="O174" s="14">
        <v>34</v>
      </c>
      <c r="P174" s="14">
        <v>33</v>
      </c>
      <c r="Q174" s="14">
        <v>23</v>
      </c>
      <c r="R174" s="14">
        <v>28</v>
      </c>
      <c r="S174" s="14">
        <v>2.17191255863484</v>
      </c>
      <c r="T174" s="14">
        <v>1.7937206701340001</v>
      </c>
      <c r="U174" s="14">
        <v>1.40758621106152</v>
      </c>
      <c r="V174" s="14">
        <v>1.1147626715771799</v>
      </c>
      <c r="W174" s="14">
        <v>184.01569737084901</v>
      </c>
      <c r="X174" s="14">
        <v>182.774910335085</v>
      </c>
      <c r="Y174" s="14">
        <v>181.50806499692101</v>
      </c>
      <c r="Z174" s="14">
        <v>180.547357846382</v>
      </c>
      <c r="AA174" s="14">
        <v>0</v>
      </c>
      <c r="AB174" s="14">
        <v>1</v>
      </c>
      <c r="AC174" s="14">
        <v>0</v>
      </c>
      <c r="AD174" s="14">
        <v>0</v>
      </c>
      <c r="AE174" s="14">
        <v>7</v>
      </c>
    </row>
    <row r="175" spans="2:31" x14ac:dyDescent="0.3">
      <c r="B175" t="s">
        <v>90</v>
      </c>
      <c r="C175">
        <v>6.2641509433962295E-2</v>
      </c>
      <c r="D175">
        <v>5.7735849056603797E-2</v>
      </c>
      <c r="E175">
        <v>0</v>
      </c>
      <c r="F175">
        <v>0</v>
      </c>
      <c r="G175">
        <v>0</v>
      </c>
      <c r="H175">
        <v>1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0.92</v>
      </c>
      <c r="O175">
        <v>35</v>
      </c>
      <c r="P175">
        <v>34</v>
      </c>
      <c r="Q175">
        <v>21</v>
      </c>
      <c r="R175">
        <v>23</v>
      </c>
      <c r="S175">
        <v>1.85612634260034</v>
      </c>
      <c r="T175">
        <v>2.17191255863484</v>
      </c>
      <c r="U175">
        <v>1.0478385137155799</v>
      </c>
      <c r="V175">
        <v>1.40758621106152</v>
      </c>
      <c r="W175">
        <v>182.97965335498799</v>
      </c>
      <c r="X175">
        <v>184.01569737084901</v>
      </c>
      <c r="Y175">
        <v>180.32779039932899</v>
      </c>
      <c r="Z175">
        <v>181.50806499692101</v>
      </c>
      <c r="AA175">
        <v>0</v>
      </c>
      <c r="AB175">
        <v>1</v>
      </c>
      <c r="AC175">
        <v>0</v>
      </c>
      <c r="AD175">
        <v>0</v>
      </c>
      <c r="AE175">
        <v>14</v>
      </c>
    </row>
    <row r="176" spans="2:31" x14ac:dyDescent="0.3">
      <c r="B176" t="s">
        <v>91</v>
      </c>
      <c r="C176">
        <v>0.13018867924528299</v>
      </c>
      <c r="D176">
        <v>6.2641509433962295E-2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36</v>
      </c>
      <c r="P176">
        <v>35</v>
      </c>
      <c r="Q176">
        <v>28</v>
      </c>
      <c r="R176">
        <v>21</v>
      </c>
      <c r="S176">
        <v>1.64084259040183</v>
      </c>
      <c r="T176">
        <v>1.85612634260034</v>
      </c>
      <c r="U176">
        <v>0.88665465309990299</v>
      </c>
      <c r="V176">
        <v>1.0478385137155799</v>
      </c>
      <c r="W176">
        <v>182.273341832027</v>
      </c>
      <c r="X176">
        <v>182.97965335498799</v>
      </c>
      <c r="Y176">
        <v>179.798971958989</v>
      </c>
      <c r="Z176">
        <v>180.32779039932899</v>
      </c>
      <c r="AA176">
        <v>0</v>
      </c>
      <c r="AB176">
        <v>1</v>
      </c>
      <c r="AC176">
        <v>0</v>
      </c>
      <c r="AD176">
        <v>0</v>
      </c>
      <c r="AE176">
        <v>21</v>
      </c>
    </row>
    <row r="177" spans="2:31" x14ac:dyDescent="0.3">
      <c r="B177" t="s">
        <v>92</v>
      </c>
      <c r="C177">
        <v>0.25622641509434002</v>
      </c>
      <c r="D177">
        <v>0.13018867924528299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36</v>
      </c>
      <c r="P177">
        <v>36</v>
      </c>
      <c r="Q177">
        <v>22</v>
      </c>
      <c r="R177">
        <v>28</v>
      </c>
      <c r="S177">
        <v>1.7825215833769801</v>
      </c>
      <c r="T177">
        <v>1.64084259040183</v>
      </c>
      <c r="U177">
        <v>1.05732418745759</v>
      </c>
      <c r="V177">
        <v>0.88665465309990299</v>
      </c>
      <c r="W177">
        <v>182.73816792446499</v>
      </c>
      <c r="X177">
        <v>182.273341832027</v>
      </c>
      <c r="Y177">
        <v>180.35891137617301</v>
      </c>
      <c r="Z177">
        <v>179.798971958989</v>
      </c>
      <c r="AA177">
        <v>0</v>
      </c>
      <c r="AB177">
        <v>1</v>
      </c>
      <c r="AC177">
        <v>0</v>
      </c>
      <c r="AD177">
        <v>0</v>
      </c>
      <c r="AE177">
        <v>49</v>
      </c>
    </row>
    <row r="178" spans="2:31" x14ac:dyDescent="0.3">
      <c r="B178" t="s">
        <v>93</v>
      </c>
      <c r="C178">
        <v>0.36603773584905702</v>
      </c>
      <c r="D178">
        <v>0.25622641509434002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0.48</v>
      </c>
      <c r="N178">
        <v>0</v>
      </c>
      <c r="O178">
        <v>38</v>
      </c>
      <c r="P178">
        <v>36</v>
      </c>
      <c r="Q178">
        <v>21</v>
      </c>
      <c r="R178">
        <v>22</v>
      </c>
      <c r="S178">
        <v>1.7919532248707599</v>
      </c>
      <c r="T178">
        <v>1.7825215833769801</v>
      </c>
      <c r="U178">
        <v>0.89208227275281504</v>
      </c>
      <c r="V178">
        <v>1.05732418745759</v>
      </c>
      <c r="W178">
        <v>182.76911163015299</v>
      </c>
      <c r="X178">
        <v>182.73816792446499</v>
      </c>
      <c r="Y178">
        <v>179.816779110081</v>
      </c>
      <c r="Z178">
        <v>180.35891137617301</v>
      </c>
      <c r="AA178">
        <v>0</v>
      </c>
      <c r="AB178">
        <v>1</v>
      </c>
      <c r="AC178">
        <v>0</v>
      </c>
      <c r="AD178">
        <v>0</v>
      </c>
      <c r="AE178">
        <v>116</v>
      </c>
    </row>
    <row r="179" spans="2:31" x14ac:dyDescent="0.3">
      <c r="B179" t="s">
        <v>94</v>
      </c>
      <c r="C179">
        <v>8.9433962264150901E-2</v>
      </c>
      <c r="D179">
        <v>0.36603773584905702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0.48</v>
      </c>
      <c r="O179">
        <v>38</v>
      </c>
      <c r="P179">
        <v>38</v>
      </c>
      <c r="Q179">
        <v>24</v>
      </c>
      <c r="R179">
        <v>21</v>
      </c>
      <c r="S179">
        <v>1.8037660636489199</v>
      </c>
      <c r="T179">
        <v>1.7919532248707599</v>
      </c>
      <c r="U179">
        <v>0.91682647622638602</v>
      </c>
      <c r="V179">
        <v>0.89208227275281504</v>
      </c>
      <c r="W179">
        <v>182.80786766289</v>
      </c>
      <c r="X179">
        <v>182.76911163015299</v>
      </c>
      <c r="Y179">
        <v>179.89796088000799</v>
      </c>
      <c r="Z179">
        <v>179.816779110081</v>
      </c>
      <c r="AA179">
        <v>0</v>
      </c>
      <c r="AB179">
        <v>1</v>
      </c>
      <c r="AC179">
        <v>0</v>
      </c>
      <c r="AD179">
        <v>0</v>
      </c>
      <c r="AE179">
        <v>14</v>
      </c>
    </row>
    <row r="180" spans="2:31" x14ac:dyDescent="0.3">
      <c r="B180" t="s">
        <v>95</v>
      </c>
      <c r="C180">
        <v>3.77358490566038E-2</v>
      </c>
      <c r="D180">
        <v>8.9433962264150901E-2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0.17</v>
      </c>
      <c r="N180">
        <v>0</v>
      </c>
      <c r="O180">
        <v>37</v>
      </c>
      <c r="P180">
        <v>38</v>
      </c>
      <c r="Q180">
        <v>29</v>
      </c>
      <c r="R180">
        <v>24</v>
      </c>
      <c r="S180">
        <v>1.96605216247453</v>
      </c>
      <c r="T180">
        <v>1.8037660636489199</v>
      </c>
      <c r="U180">
        <v>1.0900619921789101</v>
      </c>
      <c r="V180">
        <v>0.91682647622638602</v>
      </c>
      <c r="W180">
        <v>183.340302370323</v>
      </c>
      <c r="X180">
        <v>182.80786766289</v>
      </c>
      <c r="Y180">
        <v>180.46631887197799</v>
      </c>
      <c r="Z180">
        <v>179.89796088000799</v>
      </c>
      <c r="AA180">
        <v>0</v>
      </c>
      <c r="AB180">
        <v>1</v>
      </c>
      <c r="AC180">
        <v>0</v>
      </c>
      <c r="AD180">
        <v>0</v>
      </c>
      <c r="AE180">
        <v>13</v>
      </c>
    </row>
    <row r="181" spans="2:31" x14ac:dyDescent="0.3">
      <c r="B181" t="s">
        <v>96</v>
      </c>
      <c r="C181">
        <v>5.7735849056603797E-2</v>
      </c>
      <c r="D181">
        <v>3.77358490566038E-2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0.17</v>
      </c>
      <c r="O181">
        <v>35</v>
      </c>
      <c r="P181">
        <v>37</v>
      </c>
      <c r="Q181">
        <v>22</v>
      </c>
      <c r="R181">
        <v>29</v>
      </c>
      <c r="S181">
        <v>2.0328545581945301</v>
      </c>
      <c r="T181">
        <v>1.96605216247453</v>
      </c>
      <c r="U181">
        <v>1.05067540758448</v>
      </c>
      <c r="V181">
        <v>1.0900619921789101</v>
      </c>
      <c r="W181">
        <v>183.559470335284</v>
      </c>
      <c r="X181">
        <v>183.340302370323</v>
      </c>
      <c r="Y181">
        <v>180.33709779391199</v>
      </c>
      <c r="Z181">
        <v>180.46631887197799</v>
      </c>
      <c r="AA181">
        <v>0</v>
      </c>
      <c r="AB181">
        <v>1</v>
      </c>
      <c r="AC181">
        <v>0</v>
      </c>
      <c r="AD181">
        <v>0</v>
      </c>
      <c r="AE181">
        <v>19</v>
      </c>
    </row>
    <row r="182" spans="2:31" x14ac:dyDescent="0.3">
      <c r="B182" t="s">
        <v>97</v>
      </c>
      <c r="C182">
        <v>6.2641509433962295E-2</v>
      </c>
      <c r="D182">
        <v>5.7735849056603797E-2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34</v>
      </c>
      <c r="P182">
        <v>35</v>
      </c>
      <c r="Q182">
        <v>30</v>
      </c>
      <c r="R182">
        <v>22</v>
      </c>
      <c r="S182">
        <v>1.6308713459951101</v>
      </c>
      <c r="T182">
        <v>2.0328545581945301</v>
      </c>
      <c r="U182">
        <v>1.1726445248731701</v>
      </c>
      <c r="V182">
        <v>1.05067540758448</v>
      </c>
      <c r="W182">
        <v>182.24062777557501</v>
      </c>
      <c r="X182">
        <v>183.559470335284</v>
      </c>
      <c r="Y182">
        <v>180.73725893987299</v>
      </c>
      <c r="Z182">
        <v>180.33709779391199</v>
      </c>
      <c r="AA182">
        <v>0</v>
      </c>
      <c r="AB182">
        <v>1</v>
      </c>
      <c r="AC182">
        <v>0</v>
      </c>
      <c r="AD182">
        <v>0</v>
      </c>
      <c r="AE182">
        <v>2</v>
      </c>
    </row>
    <row r="183" spans="2:31" x14ac:dyDescent="0.3">
      <c r="B183" t="s">
        <v>98</v>
      </c>
      <c r="C183">
        <v>0.13018867924528299</v>
      </c>
      <c r="D183">
        <v>6.2641509433962295E-2</v>
      </c>
      <c r="E183">
        <v>0</v>
      </c>
      <c r="F183">
        <v>0</v>
      </c>
      <c r="G183">
        <v>0</v>
      </c>
      <c r="H183">
        <v>1</v>
      </c>
      <c r="I183">
        <v>0</v>
      </c>
      <c r="J183">
        <v>1</v>
      </c>
      <c r="K183">
        <v>0</v>
      </c>
      <c r="L183">
        <v>0</v>
      </c>
      <c r="M183">
        <v>0.06</v>
      </c>
      <c r="N183">
        <v>0</v>
      </c>
      <c r="O183">
        <v>27</v>
      </c>
      <c r="P183">
        <v>34</v>
      </c>
      <c r="Q183">
        <v>23</v>
      </c>
      <c r="R183">
        <v>30</v>
      </c>
      <c r="S183">
        <v>1.7797491778433401</v>
      </c>
      <c r="T183">
        <v>1.6308713459951101</v>
      </c>
      <c r="U183">
        <v>1.6635292116854199</v>
      </c>
      <c r="V183">
        <v>1.1726445248731701</v>
      </c>
      <c r="W183">
        <v>182.72907210578501</v>
      </c>
      <c r="X183">
        <v>182.24062777557501</v>
      </c>
      <c r="Y183">
        <v>182.347773004217</v>
      </c>
      <c r="Z183">
        <v>180.73725893987299</v>
      </c>
      <c r="AA183">
        <v>0</v>
      </c>
      <c r="AB183">
        <v>1</v>
      </c>
      <c r="AC183">
        <v>0</v>
      </c>
      <c r="AD183">
        <v>0</v>
      </c>
      <c r="AE183">
        <v>4</v>
      </c>
    </row>
    <row r="184" spans="2:31" x14ac:dyDescent="0.3">
      <c r="B184" t="s">
        <v>99</v>
      </c>
      <c r="C184">
        <v>0.25622641509434002</v>
      </c>
      <c r="D184">
        <v>0.13018867924528299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0.65</v>
      </c>
      <c r="N184">
        <v>0.06</v>
      </c>
      <c r="O184">
        <v>34</v>
      </c>
      <c r="P184">
        <v>27</v>
      </c>
      <c r="Q184">
        <v>24</v>
      </c>
      <c r="R184">
        <v>23</v>
      </c>
      <c r="S184">
        <v>1.2890461627565</v>
      </c>
      <c r="T184">
        <v>1.7797491778433401</v>
      </c>
      <c r="U184">
        <v>0.73616900278545705</v>
      </c>
      <c r="V184">
        <v>1.6635292116854199</v>
      </c>
      <c r="W184">
        <v>181.119154077285</v>
      </c>
      <c r="X184">
        <v>182.72907210578501</v>
      </c>
      <c r="Y184">
        <v>179.30525263381099</v>
      </c>
      <c r="Z184">
        <v>182.347773004217</v>
      </c>
      <c r="AA184">
        <v>0</v>
      </c>
      <c r="AB184">
        <v>1</v>
      </c>
      <c r="AC184">
        <v>0</v>
      </c>
      <c r="AD184">
        <v>0</v>
      </c>
      <c r="AE184">
        <v>31</v>
      </c>
    </row>
    <row r="185" spans="2:31" x14ac:dyDescent="0.3">
      <c r="B185" t="s">
        <v>100</v>
      </c>
      <c r="C185">
        <v>0.36603773584905702</v>
      </c>
      <c r="D185">
        <v>0.25622641509434002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0.65</v>
      </c>
      <c r="O185">
        <v>27</v>
      </c>
      <c r="P185">
        <v>34</v>
      </c>
      <c r="Q185">
        <v>18</v>
      </c>
      <c r="R185">
        <v>24</v>
      </c>
      <c r="S185">
        <v>0.86263919917524901</v>
      </c>
      <c r="T185">
        <v>1.2890461627565</v>
      </c>
      <c r="U185">
        <v>0.51097217716941801</v>
      </c>
      <c r="V185">
        <v>0.73616900278545705</v>
      </c>
      <c r="W185">
        <v>179.720181099656</v>
      </c>
      <c r="X185">
        <v>181.119154077285</v>
      </c>
      <c r="Y185">
        <v>178.56641790409901</v>
      </c>
      <c r="Z185">
        <v>179.30525263381099</v>
      </c>
      <c r="AA185">
        <v>0</v>
      </c>
      <c r="AB185">
        <v>1</v>
      </c>
      <c r="AC185">
        <v>0</v>
      </c>
      <c r="AD185">
        <v>0</v>
      </c>
      <c r="AE185">
        <v>7</v>
      </c>
    </row>
    <row r="186" spans="2:31" x14ac:dyDescent="0.3">
      <c r="B186" t="s">
        <v>101</v>
      </c>
      <c r="C186">
        <v>8.9433962264150901E-2</v>
      </c>
      <c r="D186">
        <v>0.36603773584905702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0.03</v>
      </c>
      <c r="N186">
        <v>0</v>
      </c>
      <c r="O186">
        <v>36</v>
      </c>
      <c r="P186">
        <v>27</v>
      </c>
      <c r="Q186">
        <v>24</v>
      </c>
      <c r="R186">
        <v>18</v>
      </c>
      <c r="S186">
        <v>1.9564827160509699</v>
      </c>
      <c r="T186">
        <v>0.86263919917524901</v>
      </c>
      <c r="U186">
        <v>0.83110439779644396</v>
      </c>
      <c r="V186">
        <v>0.51097217716941801</v>
      </c>
      <c r="W186">
        <v>183.308906548724</v>
      </c>
      <c r="X186">
        <v>179.720181099656</v>
      </c>
      <c r="Y186">
        <v>179.61672046521099</v>
      </c>
      <c r="Z186">
        <v>178.56641790409901</v>
      </c>
      <c r="AA186">
        <v>0</v>
      </c>
      <c r="AB186">
        <v>1</v>
      </c>
      <c r="AC186">
        <v>0</v>
      </c>
      <c r="AD186">
        <v>0</v>
      </c>
      <c r="AE186">
        <v>13</v>
      </c>
    </row>
    <row r="187" spans="2:31" s="14" customFormat="1" x14ac:dyDescent="0.3">
      <c r="B187" s="14" t="s">
        <v>103</v>
      </c>
      <c r="C187" s="14">
        <v>5.7735849056603797E-2</v>
      </c>
      <c r="D187" s="14">
        <v>8.9433962264150901E-2</v>
      </c>
      <c r="E187" s="14">
        <v>0</v>
      </c>
      <c r="F187" s="14">
        <v>0</v>
      </c>
      <c r="G187" s="14">
        <v>1</v>
      </c>
      <c r="H187" s="14">
        <v>0</v>
      </c>
      <c r="I187" s="14">
        <v>0</v>
      </c>
      <c r="J187" s="14">
        <v>1</v>
      </c>
      <c r="K187" s="14">
        <v>0</v>
      </c>
      <c r="L187" s="14">
        <v>0</v>
      </c>
      <c r="M187" s="14">
        <v>1.59</v>
      </c>
      <c r="N187" s="14">
        <v>0.03</v>
      </c>
      <c r="O187" s="14">
        <v>30</v>
      </c>
      <c r="P187" s="14">
        <v>36</v>
      </c>
      <c r="Q187" s="14">
        <v>25</v>
      </c>
      <c r="R187" s="14">
        <v>24</v>
      </c>
      <c r="S187" s="14">
        <v>2.1363349069873601</v>
      </c>
      <c r="T187" s="14">
        <v>1.9564827160509699</v>
      </c>
      <c r="U187" s="14">
        <v>1.6520785416857899</v>
      </c>
      <c r="V187" s="14">
        <v>0.83110439779644396</v>
      </c>
      <c r="W187" s="14">
        <v>183.89897279195301</v>
      </c>
      <c r="X187" s="14">
        <v>183.308906548724</v>
      </c>
      <c r="Y187" s="14">
        <v>182.310205189258</v>
      </c>
      <c r="Z187" s="14">
        <v>179.61672046521099</v>
      </c>
      <c r="AA187" s="14">
        <v>0</v>
      </c>
      <c r="AB187" s="14">
        <v>1</v>
      </c>
      <c r="AC187" s="14">
        <v>0</v>
      </c>
      <c r="AD187" s="14">
        <v>0</v>
      </c>
      <c r="AE187" s="14">
        <v>4</v>
      </c>
    </row>
    <row r="188" spans="2:31" x14ac:dyDescent="0.3">
      <c r="B188" t="s">
        <v>104</v>
      </c>
      <c r="C188">
        <v>6.2641509433962295E-2</v>
      </c>
      <c r="D188">
        <v>5.7735849056603797E-2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1.59</v>
      </c>
      <c r="O188">
        <v>33</v>
      </c>
      <c r="P188">
        <v>30</v>
      </c>
      <c r="Q188">
        <v>25</v>
      </c>
      <c r="R188">
        <v>25</v>
      </c>
      <c r="S188">
        <v>1.77668704510513</v>
      </c>
      <c r="T188">
        <v>2.1363349069873601</v>
      </c>
      <c r="U188">
        <v>1.4601293841667</v>
      </c>
      <c r="V188">
        <v>1.6520785416857899</v>
      </c>
      <c r="W188">
        <v>182.71902573853399</v>
      </c>
      <c r="X188">
        <v>183.89897279195301</v>
      </c>
      <c r="Y188">
        <v>181.680450735455</v>
      </c>
      <c r="Z188">
        <v>182.310205189258</v>
      </c>
      <c r="AA188">
        <v>0</v>
      </c>
      <c r="AB188">
        <v>1</v>
      </c>
      <c r="AC188">
        <v>0</v>
      </c>
      <c r="AD188">
        <v>0</v>
      </c>
      <c r="AE188">
        <v>6</v>
      </c>
    </row>
    <row r="189" spans="2:31" x14ac:dyDescent="0.3">
      <c r="B189" t="s">
        <v>105</v>
      </c>
      <c r="C189">
        <v>0.13018867924528299</v>
      </c>
      <c r="D189">
        <v>6.2641509433962295E-2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31</v>
      </c>
      <c r="P189">
        <v>33</v>
      </c>
      <c r="Q189">
        <v>18</v>
      </c>
      <c r="R189">
        <v>25</v>
      </c>
      <c r="S189">
        <v>1.4891664158589799</v>
      </c>
      <c r="T189">
        <v>1.77668704510513</v>
      </c>
      <c r="U189">
        <v>1.3316643315302501</v>
      </c>
      <c r="V189">
        <v>1.4601293841667</v>
      </c>
      <c r="W189">
        <v>181.77571658746399</v>
      </c>
      <c r="X189">
        <v>182.71902573853399</v>
      </c>
      <c r="Y189">
        <v>181.25897746564999</v>
      </c>
      <c r="Z189">
        <v>181.680450735455</v>
      </c>
      <c r="AA189">
        <v>0</v>
      </c>
      <c r="AB189">
        <v>1</v>
      </c>
      <c r="AC189">
        <v>0</v>
      </c>
      <c r="AD189">
        <v>0</v>
      </c>
      <c r="AE189">
        <v>16</v>
      </c>
    </row>
    <row r="190" spans="2:31" x14ac:dyDescent="0.3">
      <c r="B190" t="s">
        <v>106</v>
      </c>
      <c r="C190">
        <v>0.25622641509434002</v>
      </c>
      <c r="D190">
        <v>0.13018867924528299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33</v>
      </c>
      <c r="P190">
        <v>31</v>
      </c>
      <c r="Q190">
        <v>18</v>
      </c>
      <c r="R190">
        <v>18</v>
      </c>
      <c r="S190">
        <v>1.5942674542686901</v>
      </c>
      <c r="T190">
        <v>1.4891664158589799</v>
      </c>
      <c r="U190">
        <v>1.3587707796269799</v>
      </c>
      <c r="V190">
        <v>1.3316643315302501</v>
      </c>
      <c r="W190">
        <v>182.12053626728601</v>
      </c>
      <c r="X190">
        <v>181.77571658746399</v>
      </c>
      <c r="Y190">
        <v>181.34790938197801</v>
      </c>
      <c r="Z190">
        <v>181.25897746564999</v>
      </c>
      <c r="AA190">
        <v>0</v>
      </c>
      <c r="AB190">
        <v>1</v>
      </c>
      <c r="AC190">
        <v>0</v>
      </c>
      <c r="AD190">
        <v>0</v>
      </c>
      <c r="AE190">
        <v>72</v>
      </c>
    </row>
    <row r="191" spans="2:31" x14ac:dyDescent="0.3">
      <c r="B191" t="s">
        <v>107</v>
      </c>
      <c r="C191">
        <v>0.36603773584905702</v>
      </c>
      <c r="D191">
        <v>0.25622641509434002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34</v>
      </c>
      <c r="P191">
        <v>33</v>
      </c>
      <c r="Q191">
        <v>19</v>
      </c>
      <c r="R191">
        <v>18</v>
      </c>
      <c r="S191">
        <v>1.9335679578392899</v>
      </c>
      <c r="T191">
        <v>1.5942674542686901</v>
      </c>
      <c r="U191">
        <v>1.38581959954274</v>
      </c>
      <c r="V191">
        <v>1.3587707796269799</v>
      </c>
      <c r="W191">
        <v>183.23372689579799</v>
      </c>
      <c r="X191">
        <v>182.12053626728601</v>
      </c>
      <c r="Y191">
        <v>181.43665222947101</v>
      </c>
      <c r="Z191">
        <v>181.34790938197801</v>
      </c>
      <c r="AA191">
        <v>0</v>
      </c>
      <c r="AB191">
        <v>1</v>
      </c>
      <c r="AC191">
        <v>0</v>
      </c>
      <c r="AD191">
        <v>0</v>
      </c>
      <c r="AE191">
        <v>53</v>
      </c>
    </row>
    <row r="192" spans="2:31" x14ac:dyDescent="0.3">
      <c r="B192" t="s">
        <v>108</v>
      </c>
      <c r="C192">
        <v>8.9433962264150901E-2</v>
      </c>
      <c r="D192">
        <v>0.36603773584905702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37</v>
      </c>
      <c r="P192">
        <v>34</v>
      </c>
      <c r="Q192">
        <v>29</v>
      </c>
      <c r="R192">
        <v>19</v>
      </c>
      <c r="S192">
        <v>1.70007162989867</v>
      </c>
      <c r="T192">
        <v>1.9335679578392899</v>
      </c>
      <c r="U192">
        <v>1.23820714997753</v>
      </c>
      <c r="V192">
        <v>1.38581959954274</v>
      </c>
      <c r="W192">
        <v>182.46766282775201</v>
      </c>
      <c r="X192">
        <v>183.23372689579799</v>
      </c>
      <c r="Y192">
        <v>180.952359415937</v>
      </c>
      <c r="Z192">
        <v>181.43665222947101</v>
      </c>
      <c r="AA192">
        <v>0</v>
      </c>
      <c r="AB192">
        <v>1</v>
      </c>
      <c r="AC192">
        <v>0</v>
      </c>
      <c r="AD192">
        <v>0</v>
      </c>
      <c r="AE192">
        <v>15</v>
      </c>
    </row>
    <row r="193" spans="2:31" x14ac:dyDescent="0.3">
      <c r="B193" t="s">
        <v>109</v>
      </c>
      <c r="C193">
        <v>3.77358490566038E-2</v>
      </c>
      <c r="D193">
        <v>8.9433962264150901E-2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37</v>
      </c>
      <c r="P193">
        <v>37</v>
      </c>
      <c r="Q193">
        <v>27</v>
      </c>
      <c r="R193">
        <v>29</v>
      </c>
      <c r="S193">
        <v>1.6070921508786999</v>
      </c>
      <c r="T193">
        <v>1.70007162989867</v>
      </c>
      <c r="U193">
        <v>0.97600343787107602</v>
      </c>
      <c r="V193">
        <v>1.23820714997753</v>
      </c>
      <c r="W193">
        <v>182.16261204356499</v>
      </c>
      <c r="X193">
        <v>182.46766282775201</v>
      </c>
      <c r="Y193">
        <v>180.09211101663701</v>
      </c>
      <c r="Z193">
        <v>180.952359415937</v>
      </c>
      <c r="AA193">
        <v>0</v>
      </c>
      <c r="AB193">
        <v>1</v>
      </c>
      <c r="AC193">
        <v>0</v>
      </c>
      <c r="AD193">
        <v>0</v>
      </c>
      <c r="AE193">
        <v>12</v>
      </c>
    </row>
    <row r="194" spans="2:31" x14ac:dyDescent="0.3">
      <c r="B194" t="s">
        <v>110</v>
      </c>
      <c r="C194">
        <v>5.7735849056603797E-2</v>
      </c>
      <c r="D194">
        <v>3.77358490566038E-2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30</v>
      </c>
      <c r="P194">
        <v>37</v>
      </c>
      <c r="Q194">
        <v>25</v>
      </c>
      <c r="R194">
        <v>27</v>
      </c>
      <c r="S194">
        <v>1.55780568039307</v>
      </c>
      <c r="T194">
        <v>1.6070921508786999</v>
      </c>
      <c r="U194">
        <v>1.47096178920245</v>
      </c>
      <c r="V194">
        <v>0.97600343787107602</v>
      </c>
      <c r="W194">
        <v>182.000911024912</v>
      </c>
      <c r="X194">
        <v>182.16261204356499</v>
      </c>
      <c r="Y194">
        <v>181.71599012205499</v>
      </c>
      <c r="Z194">
        <v>180.09211101663701</v>
      </c>
      <c r="AA194">
        <v>0</v>
      </c>
      <c r="AB194">
        <v>1</v>
      </c>
      <c r="AC194">
        <v>0</v>
      </c>
      <c r="AD194">
        <v>0</v>
      </c>
      <c r="AE194">
        <v>15</v>
      </c>
    </row>
    <row r="195" spans="2:31" x14ac:dyDescent="0.3">
      <c r="B195" t="s">
        <v>111</v>
      </c>
      <c r="C195">
        <v>6.2641509433962295E-2</v>
      </c>
      <c r="D195">
        <v>5.7735849056603797E-2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36</v>
      </c>
      <c r="P195">
        <v>30</v>
      </c>
      <c r="Q195">
        <v>21</v>
      </c>
      <c r="R195">
        <v>25</v>
      </c>
      <c r="S195">
        <v>1.3612157858629499</v>
      </c>
      <c r="T195">
        <v>1.55780568039307</v>
      </c>
      <c r="U195">
        <v>1.2368906039913401</v>
      </c>
      <c r="V195">
        <v>1.47096178920245</v>
      </c>
      <c r="W195">
        <v>181.35593105598099</v>
      </c>
      <c r="X195">
        <v>182.000911024912</v>
      </c>
      <c r="Y195">
        <v>180.948040039342</v>
      </c>
      <c r="Z195">
        <v>181.71599012205499</v>
      </c>
      <c r="AA195">
        <v>0</v>
      </c>
      <c r="AB195">
        <v>1</v>
      </c>
      <c r="AC195">
        <v>0</v>
      </c>
      <c r="AD195">
        <v>0</v>
      </c>
      <c r="AE195">
        <v>6</v>
      </c>
    </row>
    <row r="196" spans="2:31" x14ac:dyDescent="0.3">
      <c r="B196" t="s">
        <v>112</v>
      </c>
      <c r="C196">
        <v>0.13018867924528299</v>
      </c>
      <c r="D196">
        <v>6.2641509433962295E-2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29</v>
      </c>
      <c r="P196">
        <v>36</v>
      </c>
      <c r="Q196">
        <v>24</v>
      </c>
      <c r="R196">
        <v>21</v>
      </c>
      <c r="S196">
        <v>1.8443950798900499</v>
      </c>
      <c r="T196">
        <v>1.3612157858629499</v>
      </c>
      <c r="U196">
        <v>1.5271981798766801</v>
      </c>
      <c r="V196">
        <v>1.2368906039913401</v>
      </c>
      <c r="W196">
        <v>182.94116496026899</v>
      </c>
      <c r="X196">
        <v>181.35593105598099</v>
      </c>
      <c r="Y196">
        <v>181.900492716131</v>
      </c>
      <c r="Z196">
        <v>180.948040039342</v>
      </c>
      <c r="AA196">
        <v>0</v>
      </c>
      <c r="AB196">
        <v>1</v>
      </c>
      <c r="AC196">
        <v>0</v>
      </c>
      <c r="AD196">
        <v>0</v>
      </c>
      <c r="AE196">
        <v>14</v>
      </c>
    </row>
    <row r="197" spans="2:31" x14ac:dyDescent="0.3">
      <c r="B197" t="s">
        <v>113</v>
      </c>
      <c r="C197">
        <v>0.25622641509434002</v>
      </c>
      <c r="D197">
        <v>0.13018867924528299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35</v>
      </c>
      <c r="P197">
        <v>29</v>
      </c>
      <c r="Q197">
        <v>18</v>
      </c>
      <c r="R197">
        <v>24</v>
      </c>
      <c r="S197">
        <v>1.47732624541974</v>
      </c>
      <c r="T197">
        <v>1.8443950798900499</v>
      </c>
      <c r="U197">
        <v>0.93276797414856305</v>
      </c>
      <c r="V197">
        <v>1.5271981798766801</v>
      </c>
      <c r="W197">
        <v>181.73687088392299</v>
      </c>
      <c r="X197">
        <v>182.94116496026899</v>
      </c>
      <c r="Y197">
        <v>179.95026238237699</v>
      </c>
      <c r="Z197">
        <v>181.900492716131</v>
      </c>
      <c r="AA197">
        <v>0</v>
      </c>
      <c r="AB197">
        <v>1</v>
      </c>
      <c r="AC197">
        <v>0</v>
      </c>
      <c r="AD197">
        <v>0</v>
      </c>
      <c r="AE197">
        <v>67</v>
      </c>
    </row>
    <row r="198" spans="2:31" x14ac:dyDescent="0.3">
      <c r="B198" t="s">
        <v>114</v>
      </c>
      <c r="C198">
        <v>0.36603773584905702</v>
      </c>
      <c r="D198">
        <v>0.25622641509434002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38</v>
      </c>
      <c r="P198">
        <v>35</v>
      </c>
      <c r="Q198">
        <v>14</v>
      </c>
      <c r="R198">
        <v>18</v>
      </c>
      <c r="S198">
        <v>1.45484260938882</v>
      </c>
      <c r="T198">
        <v>1.47732624541974</v>
      </c>
      <c r="U198">
        <v>0.81726615001874903</v>
      </c>
      <c r="V198">
        <v>0.93276797414856305</v>
      </c>
      <c r="W198">
        <v>181.66310567384801</v>
      </c>
      <c r="X198">
        <v>181.73687088392299</v>
      </c>
      <c r="Y198">
        <v>179.57131938982499</v>
      </c>
      <c r="Z198">
        <v>179.95026238237699</v>
      </c>
      <c r="AA198">
        <v>0</v>
      </c>
      <c r="AB198">
        <v>1</v>
      </c>
      <c r="AC198">
        <v>0</v>
      </c>
      <c r="AD198">
        <v>0</v>
      </c>
      <c r="AE198">
        <v>65</v>
      </c>
    </row>
    <row r="199" spans="2:31" x14ac:dyDescent="0.3">
      <c r="B199" t="s">
        <v>115</v>
      </c>
      <c r="C199">
        <v>8.9433962264150901E-2</v>
      </c>
      <c r="D199">
        <v>0.36603773584905702</v>
      </c>
      <c r="E199">
        <v>1</v>
      </c>
      <c r="F199">
        <v>0</v>
      </c>
      <c r="G199">
        <v>1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0</v>
      </c>
      <c r="O199">
        <v>38</v>
      </c>
      <c r="P199">
        <v>38</v>
      </c>
      <c r="Q199">
        <v>24</v>
      </c>
      <c r="R199">
        <v>14</v>
      </c>
      <c r="S199">
        <v>1.49734414679942</v>
      </c>
      <c r="T199">
        <v>1.45484260938882</v>
      </c>
      <c r="U199">
        <v>0.54281059989186498</v>
      </c>
      <c r="V199">
        <v>0.81726615001874903</v>
      </c>
      <c r="W199">
        <v>181.80254641338399</v>
      </c>
      <c r="X199">
        <v>181.66310567384801</v>
      </c>
      <c r="Y199">
        <v>178.67087467156099</v>
      </c>
      <c r="Z199">
        <v>179.57131938982499</v>
      </c>
      <c r="AA199">
        <v>0</v>
      </c>
      <c r="AB199">
        <v>1</v>
      </c>
      <c r="AC199">
        <v>0</v>
      </c>
      <c r="AD199">
        <v>0</v>
      </c>
      <c r="AE199">
        <v>75</v>
      </c>
    </row>
    <row r="200" spans="2:31" x14ac:dyDescent="0.3">
      <c r="B200" t="s">
        <v>116</v>
      </c>
      <c r="C200">
        <v>3.77358490566038E-2</v>
      </c>
      <c r="D200">
        <v>8.9433962264150901E-2</v>
      </c>
      <c r="E200">
        <v>0</v>
      </c>
      <c r="F200">
        <v>1</v>
      </c>
      <c r="G200">
        <v>1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40</v>
      </c>
      <c r="P200">
        <v>38</v>
      </c>
      <c r="Q200">
        <v>34</v>
      </c>
      <c r="R200">
        <v>24</v>
      </c>
      <c r="S200">
        <v>1.56015992969053</v>
      </c>
      <c r="T200">
        <v>1.49734414679942</v>
      </c>
      <c r="U200">
        <v>0.89863031794165305</v>
      </c>
      <c r="V200">
        <v>0.54281059989186498</v>
      </c>
      <c r="W200">
        <v>182.00863493993</v>
      </c>
      <c r="X200">
        <v>181.80254641338399</v>
      </c>
      <c r="Y200">
        <v>179.83826219797101</v>
      </c>
      <c r="Z200">
        <v>178.67087467156099</v>
      </c>
      <c r="AA200">
        <v>0</v>
      </c>
      <c r="AB200">
        <v>1</v>
      </c>
      <c r="AC200">
        <v>0</v>
      </c>
      <c r="AD200">
        <v>0</v>
      </c>
      <c r="AE200">
        <v>12</v>
      </c>
    </row>
    <row r="201" spans="2:31" x14ac:dyDescent="0.3">
      <c r="B201" t="s">
        <v>117</v>
      </c>
      <c r="C201">
        <v>5.7735849056603797E-2</v>
      </c>
      <c r="D201">
        <v>3.77358490566038E-2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39</v>
      </c>
      <c r="P201">
        <v>40</v>
      </c>
      <c r="Q201">
        <v>28</v>
      </c>
      <c r="R201">
        <v>34</v>
      </c>
      <c r="S201">
        <v>1.9987321686842801</v>
      </c>
      <c r="T201">
        <v>1.56015992969053</v>
      </c>
      <c r="U201">
        <v>1.2007173424128501</v>
      </c>
      <c r="V201">
        <v>0.89863031794165305</v>
      </c>
      <c r="W201">
        <v>183.44752023846499</v>
      </c>
      <c r="X201">
        <v>182.00863493993</v>
      </c>
      <c r="Y201">
        <v>180.829361359622</v>
      </c>
      <c r="Z201">
        <v>179.83826219797101</v>
      </c>
      <c r="AA201">
        <v>0</v>
      </c>
      <c r="AB201">
        <v>1</v>
      </c>
      <c r="AC201">
        <v>0</v>
      </c>
      <c r="AD201">
        <v>0</v>
      </c>
      <c r="AE201">
        <v>15</v>
      </c>
    </row>
    <row r="202" spans="2:31" x14ac:dyDescent="0.3">
      <c r="B202" t="s">
        <v>118</v>
      </c>
      <c r="C202">
        <v>6.2641509433962295E-2</v>
      </c>
      <c r="D202">
        <v>5.7735849056603797E-2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0.78</v>
      </c>
      <c r="N202">
        <v>0</v>
      </c>
      <c r="O202">
        <v>26</v>
      </c>
      <c r="P202">
        <v>39</v>
      </c>
      <c r="Q202">
        <v>23</v>
      </c>
      <c r="R202">
        <v>28</v>
      </c>
      <c r="S202">
        <v>1.8145303246776601</v>
      </c>
      <c r="T202">
        <v>1.9987321686842801</v>
      </c>
      <c r="U202">
        <v>1.51930554692651</v>
      </c>
      <c r="V202">
        <v>1.2007173424128501</v>
      </c>
      <c r="W202">
        <v>182.84318347991399</v>
      </c>
      <c r="X202">
        <v>183.44752023846499</v>
      </c>
      <c r="Y202">
        <v>181.87459825107101</v>
      </c>
      <c r="Z202">
        <v>180.829361359622</v>
      </c>
      <c r="AA202">
        <v>0</v>
      </c>
      <c r="AB202">
        <v>1</v>
      </c>
      <c r="AC202">
        <v>0</v>
      </c>
      <c r="AD202">
        <v>0</v>
      </c>
      <c r="AE202">
        <v>5</v>
      </c>
    </row>
    <row r="203" spans="2:31" x14ac:dyDescent="0.3">
      <c r="B203" t="s">
        <v>119</v>
      </c>
      <c r="C203">
        <v>0.13018867924528299</v>
      </c>
      <c r="D203">
        <v>6.2641509433962295E-2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0.68</v>
      </c>
      <c r="N203">
        <v>0.78</v>
      </c>
      <c r="O203">
        <v>25</v>
      </c>
      <c r="P203">
        <v>26</v>
      </c>
      <c r="Q203">
        <v>19</v>
      </c>
      <c r="R203">
        <v>23</v>
      </c>
      <c r="S203">
        <v>1.9491430538377701</v>
      </c>
      <c r="T203">
        <v>1.8145303246776601</v>
      </c>
      <c r="U203">
        <v>1.7133873781842099</v>
      </c>
      <c r="V203">
        <v>1.51930554692651</v>
      </c>
      <c r="W203">
        <v>183.28482629211899</v>
      </c>
      <c r="X203">
        <v>182.84318347991399</v>
      </c>
      <c r="Y203">
        <v>182.51134966595899</v>
      </c>
      <c r="Z203">
        <v>181.87459825107101</v>
      </c>
      <c r="AA203">
        <v>0</v>
      </c>
      <c r="AB203">
        <v>1</v>
      </c>
      <c r="AC203">
        <v>0</v>
      </c>
      <c r="AD203">
        <v>0</v>
      </c>
      <c r="AE203">
        <v>11</v>
      </c>
    </row>
    <row r="204" spans="2:31" x14ac:dyDescent="0.3">
      <c r="B204" t="s">
        <v>120</v>
      </c>
      <c r="C204">
        <v>0.25622641509434002</v>
      </c>
      <c r="D204">
        <v>0.13018867924528299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0.05</v>
      </c>
      <c r="N204">
        <v>0.68</v>
      </c>
      <c r="O204">
        <v>35</v>
      </c>
      <c r="P204">
        <v>25</v>
      </c>
      <c r="Q204">
        <v>15</v>
      </c>
      <c r="R204">
        <v>19</v>
      </c>
      <c r="S204">
        <v>1.8802345902336799</v>
      </c>
      <c r="T204">
        <v>1.9491430538377701</v>
      </c>
      <c r="U204">
        <v>0.97243796825093798</v>
      </c>
      <c r="V204">
        <v>1.7133873781842099</v>
      </c>
      <c r="W204">
        <v>183.058748655622</v>
      </c>
      <c r="X204">
        <v>183.28482629211899</v>
      </c>
      <c r="Y204">
        <v>180.080413281663</v>
      </c>
      <c r="Z204">
        <v>182.51134966595899</v>
      </c>
      <c r="AA204">
        <v>0</v>
      </c>
      <c r="AB204">
        <v>1</v>
      </c>
      <c r="AC204">
        <v>0</v>
      </c>
      <c r="AD204">
        <v>0</v>
      </c>
      <c r="AE204">
        <v>36</v>
      </c>
    </row>
    <row r="205" spans="2:31" x14ac:dyDescent="0.3">
      <c r="B205" t="s">
        <v>121</v>
      </c>
      <c r="C205">
        <v>0.36603773584905702</v>
      </c>
      <c r="D205">
        <v>0.25622641509434002</v>
      </c>
      <c r="E205">
        <v>0</v>
      </c>
      <c r="F205">
        <v>0</v>
      </c>
      <c r="G205">
        <v>0</v>
      </c>
      <c r="H205">
        <v>1</v>
      </c>
      <c r="I205">
        <v>0</v>
      </c>
      <c r="J205">
        <v>1</v>
      </c>
      <c r="K205">
        <v>0</v>
      </c>
      <c r="L205">
        <v>0</v>
      </c>
      <c r="M205">
        <v>0.16</v>
      </c>
      <c r="N205">
        <v>0.05</v>
      </c>
      <c r="O205">
        <v>22</v>
      </c>
      <c r="P205">
        <v>35</v>
      </c>
      <c r="Q205">
        <v>21</v>
      </c>
      <c r="R205">
        <v>15</v>
      </c>
      <c r="S205">
        <v>1.5932046069058601</v>
      </c>
      <c r="T205">
        <v>1.8802345902336799</v>
      </c>
      <c r="U205">
        <v>1.5683410997259599</v>
      </c>
      <c r="V205">
        <v>0.97243796825093798</v>
      </c>
      <c r="W205">
        <v>182.117049235255</v>
      </c>
      <c r="X205">
        <v>183.058748655622</v>
      </c>
      <c r="Y205">
        <v>182.03547604897</v>
      </c>
      <c r="Z205">
        <v>180.080413281663</v>
      </c>
      <c r="AA205">
        <v>0</v>
      </c>
      <c r="AB205">
        <v>1</v>
      </c>
      <c r="AC205">
        <v>0</v>
      </c>
      <c r="AD205">
        <v>0</v>
      </c>
      <c r="AE205">
        <v>2</v>
      </c>
    </row>
    <row r="206" spans="2:31" x14ac:dyDescent="0.3">
      <c r="B206" t="s">
        <v>9</v>
      </c>
      <c r="C206">
        <v>6.1778682959945701E-2</v>
      </c>
      <c r="D206">
        <v>6.1778682959945701E-2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25</v>
      </c>
      <c r="P206">
        <v>25</v>
      </c>
      <c r="Q206">
        <v>16</v>
      </c>
      <c r="R206">
        <v>16</v>
      </c>
      <c r="S206">
        <v>3.2944217054488498</v>
      </c>
      <c r="T206">
        <v>3.2944217054488498</v>
      </c>
      <c r="U206">
        <v>2.8214645115074002</v>
      </c>
      <c r="V206">
        <v>2.8214645115074002</v>
      </c>
      <c r="W206">
        <v>183.448470162234</v>
      </c>
      <c r="X206">
        <v>183.448470162234</v>
      </c>
      <c r="Y206">
        <v>181.89677333171699</v>
      </c>
      <c r="Z206">
        <v>181.89677333171699</v>
      </c>
      <c r="AA206">
        <v>0</v>
      </c>
      <c r="AB206">
        <v>0</v>
      </c>
      <c r="AC206">
        <v>1</v>
      </c>
      <c r="AD206">
        <v>0</v>
      </c>
      <c r="AE206">
        <v>5</v>
      </c>
    </row>
    <row r="207" spans="2:31" x14ac:dyDescent="0.3">
      <c r="B207" t="s">
        <v>10</v>
      </c>
      <c r="C207">
        <v>0.144602851323829</v>
      </c>
      <c r="D207">
        <v>6.1778682959945701E-2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29</v>
      </c>
      <c r="P207">
        <v>25</v>
      </c>
      <c r="Q207">
        <v>15</v>
      </c>
      <c r="R207">
        <v>16</v>
      </c>
      <c r="S207">
        <v>3.2795314772128399</v>
      </c>
      <c r="T207">
        <v>3.2944217054488498</v>
      </c>
      <c r="U207">
        <v>2.6702638721303802</v>
      </c>
      <c r="V207">
        <v>2.8214645115074002</v>
      </c>
      <c r="W207">
        <v>183.399617707391</v>
      </c>
      <c r="X207">
        <v>183.448470162234</v>
      </c>
      <c r="Y207">
        <v>181.400708241898</v>
      </c>
      <c r="Z207">
        <v>181.89677333171699</v>
      </c>
      <c r="AA207">
        <v>0</v>
      </c>
      <c r="AB207">
        <v>0</v>
      </c>
      <c r="AC207">
        <v>1</v>
      </c>
      <c r="AD207">
        <v>0</v>
      </c>
      <c r="AE207">
        <v>23</v>
      </c>
    </row>
    <row r="208" spans="2:31" x14ac:dyDescent="0.3">
      <c r="B208" t="s">
        <v>11</v>
      </c>
      <c r="C208">
        <v>0.273455532926001</v>
      </c>
      <c r="D208">
        <v>0.144602851323829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27</v>
      </c>
      <c r="P208">
        <v>29</v>
      </c>
      <c r="Q208">
        <v>7</v>
      </c>
      <c r="R208">
        <v>15</v>
      </c>
      <c r="S208">
        <v>3.0340105268487099</v>
      </c>
      <c r="T208">
        <v>3.2795314772128399</v>
      </c>
      <c r="U208">
        <v>2.79623377972871</v>
      </c>
      <c r="V208">
        <v>2.6702638721303802</v>
      </c>
      <c r="W208">
        <v>182.594102778375</v>
      </c>
      <c r="X208">
        <v>183.399617707391</v>
      </c>
      <c r="Y208">
        <v>181.81399534031701</v>
      </c>
      <c r="Z208">
        <v>181.400708241898</v>
      </c>
      <c r="AA208">
        <v>0</v>
      </c>
      <c r="AB208">
        <v>0</v>
      </c>
      <c r="AC208">
        <v>1</v>
      </c>
      <c r="AD208">
        <v>0</v>
      </c>
      <c r="AE208">
        <v>39</v>
      </c>
    </row>
    <row r="209" spans="2:31" x14ac:dyDescent="0.3">
      <c r="B209" t="s">
        <v>12</v>
      </c>
      <c r="C209">
        <v>0.31785471826204997</v>
      </c>
      <c r="D209">
        <v>0.273455532926001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35</v>
      </c>
      <c r="P209">
        <v>27</v>
      </c>
      <c r="Q209">
        <v>9</v>
      </c>
      <c r="R209">
        <v>7</v>
      </c>
      <c r="S209">
        <v>2.6862883284415799</v>
      </c>
      <c r="T209">
        <v>3.0340105268487099</v>
      </c>
      <c r="U209">
        <v>2.0983573811253402</v>
      </c>
      <c r="V209">
        <v>2.79623377972871</v>
      </c>
      <c r="W209">
        <v>181.45328191745901</v>
      </c>
      <c r="X209">
        <v>182.594102778375</v>
      </c>
      <c r="Y209">
        <v>179.52437460999101</v>
      </c>
      <c r="Z209">
        <v>181.81399534031701</v>
      </c>
      <c r="AA209">
        <v>0</v>
      </c>
      <c r="AB209">
        <v>0</v>
      </c>
      <c r="AC209">
        <v>1</v>
      </c>
      <c r="AD209">
        <v>0</v>
      </c>
      <c r="AE209">
        <v>173</v>
      </c>
    </row>
    <row r="210" spans="2:31" x14ac:dyDescent="0.3">
      <c r="B210" t="s">
        <v>13</v>
      </c>
      <c r="C210">
        <v>9.6673455532926E-2</v>
      </c>
      <c r="D210">
        <v>0.31785471826204997</v>
      </c>
      <c r="E210">
        <v>1</v>
      </c>
      <c r="F210">
        <v>0</v>
      </c>
      <c r="G210">
        <v>1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33</v>
      </c>
      <c r="P210">
        <v>35</v>
      </c>
      <c r="Q210">
        <v>16</v>
      </c>
      <c r="R210">
        <v>9</v>
      </c>
      <c r="S210">
        <v>2.9545467058269002</v>
      </c>
      <c r="T210">
        <v>2.6862883284415799</v>
      </c>
      <c r="U210">
        <v>2.8358416729268501</v>
      </c>
      <c r="V210">
        <v>2.0983573811253402</v>
      </c>
      <c r="W210">
        <v>182.333394704157</v>
      </c>
      <c r="X210">
        <v>181.45328191745901</v>
      </c>
      <c r="Y210">
        <v>181.943942496479</v>
      </c>
      <c r="Z210">
        <v>179.52437460999101</v>
      </c>
      <c r="AA210">
        <v>0</v>
      </c>
      <c r="AB210">
        <v>0</v>
      </c>
      <c r="AC210">
        <v>1</v>
      </c>
      <c r="AD210">
        <v>0</v>
      </c>
      <c r="AE210">
        <v>50</v>
      </c>
    </row>
    <row r="211" spans="2:31" x14ac:dyDescent="0.3">
      <c r="B211" t="s">
        <v>14</v>
      </c>
      <c r="C211">
        <v>3.9646978954514599E-2</v>
      </c>
      <c r="D211">
        <v>9.6673455532926E-2</v>
      </c>
      <c r="E211">
        <v>0</v>
      </c>
      <c r="F211">
        <v>1</v>
      </c>
      <c r="G211">
        <v>1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33</v>
      </c>
      <c r="P211">
        <v>33</v>
      </c>
      <c r="Q211">
        <v>20</v>
      </c>
      <c r="R211">
        <v>16</v>
      </c>
      <c r="S211">
        <v>2.96585649865944</v>
      </c>
      <c r="T211">
        <v>2.9545467058269002</v>
      </c>
      <c r="U211">
        <v>2.5588718966264299</v>
      </c>
      <c r="V211">
        <v>2.8358416729268501</v>
      </c>
      <c r="W211">
        <v>182.370500323686</v>
      </c>
      <c r="X211">
        <v>182.333394704157</v>
      </c>
      <c r="Y211">
        <v>181.03524900468</v>
      </c>
      <c r="Z211">
        <v>181.943942496479</v>
      </c>
      <c r="AA211">
        <v>0</v>
      </c>
      <c r="AB211">
        <v>0</v>
      </c>
      <c r="AC211">
        <v>1</v>
      </c>
      <c r="AD211">
        <v>0</v>
      </c>
      <c r="AE211">
        <v>13</v>
      </c>
    </row>
    <row r="212" spans="2:31" x14ac:dyDescent="0.3">
      <c r="B212" t="s">
        <v>15</v>
      </c>
      <c r="C212">
        <v>6.5987780040733204E-2</v>
      </c>
      <c r="D212">
        <v>3.9646978954514599E-2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34</v>
      </c>
      <c r="P212">
        <v>33</v>
      </c>
      <c r="Q212">
        <v>21</v>
      </c>
      <c r="R212">
        <v>20</v>
      </c>
      <c r="S212">
        <v>3.0040108033361199</v>
      </c>
      <c r="T212">
        <v>2.96585649865944</v>
      </c>
      <c r="U212">
        <v>1.9034758736226001</v>
      </c>
      <c r="V212">
        <v>2.5588718966264299</v>
      </c>
      <c r="W212">
        <v>182.495678488636</v>
      </c>
      <c r="X212">
        <v>182.370500323686</v>
      </c>
      <c r="Y212">
        <v>178.88499958537599</v>
      </c>
      <c r="Z212">
        <v>181.03524900468</v>
      </c>
      <c r="AA212">
        <v>0</v>
      </c>
      <c r="AB212">
        <v>0</v>
      </c>
      <c r="AC212">
        <v>1</v>
      </c>
      <c r="AD212">
        <v>0</v>
      </c>
      <c r="AE212">
        <v>15</v>
      </c>
    </row>
    <row r="213" spans="2:31" x14ac:dyDescent="0.3">
      <c r="B213" t="s">
        <v>16</v>
      </c>
      <c r="C213">
        <v>6.1778682959945701E-2</v>
      </c>
      <c r="D213">
        <v>6.5987780040733204E-2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0.34649999999999997</v>
      </c>
      <c r="N213">
        <v>0</v>
      </c>
      <c r="O213">
        <v>31</v>
      </c>
      <c r="P213">
        <v>34</v>
      </c>
      <c r="Q213">
        <v>21</v>
      </c>
      <c r="R213">
        <v>21</v>
      </c>
      <c r="S213">
        <v>3.2736751424669599</v>
      </c>
      <c r="T213">
        <v>3.0040108033361199</v>
      </c>
      <c r="U213">
        <v>1.9807122764827201</v>
      </c>
      <c r="V213">
        <v>1.9034758736226001</v>
      </c>
      <c r="W213">
        <v>183.380404010718</v>
      </c>
      <c r="X213">
        <v>182.495678488636</v>
      </c>
      <c r="Y213">
        <v>179.138399857227</v>
      </c>
      <c r="Z213">
        <v>178.88499958537599</v>
      </c>
      <c r="AA213">
        <v>0</v>
      </c>
      <c r="AB213">
        <v>0</v>
      </c>
      <c r="AC213">
        <v>1</v>
      </c>
      <c r="AD213">
        <v>0</v>
      </c>
      <c r="AE213">
        <v>9</v>
      </c>
    </row>
    <row r="214" spans="2:31" x14ac:dyDescent="0.3">
      <c r="B214" t="s">
        <v>17</v>
      </c>
      <c r="C214">
        <v>0.144602851323829</v>
      </c>
      <c r="D214">
        <v>6.1778682959945701E-2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9.8000000000000004E-2</v>
      </c>
      <c r="N214">
        <v>0.34649999999999997</v>
      </c>
      <c r="O214">
        <v>34</v>
      </c>
      <c r="P214">
        <v>31</v>
      </c>
      <c r="Q214">
        <v>16</v>
      </c>
      <c r="R214">
        <v>21</v>
      </c>
      <c r="S214">
        <v>3.4431616938824501</v>
      </c>
      <c r="T214">
        <v>3.2736751424669599</v>
      </c>
      <c r="U214">
        <v>2.3903412874947598</v>
      </c>
      <c r="V214">
        <v>1.9807122764827201</v>
      </c>
      <c r="W214">
        <v>183.93646225027101</v>
      </c>
      <c r="X214">
        <v>183.380404010718</v>
      </c>
      <c r="Y214">
        <v>180.48232705871001</v>
      </c>
      <c r="Z214">
        <v>179.138399857227</v>
      </c>
      <c r="AA214">
        <v>0</v>
      </c>
      <c r="AB214">
        <v>0</v>
      </c>
      <c r="AC214">
        <v>1</v>
      </c>
      <c r="AD214">
        <v>0</v>
      </c>
      <c r="AE214">
        <v>72</v>
      </c>
    </row>
    <row r="215" spans="2:31" x14ac:dyDescent="0.3">
      <c r="B215" t="s">
        <v>18</v>
      </c>
      <c r="C215">
        <v>0.273455532926001</v>
      </c>
      <c r="D215">
        <v>0.144602851323829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9.8000000000000004E-2</v>
      </c>
      <c r="O215">
        <v>35</v>
      </c>
      <c r="P215">
        <v>34</v>
      </c>
      <c r="Q215">
        <v>17</v>
      </c>
      <c r="R215">
        <v>16</v>
      </c>
      <c r="S215">
        <v>3.21157178905325</v>
      </c>
      <c r="T215">
        <v>3.4431616938824501</v>
      </c>
      <c r="U215">
        <v>2.3230500216619299</v>
      </c>
      <c r="V215">
        <v>2.3903412874947598</v>
      </c>
      <c r="W215">
        <v>183.17665285122499</v>
      </c>
      <c r="X215">
        <v>183.93646225027101</v>
      </c>
      <c r="Y215">
        <v>180.26155518918</v>
      </c>
      <c r="Z215">
        <v>180.48232705871001</v>
      </c>
      <c r="AA215">
        <v>0</v>
      </c>
      <c r="AB215">
        <v>0</v>
      </c>
      <c r="AC215">
        <v>1</v>
      </c>
      <c r="AD215">
        <v>0</v>
      </c>
      <c r="AE215">
        <v>141</v>
      </c>
    </row>
    <row r="216" spans="2:31" x14ac:dyDescent="0.3">
      <c r="B216" t="s">
        <v>19</v>
      </c>
      <c r="C216">
        <v>0.31785471826204997</v>
      </c>
      <c r="D216">
        <v>0.273455532926001</v>
      </c>
      <c r="E216">
        <v>0</v>
      </c>
      <c r="F216">
        <v>0</v>
      </c>
      <c r="G216">
        <v>0</v>
      </c>
      <c r="H216">
        <v>1</v>
      </c>
      <c r="I216">
        <v>0</v>
      </c>
      <c r="J216">
        <v>1</v>
      </c>
      <c r="K216">
        <v>0</v>
      </c>
      <c r="L216">
        <v>0</v>
      </c>
      <c r="M216">
        <v>1.0500000000000001E-2</v>
      </c>
      <c r="N216">
        <v>0</v>
      </c>
      <c r="O216">
        <v>22</v>
      </c>
      <c r="P216">
        <v>35</v>
      </c>
      <c r="Q216">
        <v>15</v>
      </c>
      <c r="R216">
        <v>17</v>
      </c>
      <c r="S216">
        <v>3.0612170084185499</v>
      </c>
      <c r="T216">
        <v>3.21157178905325</v>
      </c>
      <c r="U216">
        <v>2.3809716381565398</v>
      </c>
      <c r="V216">
        <v>2.3230500216619299</v>
      </c>
      <c r="W216">
        <v>182.68336288851199</v>
      </c>
      <c r="X216">
        <v>183.17665285122499</v>
      </c>
      <c r="Y216">
        <v>180.45158673935899</v>
      </c>
      <c r="Z216">
        <v>180.26155518918</v>
      </c>
      <c r="AA216">
        <v>0</v>
      </c>
      <c r="AB216">
        <v>0</v>
      </c>
      <c r="AC216">
        <v>1</v>
      </c>
      <c r="AD216">
        <v>0</v>
      </c>
      <c r="AE216">
        <v>17</v>
      </c>
    </row>
    <row r="217" spans="2:31" x14ac:dyDescent="0.3">
      <c r="B217" t="s">
        <v>20</v>
      </c>
      <c r="C217">
        <v>9.6673455532926E-2</v>
      </c>
      <c r="D217">
        <v>0.31785471826204997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0.33950000000000002</v>
      </c>
      <c r="N217">
        <v>1.0500000000000001E-2</v>
      </c>
      <c r="O217">
        <v>14</v>
      </c>
      <c r="P217">
        <v>22</v>
      </c>
      <c r="Q217">
        <v>13</v>
      </c>
      <c r="R217">
        <v>15</v>
      </c>
      <c r="S217">
        <v>2.7688675918726902</v>
      </c>
      <c r="T217">
        <v>3.0612170084185499</v>
      </c>
      <c r="U217">
        <v>2.7415560696552399</v>
      </c>
      <c r="V217">
        <v>2.3809716381565398</v>
      </c>
      <c r="W217">
        <v>181.724211259425</v>
      </c>
      <c r="X217">
        <v>182.68336288851199</v>
      </c>
      <c r="Y217">
        <v>181.63460652774</v>
      </c>
      <c r="Z217">
        <v>180.45158673935899</v>
      </c>
      <c r="AA217">
        <v>0</v>
      </c>
      <c r="AB217">
        <v>0</v>
      </c>
      <c r="AC217">
        <v>1</v>
      </c>
      <c r="AD217">
        <v>0</v>
      </c>
      <c r="AE217">
        <v>2</v>
      </c>
    </row>
    <row r="218" spans="2:31" x14ac:dyDescent="0.3">
      <c r="B218" t="s">
        <v>21</v>
      </c>
      <c r="C218">
        <v>3.9646978954514599E-2</v>
      </c>
      <c r="D218">
        <v>9.6673455532926E-2</v>
      </c>
      <c r="E218">
        <v>0</v>
      </c>
      <c r="F218">
        <v>0</v>
      </c>
      <c r="G218">
        <v>0</v>
      </c>
      <c r="H218">
        <v>1</v>
      </c>
      <c r="I218">
        <v>0</v>
      </c>
      <c r="J218">
        <v>0</v>
      </c>
      <c r="K218">
        <v>1</v>
      </c>
      <c r="L218">
        <v>0</v>
      </c>
      <c r="M218">
        <v>1.379</v>
      </c>
      <c r="N218">
        <v>0.33950000000000002</v>
      </c>
      <c r="O218">
        <v>17</v>
      </c>
      <c r="P218">
        <v>14</v>
      </c>
      <c r="Q218">
        <v>12</v>
      </c>
      <c r="R218">
        <v>13</v>
      </c>
      <c r="S218">
        <v>3.3863490827643301</v>
      </c>
      <c r="T218">
        <v>2.7688675918726902</v>
      </c>
      <c r="U218">
        <v>3.1223785240568498</v>
      </c>
      <c r="V218">
        <v>2.7415560696552399</v>
      </c>
      <c r="W218">
        <v>183.750069169174</v>
      </c>
      <c r="X218">
        <v>181.724211259425</v>
      </c>
      <c r="Y218">
        <v>182.884024029058</v>
      </c>
      <c r="Z218">
        <v>181.63460652774</v>
      </c>
      <c r="AA218">
        <v>0</v>
      </c>
      <c r="AB218">
        <v>0</v>
      </c>
      <c r="AC218">
        <v>1</v>
      </c>
      <c r="AD218">
        <v>0</v>
      </c>
      <c r="AE218">
        <v>6</v>
      </c>
    </row>
    <row r="219" spans="2:31" x14ac:dyDescent="0.3">
      <c r="B219" t="s">
        <v>22</v>
      </c>
      <c r="C219">
        <v>6.5987780040733204E-2</v>
      </c>
      <c r="D219">
        <v>3.9646978954514599E-2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1.7500000000000002E-2</v>
      </c>
      <c r="N219">
        <v>1.379</v>
      </c>
      <c r="O219">
        <v>32</v>
      </c>
      <c r="P219">
        <v>17</v>
      </c>
      <c r="Q219">
        <v>23</v>
      </c>
      <c r="R219">
        <v>12</v>
      </c>
      <c r="S219">
        <v>3.2200779640211898</v>
      </c>
      <c r="T219">
        <v>3.3863490827643301</v>
      </c>
      <c r="U219">
        <v>2.9841385320878002</v>
      </c>
      <c r="V219">
        <v>3.1223785240568498</v>
      </c>
      <c r="W219">
        <v>183.20456024941299</v>
      </c>
      <c r="X219">
        <v>183.750069169174</v>
      </c>
      <c r="Y219">
        <v>182.43048074832001</v>
      </c>
      <c r="Z219">
        <v>182.884024029058</v>
      </c>
      <c r="AA219">
        <v>0</v>
      </c>
      <c r="AB219">
        <v>0</v>
      </c>
      <c r="AC219">
        <v>1</v>
      </c>
      <c r="AD219">
        <v>0</v>
      </c>
      <c r="AE219">
        <v>8</v>
      </c>
    </row>
    <row r="220" spans="2:31" x14ac:dyDescent="0.3">
      <c r="B220" t="s">
        <v>23</v>
      </c>
      <c r="C220">
        <v>6.1778682959945701E-2</v>
      </c>
      <c r="D220">
        <v>6.5987780040733204E-2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1.7500000000000002E-2</v>
      </c>
      <c r="O220">
        <v>29</v>
      </c>
      <c r="P220">
        <v>32</v>
      </c>
      <c r="Q220">
        <v>14</v>
      </c>
      <c r="R220">
        <v>23</v>
      </c>
      <c r="S220">
        <v>3.2622453743147202</v>
      </c>
      <c r="T220">
        <v>3.2200779640211898</v>
      </c>
      <c r="U220">
        <v>2.6435196385489101</v>
      </c>
      <c r="V220">
        <v>2.9841385320878002</v>
      </c>
      <c r="W220">
        <v>183.34290477137401</v>
      </c>
      <c r="X220">
        <v>183.20456024941299</v>
      </c>
      <c r="Y220">
        <v>181.31296469340199</v>
      </c>
      <c r="Z220">
        <v>182.43048074832001</v>
      </c>
      <c r="AA220">
        <v>0</v>
      </c>
      <c r="AB220">
        <v>0</v>
      </c>
      <c r="AC220">
        <v>1</v>
      </c>
      <c r="AD220">
        <v>0</v>
      </c>
      <c r="AE220">
        <v>10</v>
      </c>
    </row>
    <row r="221" spans="2:31" x14ac:dyDescent="0.3">
      <c r="B221" t="s">
        <v>24</v>
      </c>
      <c r="C221">
        <v>0.144602851323829</v>
      </c>
      <c r="D221">
        <v>6.1778682959945701E-2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</v>
      </c>
      <c r="O221">
        <v>30</v>
      </c>
      <c r="P221">
        <v>29</v>
      </c>
      <c r="Q221">
        <v>15</v>
      </c>
      <c r="R221">
        <v>14</v>
      </c>
      <c r="S221">
        <v>3.2374483468228501</v>
      </c>
      <c r="T221">
        <v>3.2622453743147202</v>
      </c>
      <c r="U221">
        <v>2.8744617333150901</v>
      </c>
      <c r="V221">
        <v>2.6435196385489101</v>
      </c>
      <c r="W221">
        <v>183.26154969430101</v>
      </c>
      <c r="X221">
        <v>183.34290477137401</v>
      </c>
      <c r="Y221">
        <v>182.070648731349</v>
      </c>
      <c r="Z221">
        <v>181.31296469340199</v>
      </c>
      <c r="AA221">
        <v>0</v>
      </c>
      <c r="AB221">
        <v>0</v>
      </c>
      <c r="AC221">
        <v>1</v>
      </c>
      <c r="AD221">
        <v>0</v>
      </c>
      <c r="AE221">
        <v>37</v>
      </c>
    </row>
    <row r="222" spans="2:31" x14ac:dyDescent="0.3">
      <c r="B222" t="s">
        <v>25</v>
      </c>
      <c r="C222">
        <v>0.273455532926001</v>
      </c>
      <c r="D222">
        <v>0.144602851323829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29</v>
      </c>
      <c r="P222">
        <v>30</v>
      </c>
      <c r="Q222">
        <v>17</v>
      </c>
      <c r="R222">
        <v>15</v>
      </c>
      <c r="S222">
        <v>3.3349968666776602</v>
      </c>
      <c r="T222">
        <v>3.2374483468228501</v>
      </c>
      <c r="U222">
        <v>2.5852282691199502</v>
      </c>
      <c r="V222">
        <v>2.8744617333150901</v>
      </c>
      <c r="W222">
        <v>183.58159076993999</v>
      </c>
      <c r="X222">
        <v>183.26154969430101</v>
      </c>
      <c r="Y222">
        <v>181.12172004304401</v>
      </c>
      <c r="Z222">
        <v>182.070648731349</v>
      </c>
      <c r="AA222">
        <v>0</v>
      </c>
      <c r="AB222">
        <v>0</v>
      </c>
      <c r="AC222">
        <v>1</v>
      </c>
      <c r="AD222">
        <v>0</v>
      </c>
      <c r="AE222">
        <v>48</v>
      </c>
    </row>
    <row r="223" spans="2:31" x14ac:dyDescent="0.3">
      <c r="B223" t="s">
        <v>26</v>
      </c>
      <c r="C223">
        <v>0.31785471826204997</v>
      </c>
      <c r="D223">
        <v>0.273455532926001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30</v>
      </c>
      <c r="P223">
        <v>29</v>
      </c>
      <c r="Q223">
        <v>9</v>
      </c>
      <c r="R223">
        <v>17</v>
      </c>
      <c r="S223">
        <v>3.1834264322903301</v>
      </c>
      <c r="T223">
        <v>3.3349968666776602</v>
      </c>
      <c r="U223">
        <v>2.8801177140020302</v>
      </c>
      <c r="V223">
        <v>2.5852282691199502</v>
      </c>
      <c r="W223">
        <v>183.084312441897</v>
      </c>
      <c r="X223">
        <v>183.58159076993999</v>
      </c>
      <c r="Y223">
        <v>182.08920509843199</v>
      </c>
      <c r="Z223">
        <v>181.12172004304401</v>
      </c>
      <c r="AA223">
        <v>0</v>
      </c>
      <c r="AB223">
        <v>0</v>
      </c>
      <c r="AC223">
        <v>1</v>
      </c>
      <c r="AD223">
        <v>0</v>
      </c>
      <c r="AE223">
        <v>139</v>
      </c>
    </row>
    <row r="224" spans="2:31" x14ac:dyDescent="0.3">
      <c r="B224" t="s">
        <v>27</v>
      </c>
      <c r="C224">
        <v>9.6673455532926E-2</v>
      </c>
      <c r="D224">
        <v>0.31785471826204997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0</v>
      </c>
      <c r="O224">
        <v>19</v>
      </c>
      <c r="P224">
        <v>30</v>
      </c>
      <c r="Q224">
        <v>19</v>
      </c>
      <c r="R224">
        <v>9</v>
      </c>
      <c r="S224">
        <v>2.8604485430971298</v>
      </c>
      <c r="T224">
        <v>3.1834264322903301</v>
      </c>
      <c r="U224">
        <v>2.8604485430971298</v>
      </c>
      <c r="V224">
        <v>2.8801177140020302</v>
      </c>
      <c r="W224">
        <v>182.02467369782499</v>
      </c>
      <c r="X224">
        <v>183.084312441897</v>
      </c>
      <c r="Y224">
        <v>182.02467369782499</v>
      </c>
      <c r="Z224">
        <v>182.08920509843199</v>
      </c>
      <c r="AA224">
        <v>0</v>
      </c>
      <c r="AB224">
        <v>0</v>
      </c>
      <c r="AC224">
        <v>1</v>
      </c>
      <c r="AD224">
        <v>0</v>
      </c>
      <c r="AE224">
        <v>1</v>
      </c>
    </row>
    <row r="225" spans="2:31" x14ac:dyDescent="0.3">
      <c r="B225" t="s">
        <v>28</v>
      </c>
      <c r="C225">
        <v>3.9646978954514599E-2</v>
      </c>
      <c r="D225">
        <v>9.6673455532926E-2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0.434</v>
      </c>
      <c r="N225">
        <v>0</v>
      </c>
      <c r="O225">
        <v>29</v>
      </c>
      <c r="P225">
        <v>19</v>
      </c>
      <c r="Q225">
        <v>18</v>
      </c>
      <c r="R225">
        <v>19</v>
      </c>
      <c r="S225">
        <v>2.9617682203540698</v>
      </c>
      <c r="T225">
        <v>2.8604485430971298</v>
      </c>
      <c r="U225">
        <v>2.2396993264048999</v>
      </c>
      <c r="V225">
        <v>2.8604485430971298</v>
      </c>
      <c r="W225">
        <v>182.35708733711999</v>
      </c>
      <c r="X225">
        <v>182.02467369782499</v>
      </c>
      <c r="Y225">
        <v>179.98809490290299</v>
      </c>
      <c r="Z225">
        <v>182.02467369782499</v>
      </c>
      <c r="AA225">
        <v>0</v>
      </c>
      <c r="AB225">
        <v>0</v>
      </c>
      <c r="AC225">
        <v>1</v>
      </c>
      <c r="AD225">
        <v>0</v>
      </c>
      <c r="AE225">
        <v>12</v>
      </c>
    </row>
    <row r="226" spans="2:31" x14ac:dyDescent="0.3">
      <c r="B226" t="s">
        <v>29</v>
      </c>
      <c r="C226">
        <v>6.5987780040733204E-2</v>
      </c>
      <c r="D226">
        <v>3.9646978954514599E-2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0.11550000000000001</v>
      </c>
      <c r="N226">
        <v>0.434</v>
      </c>
      <c r="O226">
        <v>33</v>
      </c>
      <c r="P226">
        <v>29</v>
      </c>
      <c r="Q226">
        <v>17</v>
      </c>
      <c r="R226">
        <v>18</v>
      </c>
      <c r="S226">
        <v>2.9936899035194098</v>
      </c>
      <c r="T226">
        <v>2.9617682203540698</v>
      </c>
      <c r="U226">
        <v>2.4469827444300001</v>
      </c>
      <c r="V226">
        <v>2.2396993264048999</v>
      </c>
      <c r="W226">
        <v>182.46181726876401</v>
      </c>
      <c r="X226">
        <v>182.35708733711999</v>
      </c>
      <c r="Y226">
        <v>180.66815861033501</v>
      </c>
      <c r="Z226">
        <v>179.98809490290299</v>
      </c>
      <c r="AA226">
        <v>0</v>
      </c>
      <c r="AB226">
        <v>0</v>
      </c>
      <c r="AC226">
        <v>1</v>
      </c>
      <c r="AD226">
        <v>0</v>
      </c>
      <c r="AE226">
        <v>29</v>
      </c>
    </row>
    <row r="227" spans="2:31" x14ac:dyDescent="0.3">
      <c r="B227" t="s">
        <v>30</v>
      </c>
      <c r="C227">
        <v>6.1778682959945701E-2</v>
      </c>
      <c r="D227">
        <v>6.5987780040733204E-2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0.11550000000000001</v>
      </c>
      <c r="O227">
        <v>36</v>
      </c>
      <c r="P227">
        <v>33</v>
      </c>
      <c r="Q227">
        <v>25</v>
      </c>
      <c r="R227">
        <v>17</v>
      </c>
      <c r="S227">
        <v>3.38554170555512</v>
      </c>
      <c r="T227">
        <v>2.9936899035194098</v>
      </c>
      <c r="U227">
        <v>2.8467698328199802</v>
      </c>
      <c r="V227">
        <v>2.4469827444300001</v>
      </c>
      <c r="W227">
        <v>183.74742029381599</v>
      </c>
      <c r="X227">
        <v>182.46181726876401</v>
      </c>
      <c r="Y227">
        <v>181.979796039436</v>
      </c>
      <c r="Z227">
        <v>180.66815861033501</v>
      </c>
      <c r="AA227">
        <v>0</v>
      </c>
      <c r="AB227">
        <v>0</v>
      </c>
      <c r="AC227">
        <v>1</v>
      </c>
      <c r="AD227">
        <v>0</v>
      </c>
      <c r="AE227">
        <v>29</v>
      </c>
    </row>
    <row r="228" spans="2:31" x14ac:dyDescent="0.3">
      <c r="B228" t="s">
        <v>31</v>
      </c>
      <c r="C228">
        <v>0.144602851323829</v>
      </c>
      <c r="D228">
        <v>6.1778682959945701E-2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0</v>
      </c>
      <c r="O228">
        <v>35</v>
      </c>
      <c r="P228">
        <v>36</v>
      </c>
      <c r="Q228">
        <v>19</v>
      </c>
      <c r="R228">
        <v>25</v>
      </c>
      <c r="S228">
        <v>3.3051436704006201</v>
      </c>
      <c r="T228">
        <v>3.38554170555512</v>
      </c>
      <c r="U228">
        <v>2.6007753438698198</v>
      </c>
      <c r="V228">
        <v>2.8467698328199802</v>
      </c>
      <c r="W228">
        <v>183.4836472126</v>
      </c>
      <c r="X228">
        <v>183.74742029381599</v>
      </c>
      <c r="Y228">
        <v>181.172727506135</v>
      </c>
      <c r="Z228">
        <v>181.979796039436</v>
      </c>
      <c r="AA228">
        <v>0</v>
      </c>
      <c r="AB228">
        <v>0</v>
      </c>
      <c r="AC228">
        <v>1</v>
      </c>
      <c r="AD228">
        <v>0</v>
      </c>
      <c r="AE228">
        <v>43</v>
      </c>
    </row>
    <row r="229" spans="2:31" x14ac:dyDescent="0.3">
      <c r="B229" t="s">
        <v>32</v>
      </c>
      <c r="C229">
        <v>0.273455532926001</v>
      </c>
      <c r="D229">
        <v>0.144602851323829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0.27650000000000002</v>
      </c>
      <c r="N229">
        <v>0</v>
      </c>
      <c r="O229">
        <v>37</v>
      </c>
      <c r="P229">
        <v>35</v>
      </c>
      <c r="Q229">
        <v>21</v>
      </c>
      <c r="R229">
        <v>19</v>
      </c>
      <c r="S229">
        <v>3.0628353395550301</v>
      </c>
      <c r="T229">
        <v>3.3051436704006201</v>
      </c>
      <c r="U229">
        <v>2.81175725627801</v>
      </c>
      <c r="V229">
        <v>2.6007753438698198</v>
      </c>
      <c r="W229">
        <v>182.688672373868</v>
      </c>
      <c r="X229">
        <v>183.4836472126</v>
      </c>
      <c r="Y229">
        <v>181.86492538149</v>
      </c>
      <c r="Z229">
        <v>181.172727506135</v>
      </c>
      <c r="AA229">
        <v>0</v>
      </c>
      <c r="AB229">
        <v>0</v>
      </c>
      <c r="AC229">
        <v>1</v>
      </c>
      <c r="AD229">
        <v>0</v>
      </c>
      <c r="AE229">
        <v>97</v>
      </c>
    </row>
    <row r="230" spans="2:31" x14ac:dyDescent="0.3">
      <c r="B230" t="s">
        <v>33</v>
      </c>
      <c r="C230">
        <v>0.31785471826204997</v>
      </c>
      <c r="D230">
        <v>0.273455532926001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0.27650000000000002</v>
      </c>
      <c r="O230">
        <v>37</v>
      </c>
      <c r="P230">
        <v>37</v>
      </c>
      <c r="Q230">
        <v>21</v>
      </c>
      <c r="R230">
        <v>21</v>
      </c>
      <c r="S230">
        <v>3.55310478658875</v>
      </c>
      <c r="T230">
        <v>3.0628353395550301</v>
      </c>
      <c r="U230">
        <v>2.82816834471822</v>
      </c>
      <c r="V230">
        <v>2.81175725627801</v>
      </c>
      <c r="W230">
        <v>184.29716793500199</v>
      </c>
      <c r="X230">
        <v>182.688672373868</v>
      </c>
      <c r="Y230">
        <v>181.91876753516499</v>
      </c>
      <c r="Z230">
        <v>181.86492538149</v>
      </c>
      <c r="AA230">
        <v>0</v>
      </c>
      <c r="AB230">
        <v>0</v>
      </c>
      <c r="AC230">
        <v>1</v>
      </c>
      <c r="AD230">
        <v>0</v>
      </c>
      <c r="AE230">
        <v>190</v>
      </c>
    </row>
    <row r="231" spans="2:31" s="14" customFormat="1" x14ac:dyDescent="0.3">
      <c r="B231" s="14" t="s">
        <v>34</v>
      </c>
      <c r="C231" s="14">
        <v>3.9646978954514599E-2</v>
      </c>
      <c r="D231" s="14">
        <v>0.31785471826204997</v>
      </c>
      <c r="E231" s="14">
        <v>0</v>
      </c>
      <c r="F231" s="14">
        <v>0</v>
      </c>
      <c r="G231" s="14">
        <v>0</v>
      </c>
      <c r="H231" s="14">
        <v>0</v>
      </c>
      <c r="I231" s="14">
        <v>1</v>
      </c>
      <c r="J231" s="14">
        <v>1</v>
      </c>
      <c r="K231" s="14">
        <v>0</v>
      </c>
      <c r="L231" s="14">
        <v>0</v>
      </c>
      <c r="M231" s="14">
        <v>0.47249999999999998</v>
      </c>
      <c r="N231" s="14">
        <v>0</v>
      </c>
      <c r="O231" s="14">
        <v>23</v>
      </c>
      <c r="P231" s="14">
        <v>37</v>
      </c>
      <c r="Q231" s="14">
        <v>23</v>
      </c>
      <c r="R231" s="14">
        <v>21</v>
      </c>
      <c r="S231" s="14">
        <v>2.7213253413901</v>
      </c>
      <c r="T231" s="14">
        <v>3.55310478658875</v>
      </c>
      <c r="U231" s="14">
        <v>2.6791574094638602</v>
      </c>
      <c r="V231" s="14">
        <v>2.82816834471822</v>
      </c>
      <c r="W231" s="14">
        <v>181.56823274734299</v>
      </c>
      <c r="X231" s="14">
        <v>184.29716793500199</v>
      </c>
      <c r="Y231" s="14">
        <v>181.429886513989</v>
      </c>
      <c r="Z231" s="14">
        <v>181.91876753516499</v>
      </c>
      <c r="AA231" s="14">
        <v>0</v>
      </c>
      <c r="AB231" s="14">
        <v>0</v>
      </c>
      <c r="AC231" s="14">
        <v>1</v>
      </c>
      <c r="AD231" s="14">
        <v>0</v>
      </c>
      <c r="AE231" s="14">
        <v>3</v>
      </c>
    </row>
    <row r="232" spans="2:31" x14ac:dyDescent="0.3">
      <c r="B232" t="s">
        <v>35</v>
      </c>
      <c r="C232">
        <v>6.5987780040733204E-2</v>
      </c>
      <c r="D232">
        <v>3.9646978954514599E-2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0.47249999999999998</v>
      </c>
      <c r="O232">
        <v>30</v>
      </c>
      <c r="P232">
        <v>23</v>
      </c>
      <c r="Q232">
        <v>17</v>
      </c>
      <c r="R232">
        <v>23</v>
      </c>
      <c r="S232">
        <v>2.8620115023801498</v>
      </c>
      <c r="T232">
        <v>2.7213253413901</v>
      </c>
      <c r="U232">
        <v>2.4406481092402199</v>
      </c>
      <c r="V232">
        <v>2.6791574094638602</v>
      </c>
      <c r="W232">
        <v>182.02980151699501</v>
      </c>
      <c r="X232">
        <v>181.56823274734299</v>
      </c>
      <c r="Y232">
        <v>180.647375686484</v>
      </c>
      <c r="Z232">
        <v>181.429886513989</v>
      </c>
      <c r="AA232">
        <v>0</v>
      </c>
      <c r="AB232">
        <v>0</v>
      </c>
      <c r="AC232">
        <v>1</v>
      </c>
      <c r="AD232">
        <v>0</v>
      </c>
      <c r="AE232">
        <v>20</v>
      </c>
    </row>
    <row r="233" spans="2:31" x14ac:dyDescent="0.3">
      <c r="B233" t="s">
        <v>36</v>
      </c>
      <c r="C233">
        <v>6.1778682959945701E-2</v>
      </c>
      <c r="D233">
        <v>6.5987780040733204E-2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0</v>
      </c>
      <c r="O233">
        <v>28</v>
      </c>
      <c r="P233">
        <v>30</v>
      </c>
      <c r="Q233">
        <v>15</v>
      </c>
      <c r="R233">
        <v>17</v>
      </c>
      <c r="S233">
        <v>2.9217115351713998</v>
      </c>
      <c r="T233">
        <v>2.8620115023801498</v>
      </c>
      <c r="U233">
        <v>2.4217781866699801</v>
      </c>
      <c r="V233">
        <v>2.4406481092402199</v>
      </c>
      <c r="W233">
        <v>182.22566776631001</v>
      </c>
      <c r="X233">
        <v>182.02980151699501</v>
      </c>
      <c r="Y233">
        <v>180.58546649169901</v>
      </c>
      <c r="Z233">
        <v>180.647375686484</v>
      </c>
      <c r="AA233">
        <v>0</v>
      </c>
      <c r="AB233">
        <v>0</v>
      </c>
      <c r="AC233">
        <v>1</v>
      </c>
      <c r="AD233">
        <v>0</v>
      </c>
      <c r="AE233">
        <v>17</v>
      </c>
    </row>
    <row r="234" spans="2:31" x14ac:dyDescent="0.3">
      <c r="B234" t="s">
        <v>37</v>
      </c>
      <c r="C234">
        <v>0.144602851323829</v>
      </c>
      <c r="D234">
        <v>6.1778682959945701E-2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0</v>
      </c>
      <c r="O234">
        <v>34</v>
      </c>
      <c r="P234">
        <v>28</v>
      </c>
      <c r="Q234">
        <v>19</v>
      </c>
      <c r="R234">
        <v>15</v>
      </c>
      <c r="S234">
        <v>3.2517408369374401</v>
      </c>
      <c r="T234">
        <v>2.9217115351713998</v>
      </c>
      <c r="U234">
        <v>2.6575909282832701</v>
      </c>
      <c r="V234">
        <v>2.4217781866699801</v>
      </c>
      <c r="W234">
        <v>183.30844106606801</v>
      </c>
      <c r="X234">
        <v>182.22566776631001</v>
      </c>
      <c r="Y234">
        <v>181.35913034213701</v>
      </c>
      <c r="Z234">
        <v>180.58546649169901</v>
      </c>
      <c r="AA234">
        <v>0</v>
      </c>
      <c r="AB234">
        <v>0</v>
      </c>
      <c r="AC234">
        <v>1</v>
      </c>
      <c r="AD234">
        <v>0</v>
      </c>
      <c r="AE234">
        <v>75</v>
      </c>
    </row>
    <row r="235" spans="2:31" x14ac:dyDescent="0.3">
      <c r="B235" t="s">
        <v>38</v>
      </c>
      <c r="C235">
        <v>0.273455532926001</v>
      </c>
      <c r="D235">
        <v>0.144602851323829</v>
      </c>
      <c r="E235">
        <v>0</v>
      </c>
      <c r="F235">
        <v>0</v>
      </c>
      <c r="G235">
        <v>0</v>
      </c>
      <c r="H235">
        <v>0</v>
      </c>
      <c r="I235">
        <v>1</v>
      </c>
      <c r="J235">
        <v>1</v>
      </c>
      <c r="K235">
        <v>0</v>
      </c>
      <c r="L235">
        <v>0</v>
      </c>
      <c r="M235">
        <v>0</v>
      </c>
      <c r="N235">
        <v>0</v>
      </c>
      <c r="O235">
        <v>29</v>
      </c>
      <c r="P235">
        <v>34</v>
      </c>
      <c r="Q235">
        <v>12</v>
      </c>
      <c r="R235">
        <v>19</v>
      </c>
      <c r="S235">
        <v>2.7631589238913699</v>
      </c>
      <c r="T235">
        <v>3.2517408369374401</v>
      </c>
      <c r="U235">
        <v>2.3148129874602099</v>
      </c>
      <c r="V235">
        <v>2.6575909282832701</v>
      </c>
      <c r="W235">
        <v>181.70548203376401</v>
      </c>
      <c r="X235">
        <v>183.30844106606801</v>
      </c>
      <c r="Y235">
        <v>180.23453079875401</v>
      </c>
      <c r="Z235">
        <v>181.35913034213701</v>
      </c>
      <c r="AA235">
        <v>0</v>
      </c>
      <c r="AB235">
        <v>0</v>
      </c>
      <c r="AC235">
        <v>1</v>
      </c>
      <c r="AD235">
        <v>0</v>
      </c>
      <c r="AE235">
        <v>115</v>
      </c>
    </row>
    <row r="236" spans="2:31" x14ac:dyDescent="0.3">
      <c r="B236" t="s">
        <v>39</v>
      </c>
      <c r="C236">
        <v>0.31785471826204997</v>
      </c>
      <c r="D236">
        <v>0.273455532926001</v>
      </c>
      <c r="E236">
        <v>0</v>
      </c>
      <c r="F236">
        <v>0</v>
      </c>
      <c r="G236">
        <v>0</v>
      </c>
      <c r="H236">
        <v>1</v>
      </c>
      <c r="I236">
        <v>0</v>
      </c>
      <c r="J236">
        <v>0</v>
      </c>
      <c r="K236">
        <v>0</v>
      </c>
      <c r="L236">
        <v>1</v>
      </c>
      <c r="M236">
        <v>0.44450000000000001</v>
      </c>
      <c r="N236">
        <v>0</v>
      </c>
      <c r="O236">
        <v>37</v>
      </c>
      <c r="P236">
        <v>29</v>
      </c>
      <c r="Q236">
        <v>19</v>
      </c>
      <c r="R236">
        <v>12</v>
      </c>
      <c r="S236">
        <v>3.2642012556386302</v>
      </c>
      <c r="T236">
        <v>2.7631589238913699</v>
      </c>
      <c r="U236">
        <v>2.53619543291699</v>
      </c>
      <c r="V236">
        <v>2.3148129874602099</v>
      </c>
      <c r="W236">
        <v>183.34932170485101</v>
      </c>
      <c r="X236">
        <v>181.70548203376401</v>
      </c>
      <c r="Y236">
        <v>180.960851157864</v>
      </c>
      <c r="Z236">
        <v>180.23453079875401</v>
      </c>
      <c r="AA236">
        <v>0</v>
      </c>
      <c r="AB236">
        <v>0</v>
      </c>
      <c r="AC236">
        <v>1</v>
      </c>
      <c r="AD236">
        <v>0</v>
      </c>
      <c r="AE236">
        <v>34</v>
      </c>
    </row>
    <row r="237" spans="2:31" x14ac:dyDescent="0.3">
      <c r="B237" t="s">
        <v>40</v>
      </c>
      <c r="C237">
        <v>9.6673455532926E-2</v>
      </c>
      <c r="D237">
        <v>0.31785471826204997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1</v>
      </c>
      <c r="L237">
        <v>0</v>
      </c>
      <c r="M237">
        <v>0.49</v>
      </c>
      <c r="N237">
        <v>0.44450000000000001</v>
      </c>
      <c r="O237">
        <v>37</v>
      </c>
      <c r="P237">
        <v>37</v>
      </c>
      <c r="Q237">
        <v>25</v>
      </c>
      <c r="R237">
        <v>19</v>
      </c>
      <c r="S237">
        <v>3.4713570120693902</v>
      </c>
      <c r="T237">
        <v>3.2642012556386302</v>
      </c>
      <c r="U237">
        <v>2.5915662734060101</v>
      </c>
      <c r="V237">
        <v>2.53619543291699</v>
      </c>
      <c r="W237">
        <v>184.02896657503101</v>
      </c>
      <c r="X237">
        <v>183.34932170485101</v>
      </c>
      <c r="Y237">
        <v>181.14251402036101</v>
      </c>
      <c r="Z237">
        <v>180.960851157864</v>
      </c>
      <c r="AA237">
        <v>0</v>
      </c>
      <c r="AB237">
        <v>0</v>
      </c>
      <c r="AC237">
        <v>1</v>
      </c>
      <c r="AD237">
        <v>0</v>
      </c>
      <c r="AE237">
        <v>45</v>
      </c>
    </row>
    <row r="238" spans="2:31" x14ac:dyDescent="0.3">
      <c r="B238" t="s">
        <v>41</v>
      </c>
      <c r="C238">
        <v>3.9646978954514599E-2</v>
      </c>
      <c r="D238">
        <v>9.6673455532926E-2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0.49</v>
      </c>
      <c r="O238">
        <v>31</v>
      </c>
      <c r="P238">
        <v>37</v>
      </c>
      <c r="Q238">
        <v>21</v>
      </c>
      <c r="R238">
        <v>25</v>
      </c>
      <c r="S238">
        <v>3.5525752565203699</v>
      </c>
      <c r="T238">
        <v>3.4713570120693902</v>
      </c>
      <c r="U238">
        <v>3.06002984849211</v>
      </c>
      <c r="V238">
        <v>2.5915662734060101</v>
      </c>
      <c r="W238">
        <v>184.29543063162899</v>
      </c>
      <c r="X238">
        <v>184.02896657503101</v>
      </c>
      <c r="Y238">
        <v>182.679468006864</v>
      </c>
      <c r="Z238">
        <v>181.14251402036101</v>
      </c>
      <c r="AA238">
        <v>0</v>
      </c>
      <c r="AB238">
        <v>0</v>
      </c>
      <c r="AC238">
        <v>1</v>
      </c>
      <c r="AD238">
        <v>0</v>
      </c>
      <c r="AE238">
        <v>5</v>
      </c>
    </row>
    <row r="239" spans="2:31" x14ac:dyDescent="0.3">
      <c r="B239" t="s">
        <v>42</v>
      </c>
      <c r="C239">
        <v>6.5987780040733204E-2</v>
      </c>
      <c r="D239">
        <v>3.9646978954514599E-2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0.15049999999999999</v>
      </c>
      <c r="N239">
        <v>0</v>
      </c>
      <c r="O239">
        <v>30</v>
      </c>
      <c r="P239">
        <v>31</v>
      </c>
      <c r="Q239">
        <v>17</v>
      </c>
      <c r="R239">
        <v>21</v>
      </c>
      <c r="S239">
        <v>3.5665805568402198</v>
      </c>
      <c r="T239">
        <v>3.5525752565203699</v>
      </c>
      <c r="U239">
        <v>3.2504465470725701</v>
      </c>
      <c r="V239">
        <v>3.06002984849211</v>
      </c>
      <c r="W239">
        <v>184.34137977966</v>
      </c>
      <c r="X239">
        <v>184.29543063162899</v>
      </c>
      <c r="Y239">
        <v>183.30419470824299</v>
      </c>
      <c r="Z239">
        <v>182.679468006864</v>
      </c>
      <c r="AA239">
        <v>0</v>
      </c>
      <c r="AB239">
        <v>0</v>
      </c>
      <c r="AC239">
        <v>1</v>
      </c>
      <c r="AD239">
        <v>0</v>
      </c>
      <c r="AE239">
        <v>20</v>
      </c>
    </row>
    <row r="240" spans="2:31" x14ac:dyDescent="0.3">
      <c r="B240" t="s">
        <v>43</v>
      </c>
      <c r="C240">
        <v>6.1778682959945701E-2</v>
      </c>
      <c r="D240">
        <v>6.5987780040733204E-2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0.15049999999999999</v>
      </c>
      <c r="O240">
        <v>34</v>
      </c>
      <c r="P240">
        <v>30</v>
      </c>
      <c r="Q240">
        <v>21</v>
      </c>
      <c r="R240">
        <v>17</v>
      </c>
      <c r="S240">
        <v>3.4594961184167299</v>
      </c>
      <c r="T240">
        <v>3.5665805568402198</v>
      </c>
      <c r="U240">
        <v>3.2220109243389299</v>
      </c>
      <c r="V240">
        <v>3.2504465470725701</v>
      </c>
      <c r="W240">
        <v>183.99005288194499</v>
      </c>
      <c r="X240">
        <v>184.34137977966</v>
      </c>
      <c r="Y240">
        <v>183.21090198273899</v>
      </c>
      <c r="Z240">
        <v>183.30419470824299</v>
      </c>
      <c r="AA240">
        <v>0</v>
      </c>
      <c r="AB240">
        <v>0</v>
      </c>
      <c r="AC240">
        <v>1</v>
      </c>
      <c r="AD240">
        <v>0</v>
      </c>
      <c r="AE240">
        <v>32</v>
      </c>
    </row>
    <row r="241" spans="2:31" x14ac:dyDescent="0.3">
      <c r="B241" t="s">
        <v>44</v>
      </c>
      <c r="C241">
        <v>0.144602851323829</v>
      </c>
      <c r="D241">
        <v>6.1778682959945701E-2</v>
      </c>
      <c r="E241">
        <v>0</v>
      </c>
      <c r="F241">
        <v>0</v>
      </c>
      <c r="G241">
        <v>0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3.5000000000000003E-2</v>
      </c>
      <c r="N241">
        <v>0</v>
      </c>
      <c r="O241">
        <v>33</v>
      </c>
      <c r="P241">
        <v>34</v>
      </c>
      <c r="Q241">
        <v>17</v>
      </c>
      <c r="R241">
        <v>21</v>
      </c>
      <c r="S241">
        <v>3.5681586764647601</v>
      </c>
      <c r="T241">
        <v>3.4594961184167299</v>
      </c>
      <c r="U241">
        <v>2.8330281830939699</v>
      </c>
      <c r="V241">
        <v>3.2220109243389299</v>
      </c>
      <c r="W241">
        <v>184.34655733748301</v>
      </c>
      <c r="X241">
        <v>183.99005288194499</v>
      </c>
      <c r="Y241">
        <v>181.93471188679101</v>
      </c>
      <c r="Z241">
        <v>183.21090198273899</v>
      </c>
      <c r="AA241">
        <v>0</v>
      </c>
      <c r="AB241">
        <v>0</v>
      </c>
      <c r="AC241">
        <v>1</v>
      </c>
      <c r="AD241">
        <v>0</v>
      </c>
      <c r="AE241">
        <v>48</v>
      </c>
    </row>
    <row r="242" spans="2:31" x14ac:dyDescent="0.3">
      <c r="B242" t="s">
        <v>45</v>
      </c>
      <c r="C242">
        <v>0.273455532926001</v>
      </c>
      <c r="D242">
        <v>0.144602851323829</v>
      </c>
      <c r="E242">
        <v>0</v>
      </c>
      <c r="F242">
        <v>0</v>
      </c>
      <c r="G242">
        <v>0</v>
      </c>
      <c r="H242">
        <v>0</v>
      </c>
      <c r="I242">
        <v>1</v>
      </c>
      <c r="J242">
        <v>0</v>
      </c>
      <c r="K242">
        <v>1</v>
      </c>
      <c r="L242">
        <v>0</v>
      </c>
      <c r="M242">
        <v>0</v>
      </c>
      <c r="N242">
        <v>3.5000000000000003E-2</v>
      </c>
      <c r="O242">
        <v>29</v>
      </c>
      <c r="P242">
        <v>33</v>
      </c>
      <c r="Q242">
        <v>14</v>
      </c>
      <c r="R242">
        <v>17</v>
      </c>
      <c r="S242">
        <v>2.63000699593039</v>
      </c>
      <c r="T242">
        <v>3.5681586764647601</v>
      </c>
      <c r="U242">
        <v>2.39061252335194</v>
      </c>
      <c r="V242">
        <v>2.8330281830939699</v>
      </c>
      <c r="W242">
        <v>181.268631876412</v>
      </c>
      <c r="X242">
        <v>184.34655733748301</v>
      </c>
      <c r="Y242">
        <v>180.483216940131</v>
      </c>
      <c r="Z242">
        <v>181.93471188679101</v>
      </c>
      <c r="AA242">
        <v>0</v>
      </c>
      <c r="AB242">
        <v>0</v>
      </c>
      <c r="AC242">
        <v>1</v>
      </c>
      <c r="AD242">
        <v>0</v>
      </c>
      <c r="AE242">
        <v>87</v>
      </c>
    </row>
    <row r="243" spans="2:31" x14ac:dyDescent="0.3">
      <c r="B243" t="s">
        <v>46</v>
      </c>
      <c r="C243">
        <v>0.31785471826204997</v>
      </c>
      <c r="D243">
        <v>0.273455532926001</v>
      </c>
      <c r="E243">
        <v>0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0</v>
      </c>
      <c r="L243">
        <v>1</v>
      </c>
      <c r="M243">
        <v>1.351</v>
      </c>
      <c r="N243">
        <v>0</v>
      </c>
      <c r="O243">
        <v>17</v>
      </c>
      <c r="P243">
        <v>29</v>
      </c>
      <c r="Q243">
        <v>15</v>
      </c>
      <c r="R243">
        <v>14</v>
      </c>
      <c r="S243">
        <v>2.6884648551503001</v>
      </c>
      <c r="T243">
        <v>2.63000699593039</v>
      </c>
      <c r="U243">
        <v>2.21701753933114</v>
      </c>
      <c r="V243">
        <v>2.39061252335194</v>
      </c>
      <c r="W243">
        <v>181.460422753118</v>
      </c>
      <c r="X243">
        <v>181.268631876412</v>
      </c>
      <c r="Y243">
        <v>179.91367959098099</v>
      </c>
      <c r="Z243">
        <v>180.483216940131</v>
      </c>
      <c r="AA243">
        <v>0</v>
      </c>
      <c r="AB243">
        <v>0</v>
      </c>
      <c r="AC243">
        <v>1</v>
      </c>
      <c r="AD243">
        <v>0</v>
      </c>
      <c r="AE243">
        <v>12</v>
      </c>
    </row>
    <row r="244" spans="2:31" x14ac:dyDescent="0.3">
      <c r="B244" t="s">
        <v>47</v>
      </c>
      <c r="C244">
        <v>9.6673455532926E-2</v>
      </c>
      <c r="D244">
        <v>0.31785471826204997</v>
      </c>
      <c r="E244">
        <v>0</v>
      </c>
      <c r="F244">
        <v>0</v>
      </c>
      <c r="G244">
        <v>0</v>
      </c>
      <c r="H244">
        <v>0</v>
      </c>
      <c r="I244">
        <v>1</v>
      </c>
      <c r="J244">
        <v>0</v>
      </c>
      <c r="K244">
        <v>1</v>
      </c>
      <c r="L244">
        <v>0</v>
      </c>
      <c r="M244">
        <v>0.17849999999999999</v>
      </c>
      <c r="N244">
        <v>1.351</v>
      </c>
      <c r="O244">
        <v>25</v>
      </c>
      <c r="P244">
        <v>17</v>
      </c>
      <c r="Q244">
        <v>21</v>
      </c>
      <c r="R244">
        <v>15</v>
      </c>
      <c r="S244">
        <v>3.3676135066968098</v>
      </c>
      <c r="T244">
        <v>2.6884648551503001</v>
      </c>
      <c r="U244">
        <v>3.3116294969325502</v>
      </c>
      <c r="V244">
        <v>2.21701753933114</v>
      </c>
      <c r="W244">
        <v>183.68860074375601</v>
      </c>
      <c r="X244">
        <v>181.460422753118</v>
      </c>
      <c r="Y244">
        <v>183.50492617103899</v>
      </c>
      <c r="Z244">
        <v>179.91367959098099</v>
      </c>
      <c r="AA244">
        <v>0</v>
      </c>
      <c r="AB244">
        <v>0</v>
      </c>
      <c r="AC244">
        <v>1</v>
      </c>
      <c r="AD244">
        <v>0</v>
      </c>
      <c r="AE244">
        <v>10</v>
      </c>
    </row>
    <row r="245" spans="2:31" x14ac:dyDescent="0.3">
      <c r="B245" t="s">
        <v>48</v>
      </c>
      <c r="C245">
        <v>3.9646978954514599E-2</v>
      </c>
      <c r="D245">
        <v>9.6673455532926E-2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0.17849999999999999</v>
      </c>
      <c r="O245">
        <v>32</v>
      </c>
      <c r="P245">
        <v>25</v>
      </c>
      <c r="Q245">
        <v>18</v>
      </c>
      <c r="R245">
        <v>21</v>
      </c>
      <c r="S245">
        <v>3.2848682006191501</v>
      </c>
      <c r="T245">
        <v>3.3676135066968098</v>
      </c>
      <c r="U245">
        <v>3.0184985822513699</v>
      </c>
      <c r="V245">
        <v>3.3116294969325502</v>
      </c>
      <c r="W245">
        <v>183.417126642451</v>
      </c>
      <c r="X245">
        <v>183.68860074375601</v>
      </c>
      <c r="Y245">
        <v>182.54321057169099</v>
      </c>
      <c r="Z245">
        <v>183.50492617103899</v>
      </c>
      <c r="AA245">
        <v>0</v>
      </c>
      <c r="AB245">
        <v>0</v>
      </c>
      <c r="AC245">
        <v>1</v>
      </c>
      <c r="AD245">
        <v>0</v>
      </c>
      <c r="AE245">
        <v>14</v>
      </c>
    </row>
    <row r="246" spans="2:31" x14ac:dyDescent="0.3">
      <c r="B246" t="s">
        <v>49</v>
      </c>
      <c r="C246">
        <v>6.5987780040733204E-2</v>
      </c>
      <c r="D246">
        <v>3.9646978954514599E-2</v>
      </c>
      <c r="E246">
        <v>0</v>
      </c>
      <c r="F246">
        <v>0</v>
      </c>
      <c r="G246">
        <v>0</v>
      </c>
      <c r="H246">
        <v>1</v>
      </c>
      <c r="I246">
        <v>0</v>
      </c>
      <c r="J246">
        <v>0</v>
      </c>
      <c r="K246">
        <v>1</v>
      </c>
      <c r="L246">
        <v>0</v>
      </c>
      <c r="M246">
        <v>0.60550000000000004</v>
      </c>
      <c r="N246">
        <v>0</v>
      </c>
      <c r="O246">
        <v>32</v>
      </c>
      <c r="P246">
        <v>32</v>
      </c>
      <c r="Q246">
        <v>24</v>
      </c>
      <c r="R246">
        <v>18</v>
      </c>
      <c r="S246">
        <v>3.3904893762735999</v>
      </c>
      <c r="T246">
        <v>3.2848682006191501</v>
      </c>
      <c r="U246">
        <v>3.08836476672752</v>
      </c>
      <c r="V246">
        <v>3.0184985822513699</v>
      </c>
      <c r="W246">
        <v>183.76365280929701</v>
      </c>
      <c r="X246">
        <v>183.417126642451</v>
      </c>
      <c r="Y246">
        <v>182.772430337033</v>
      </c>
      <c r="Z246">
        <v>182.54321057169099</v>
      </c>
      <c r="AA246">
        <v>0</v>
      </c>
      <c r="AB246">
        <v>0</v>
      </c>
      <c r="AC246">
        <v>1</v>
      </c>
      <c r="AD246">
        <v>0</v>
      </c>
      <c r="AE246">
        <v>5</v>
      </c>
    </row>
    <row r="247" spans="2:31" x14ac:dyDescent="0.3">
      <c r="B247" t="s">
        <v>50</v>
      </c>
      <c r="C247">
        <v>6.1778682959945701E-2</v>
      </c>
      <c r="D247">
        <v>6.5987780040733204E-2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0.38150000000000001</v>
      </c>
      <c r="N247">
        <v>0.60550000000000004</v>
      </c>
      <c r="O247">
        <v>34</v>
      </c>
      <c r="P247">
        <v>32</v>
      </c>
      <c r="Q247">
        <v>17</v>
      </c>
      <c r="R247">
        <v>24</v>
      </c>
      <c r="S247">
        <v>3.4393005032516299</v>
      </c>
      <c r="T247">
        <v>3.3904893762735999</v>
      </c>
      <c r="U247">
        <v>3.03295606030929</v>
      </c>
      <c r="V247">
        <v>3.08836476672752</v>
      </c>
      <c r="W247">
        <v>183.923794302007</v>
      </c>
      <c r="X247">
        <v>183.76365280929701</v>
      </c>
      <c r="Y247">
        <v>182.59064324248499</v>
      </c>
      <c r="Z247">
        <v>182.772430337033</v>
      </c>
      <c r="AA247">
        <v>0</v>
      </c>
      <c r="AB247">
        <v>0</v>
      </c>
      <c r="AC247">
        <v>1</v>
      </c>
      <c r="AD247">
        <v>0</v>
      </c>
      <c r="AE247">
        <v>37</v>
      </c>
    </row>
    <row r="248" spans="2:31" x14ac:dyDescent="0.3">
      <c r="B248" t="s">
        <v>51</v>
      </c>
      <c r="C248">
        <v>0.144602851323829</v>
      </c>
      <c r="D248">
        <v>6.1778682959945701E-2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0.38150000000000001</v>
      </c>
      <c r="O248">
        <v>35</v>
      </c>
      <c r="P248">
        <v>34</v>
      </c>
      <c r="Q248">
        <v>16</v>
      </c>
      <c r="R248">
        <v>17</v>
      </c>
      <c r="S248">
        <v>3.4080070681696801</v>
      </c>
      <c r="T248">
        <v>3.4393005032516299</v>
      </c>
      <c r="U248">
        <v>2.94136256459735</v>
      </c>
      <c r="V248">
        <v>3.03295606030929</v>
      </c>
      <c r="W248">
        <v>183.82112555173799</v>
      </c>
      <c r="X248">
        <v>183.923794302007</v>
      </c>
      <c r="Y248">
        <v>182.29013964762899</v>
      </c>
      <c r="Z248">
        <v>182.59064324248499</v>
      </c>
      <c r="AA248">
        <v>0</v>
      </c>
      <c r="AB248">
        <v>0</v>
      </c>
      <c r="AC248">
        <v>1</v>
      </c>
      <c r="AD248">
        <v>0</v>
      </c>
      <c r="AE248">
        <v>152</v>
      </c>
    </row>
    <row r="249" spans="2:31" x14ac:dyDescent="0.3">
      <c r="B249" t="s">
        <v>52</v>
      </c>
      <c r="C249">
        <v>0.273455532926001</v>
      </c>
      <c r="D249">
        <v>0.144602851323829</v>
      </c>
      <c r="E249">
        <v>1</v>
      </c>
      <c r="F249">
        <v>0</v>
      </c>
      <c r="G249">
        <v>0</v>
      </c>
      <c r="H249">
        <v>1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25</v>
      </c>
      <c r="P249">
        <v>35</v>
      </c>
      <c r="Q249">
        <v>16</v>
      </c>
      <c r="R249">
        <v>16</v>
      </c>
      <c r="S249">
        <v>3.1603659535605102</v>
      </c>
      <c r="T249">
        <v>3.4080070681696801</v>
      </c>
      <c r="U249">
        <v>2.3742171226451201</v>
      </c>
      <c r="V249">
        <v>2.94136256459735</v>
      </c>
      <c r="W249">
        <v>183.00865470328301</v>
      </c>
      <c r="X249">
        <v>183.82112555173799</v>
      </c>
      <c r="Y249">
        <v>180.429426255397</v>
      </c>
      <c r="Z249">
        <v>182.29013964762899</v>
      </c>
      <c r="AA249">
        <v>0</v>
      </c>
      <c r="AB249">
        <v>0</v>
      </c>
      <c r="AC249">
        <v>1</v>
      </c>
      <c r="AD249">
        <v>0</v>
      </c>
      <c r="AE249">
        <v>35</v>
      </c>
    </row>
    <row r="250" spans="2:31" x14ac:dyDescent="0.3">
      <c r="B250" t="s">
        <v>53</v>
      </c>
      <c r="C250">
        <v>0.31785471826204997</v>
      </c>
      <c r="D250">
        <v>0.273455532926001</v>
      </c>
      <c r="E250">
        <v>0</v>
      </c>
      <c r="F250">
        <v>1</v>
      </c>
      <c r="G250">
        <v>1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0.13300000000000001</v>
      </c>
      <c r="N250">
        <v>0</v>
      </c>
      <c r="O250">
        <v>36</v>
      </c>
      <c r="P250">
        <v>25</v>
      </c>
      <c r="Q250">
        <v>17</v>
      </c>
      <c r="R250">
        <v>16</v>
      </c>
      <c r="S250">
        <v>3.23915301208479</v>
      </c>
      <c r="T250">
        <v>3.1603659535605102</v>
      </c>
      <c r="U250">
        <v>2.5177546999771199</v>
      </c>
      <c r="V250">
        <v>2.3742171226451201</v>
      </c>
      <c r="W250">
        <v>183.26714242809999</v>
      </c>
      <c r="X250">
        <v>183.00865470328301</v>
      </c>
      <c r="Y250">
        <v>180.900350065542</v>
      </c>
      <c r="Z250">
        <v>180.429426255397</v>
      </c>
      <c r="AA250">
        <v>0</v>
      </c>
      <c r="AB250">
        <v>0</v>
      </c>
      <c r="AC250">
        <v>1</v>
      </c>
      <c r="AD250">
        <v>0</v>
      </c>
      <c r="AE250">
        <v>239</v>
      </c>
    </row>
    <row r="251" spans="2:31" x14ac:dyDescent="0.3">
      <c r="B251" t="s">
        <v>54</v>
      </c>
      <c r="C251">
        <v>9.6673455532926E-2</v>
      </c>
      <c r="D251">
        <v>0.31785471826204997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0.13300000000000001</v>
      </c>
      <c r="O251">
        <v>37</v>
      </c>
      <c r="P251">
        <v>36</v>
      </c>
      <c r="Q251">
        <v>25</v>
      </c>
      <c r="R251">
        <v>17</v>
      </c>
      <c r="S251">
        <v>3.5494412620142399</v>
      </c>
      <c r="T251">
        <v>3.23915301208479</v>
      </c>
      <c r="U251">
        <v>2.8258402483057101</v>
      </c>
      <c r="V251">
        <v>2.5177546999771199</v>
      </c>
      <c r="W251">
        <v>184.285148497422</v>
      </c>
      <c r="X251">
        <v>183.26714242809999</v>
      </c>
      <c r="Y251">
        <v>181.91112942357501</v>
      </c>
      <c r="Z251">
        <v>180.900350065542</v>
      </c>
      <c r="AA251">
        <v>0</v>
      </c>
      <c r="AB251">
        <v>0</v>
      </c>
      <c r="AC251">
        <v>1</v>
      </c>
      <c r="AD251">
        <v>0</v>
      </c>
      <c r="AE251">
        <v>72</v>
      </c>
    </row>
    <row r="252" spans="2:31" x14ac:dyDescent="0.3">
      <c r="B252" t="s">
        <v>55</v>
      </c>
      <c r="C252">
        <v>3.9646978954514599E-2</v>
      </c>
      <c r="D252">
        <v>9.6673455532926E-2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30</v>
      </c>
      <c r="P252">
        <v>37</v>
      </c>
      <c r="Q252">
        <v>21</v>
      </c>
      <c r="R252">
        <v>25</v>
      </c>
      <c r="S252">
        <v>2.71764799795409</v>
      </c>
      <c r="T252">
        <v>3.5494412620142399</v>
      </c>
      <c r="U252">
        <v>2.5071564861102802</v>
      </c>
      <c r="V252">
        <v>2.8258402483057101</v>
      </c>
      <c r="W252">
        <v>181.55616797229001</v>
      </c>
      <c r="X252">
        <v>184.285148497422</v>
      </c>
      <c r="Y252">
        <v>180.86557902267199</v>
      </c>
      <c r="Z252">
        <v>181.91112942357501</v>
      </c>
      <c r="AA252">
        <v>0</v>
      </c>
      <c r="AB252">
        <v>0</v>
      </c>
      <c r="AC252">
        <v>1</v>
      </c>
      <c r="AD252">
        <v>0</v>
      </c>
      <c r="AE252">
        <v>10</v>
      </c>
    </row>
    <row r="253" spans="2:31" x14ac:dyDescent="0.3">
      <c r="B253" t="s">
        <v>56</v>
      </c>
      <c r="C253">
        <v>6.5987780040733204E-2</v>
      </c>
      <c r="D253">
        <v>3.9646978954514599E-2</v>
      </c>
      <c r="E253">
        <v>0</v>
      </c>
      <c r="F253">
        <v>0</v>
      </c>
      <c r="G253">
        <v>0</v>
      </c>
      <c r="H253">
        <v>0</v>
      </c>
      <c r="I253">
        <v>1</v>
      </c>
      <c r="J253">
        <v>1</v>
      </c>
      <c r="K253">
        <v>0</v>
      </c>
      <c r="L253">
        <v>0</v>
      </c>
      <c r="M253">
        <v>0.85399999999999998</v>
      </c>
      <c r="N253">
        <v>0</v>
      </c>
      <c r="O253">
        <v>35</v>
      </c>
      <c r="P253">
        <v>30</v>
      </c>
      <c r="Q253">
        <v>23</v>
      </c>
      <c r="R253">
        <v>21</v>
      </c>
      <c r="S253">
        <v>3.1045637874555601</v>
      </c>
      <c r="T253">
        <v>2.71764799795409</v>
      </c>
      <c r="U253">
        <v>2.2949646006505402</v>
      </c>
      <c r="V253">
        <v>2.5071564861102802</v>
      </c>
      <c r="W253">
        <v>182.825576730497</v>
      </c>
      <c r="X253">
        <v>181.55616797229001</v>
      </c>
      <c r="Y253">
        <v>180.16941141945699</v>
      </c>
      <c r="Z253">
        <v>180.86557902267199</v>
      </c>
      <c r="AA253">
        <v>0</v>
      </c>
      <c r="AB253">
        <v>0</v>
      </c>
      <c r="AC253">
        <v>1</v>
      </c>
      <c r="AD253">
        <v>0</v>
      </c>
      <c r="AE253">
        <v>21</v>
      </c>
    </row>
    <row r="254" spans="2:31" x14ac:dyDescent="0.3">
      <c r="B254" t="s">
        <v>57</v>
      </c>
      <c r="C254">
        <v>6.1778682959945701E-2</v>
      </c>
      <c r="D254">
        <v>6.5987780040733204E-2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1</v>
      </c>
      <c r="M254">
        <v>0</v>
      </c>
      <c r="N254">
        <v>0.85399999999999998</v>
      </c>
      <c r="O254">
        <v>31</v>
      </c>
      <c r="P254">
        <v>35</v>
      </c>
      <c r="Q254">
        <v>18</v>
      </c>
      <c r="R254">
        <v>23</v>
      </c>
      <c r="S254">
        <v>2.73039125540175</v>
      </c>
      <c r="T254">
        <v>3.1045637874555601</v>
      </c>
      <c r="U254">
        <v>2.6264438303745599</v>
      </c>
      <c r="V254">
        <v>2.2949646006505402</v>
      </c>
      <c r="W254">
        <v>181.59797655971701</v>
      </c>
      <c r="X254">
        <v>182.825576730497</v>
      </c>
      <c r="Y254">
        <v>181.256941700704</v>
      </c>
      <c r="Z254">
        <v>180.16941141945699</v>
      </c>
      <c r="AA254">
        <v>0</v>
      </c>
      <c r="AB254">
        <v>0</v>
      </c>
      <c r="AC254">
        <v>1</v>
      </c>
      <c r="AD254">
        <v>0</v>
      </c>
      <c r="AE254">
        <v>37</v>
      </c>
    </row>
    <row r="255" spans="2:31" x14ac:dyDescent="0.3">
      <c r="B255" t="s">
        <v>58</v>
      </c>
      <c r="C255">
        <v>0.144602851323829</v>
      </c>
      <c r="D255">
        <v>6.1778682959945701E-2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1.5645</v>
      </c>
      <c r="N255">
        <v>0</v>
      </c>
      <c r="O255">
        <v>37</v>
      </c>
      <c r="P255">
        <v>31</v>
      </c>
      <c r="Q255">
        <v>22</v>
      </c>
      <c r="R255">
        <v>18</v>
      </c>
      <c r="S255">
        <v>2.8344187843281099</v>
      </c>
      <c r="T255">
        <v>2.73039125540175</v>
      </c>
      <c r="U255">
        <v>2.44560468705129</v>
      </c>
      <c r="V255">
        <v>2.6264438303745599</v>
      </c>
      <c r="W255">
        <v>181.93927422679801</v>
      </c>
      <c r="X255">
        <v>181.59797655971701</v>
      </c>
      <c r="Y255">
        <v>180.66363742470901</v>
      </c>
      <c r="Z255">
        <v>181.256941700704</v>
      </c>
      <c r="AA255">
        <v>0</v>
      </c>
      <c r="AB255">
        <v>0</v>
      </c>
      <c r="AC255">
        <v>1</v>
      </c>
      <c r="AD255">
        <v>0</v>
      </c>
      <c r="AE255">
        <v>83</v>
      </c>
    </row>
    <row r="256" spans="2:31" x14ac:dyDescent="0.3">
      <c r="B256" t="s">
        <v>59</v>
      </c>
      <c r="C256">
        <v>0.273455532926001</v>
      </c>
      <c r="D256">
        <v>0.144602851323829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1.5645</v>
      </c>
      <c r="O256">
        <v>39</v>
      </c>
      <c r="P256">
        <v>37</v>
      </c>
      <c r="Q256">
        <v>18</v>
      </c>
      <c r="R256">
        <v>22</v>
      </c>
      <c r="S256">
        <v>2.6149165324742398</v>
      </c>
      <c r="T256">
        <v>2.8344187843281099</v>
      </c>
      <c r="U256">
        <v>2.0083717502627199</v>
      </c>
      <c r="V256">
        <v>2.44560468705129</v>
      </c>
      <c r="W256">
        <v>181.21912248187101</v>
      </c>
      <c r="X256">
        <v>181.93927422679801</v>
      </c>
      <c r="Y256">
        <v>179.22914616227899</v>
      </c>
      <c r="Z256">
        <v>180.66363742470901</v>
      </c>
      <c r="AA256">
        <v>0</v>
      </c>
      <c r="AB256">
        <v>0</v>
      </c>
      <c r="AC256">
        <v>1</v>
      </c>
      <c r="AD256">
        <v>0</v>
      </c>
      <c r="AE256">
        <v>161</v>
      </c>
    </row>
    <row r="257" spans="2:31" x14ac:dyDescent="0.3">
      <c r="B257" t="s">
        <v>60</v>
      </c>
      <c r="C257">
        <v>0.31785471826204997</v>
      </c>
      <c r="D257">
        <v>0.273455532926001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0</v>
      </c>
      <c r="O257">
        <v>40</v>
      </c>
      <c r="P257">
        <v>39</v>
      </c>
      <c r="Q257">
        <v>21</v>
      </c>
      <c r="R257">
        <v>18</v>
      </c>
      <c r="S257">
        <v>3.0737316304947502</v>
      </c>
      <c r="T257">
        <v>2.6149165324742398</v>
      </c>
      <c r="U257">
        <v>2.51696831269753</v>
      </c>
      <c r="V257">
        <v>2.0083717502627199</v>
      </c>
      <c r="W257">
        <v>182.72442135989101</v>
      </c>
      <c r="X257">
        <v>181.21912248187101</v>
      </c>
      <c r="Y257">
        <v>180.897770054782</v>
      </c>
      <c r="Z257">
        <v>179.22914616227899</v>
      </c>
      <c r="AA257">
        <v>0</v>
      </c>
      <c r="AB257">
        <v>0</v>
      </c>
      <c r="AC257">
        <v>1</v>
      </c>
      <c r="AD257">
        <v>0</v>
      </c>
      <c r="AE257">
        <v>226</v>
      </c>
    </row>
    <row r="258" spans="2:31" x14ac:dyDescent="0.3">
      <c r="B258" t="s">
        <v>61</v>
      </c>
      <c r="C258">
        <v>9.6673455532926E-2</v>
      </c>
      <c r="D258">
        <v>0.31785471826204997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38</v>
      </c>
      <c r="P258">
        <v>40</v>
      </c>
      <c r="Q258">
        <v>25</v>
      </c>
      <c r="R258">
        <v>21</v>
      </c>
      <c r="S258">
        <v>3.4476141244495202</v>
      </c>
      <c r="T258">
        <v>3.0737316304947502</v>
      </c>
      <c r="U258">
        <v>2.4519899515968402</v>
      </c>
      <c r="V258">
        <v>2.51696831269753</v>
      </c>
      <c r="W258">
        <v>183.95106996210501</v>
      </c>
      <c r="X258">
        <v>182.72442135989101</v>
      </c>
      <c r="Y258">
        <v>180.68458645537001</v>
      </c>
      <c r="Z258">
        <v>180.897770054782</v>
      </c>
      <c r="AA258">
        <v>0</v>
      </c>
      <c r="AB258">
        <v>0</v>
      </c>
      <c r="AC258">
        <v>1</v>
      </c>
      <c r="AD258">
        <v>0</v>
      </c>
      <c r="AE258">
        <v>27</v>
      </c>
    </row>
    <row r="259" spans="2:31" x14ac:dyDescent="0.3">
      <c r="B259" t="s">
        <v>62</v>
      </c>
      <c r="C259">
        <v>3.9646978954514599E-2</v>
      </c>
      <c r="D259">
        <v>9.6673455532926E-2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7.0000000000000007E-2</v>
      </c>
      <c r="N259">
        <v>0</v>
      </c>
      <c r="O259">
        <v>30</v>
      </c>
      <c r="P259">
        <v>38</v>
      </c>
      <c r="Q259">
        <v>28</v>
      </c>
      <c r="R259">
        <v>25</v>
      </c>
      <c r="S259">
        <v>3.10758751050354</v>
      </c>
      <c r="T259">
        <v>3.4476141244495202</v>
      </c>
      <c r="U259">
        <v>2.9508628750762602</v>
      </c>
      <c r="V259">
        <v>2.4519899515968402</v>
      </c>
      <c r="W259">
        <v>182.835497081705</v>
      </c>
      <c r="X259">
        <v>183.95106996210501</v>
      </c>
      <c r="Y259">
        <v>182.321308645263</v>
      </c>
      <c r="Z259">
        <v>180.68458645537001</v>
      </c>
      <c r="AA259">
        <v>0</v>
      </c>
      <c r="AB259">
        <v>0</v>
      </c>
      <c r="AC259">
        <v>1</v>
      </c>
      <c r="AD259">
        <v>0</v>
      </c>
      <c r="AE259">
        <v>2</v>
      </c>
    </row>
    <row r="260" spans="2:31" x14ac:dyDescent="0.3">
      <c r="B260" t="s">
        <v>63</v>
      </c>
      <c r="C260">
        <v>6.5987780040733204E-2</v>
      </c>
      <c r="D260">
        <v>3.9646978954514599E-2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0.42699999999999999</v>
      </c>
      <c r="N260">
        <v>7.0000000000000007E-2</v>
      </c>
      <c r="O260">
        <v>31</v>
      </c>
      <c r="P260">
        <v>30</v>
      </c>
      <c r="Q260">
        <v>21</v>
      </c>
      <c r="R260">
        <v>28</v>
      </c>
      <c r="S260">
        <v>3.0930010543036701</v>
      </c>
      <c r="T260">
        <v>3.10758751050354</v>
      </c>
      <c r="U260">
        <v>2.9808936165014401</v>
      </c>
      <c r="V260">
        <v>2.9508628750762602</v>
      </c>
      <c r="W260">
        <v>182.78764125427699</v>
      </c>
      <c r="X260">
        <v>182.835497081705</v>
      </c>
      <c r="Y260">
        <v>182.41983469980801</v>
      </c>
      <c r="Z260">
        <v>182.321308645263</v>
      </c>
      <c r="AA260">
        <v>0</v>
      </c>
      <c r="AB260">
        <v>0</v>
      </c>
      <c r="AC260">
        <v>1</v>
      </c>
      <c r="AD260">
        <v>0</v>
      </c>
      <c r="AE260">
        <v>23</v>
      </c>
    </row>
    <row r="261" spans="2:31" x14ac:dyDescent="0.3">
      <c r="B261" t="s">
        <v>64</v>
      </c>
      <c r="C261">
        <v>6.1778682959945701E-2</v>
      </c>
      <c r="D261">
        <v>6.5987780040733204E-2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0.42699999999999999</v>
      </c>
      <c r="O261">
        <v>36</v>
      </c>
      <c r="P261">
        <v>31</v>
      </c>
      <c r="Q261">
        <v>14</v>
      </c>
      <c r="R261">
        <v>21</v>
      </c>
      <c r="S261">
        <v>2.5801948003965101</v>
      </c>
      <c r="T261">
        <v>3.0930010543036701</v>
      </c>
      <c r="U261">
        <v>2.0259268824518299</v>
      </c>
      <c r="V261">
        <v>2.9808936165014401</v>
      </c>
      <c r="W261">
        <v>181.10520603804599</v>
      </c>
      <c r="X261">
        <v>182.78764125427699</v>
      </c>
      <c r="Y261">
        <v>179.28674174032801</v>
      </c>
      <c r="Z261">
        <v>182.41983469980801</v>
      </c>
      <c r="AA261">
        <v>0</v>
      </c>
      <c r="AB261">
        <v>0</v>
      </c>
      <c r="AC261">
        <v>1</v>
      </c>
      <c r="AD261">
        <v>0</v>
      </c>
      <c r="AE261">
        <v>51</v>
      </c>
    </row>
    <row r="262" spans="2:31" x14ac:dyDescent="0.3">
      <c r="B262" t="s">
        <v>65</v>
      </c>
      <c r="C262">
        <v>0.144602851323829</v>
      </c>
      <c r="D262">
        <v>6.1778682959945701E-2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34</v>
      </c>
      <c r="P262">
        <v>36</v>
      </c>
      <c r="Q262">
        <v>15</v>
      </c>
      <c r="R262">
        <v>14</v>
      </c>
      <c r="S262">
        <v>2.8853251518414802</v>
      </c>
      <c r="T262">
        <v>2.5801948003965101</v>
      </c>
      <c r="U262">
        <v>2.3034599042854902</v>
      </c>
      <c r="V262">
        <v>2.0259268824518299</v>
      </c>
      <c r="W262">
        <v>182.10628986824599</v>
      </c>
      <c r="X262">
        <v>181.10520603804599</v>
      </c>
      <c r="Y262">
        <v>180.197283150543</v>
      </c>
      <c r="Z262">
        <v>179.28674174032801</v>
      </c>
      <c r="AA262">
        <v>0</v>
      </c>
      <c r="AB262">
        <v>0</v>
      </c>
      <c r="AC262">
        <v>1</v>
      </c>
      <c r="AD262">
        <v>0</v>
      </c>
      <c r="AE262">
        <v>85</v>
      </c>
    </row>
    <row r="263" spans="2:31" x14ac:dyDescent="0.3">
      <c r="B263" t="s">
        <v>66</v>
      </c>
      <c r="C263">
        <v>0.273455532926001</v>
      </c>
      <c r="D263">
        <v>0.144602851323829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8.0500000000000002E-2</v>
      </c>
      <c r="N263">
        <v>0</v>
      </c>
      <c r="O263">
        <v>34</v>
      </c>
      <c r="P263">
        <v>34</v>
      </c>
      <c r="Q263">
        <v>20</v>
      </c>
      <c r="R263">
        <v>15</v>
      </c>
      <c r="S263">
        <v>2.8282645737680898</v>
      </c>
      <c r="T263">
        <v>2.8853251518414802</v>
      </c>
      <c r="U263">
        <v>2.48789918807655</v>
      </c>
      <c r="V263">
        <v>2.3034599042854902</v>
      </c>
      <c r="W263">
        <v>181.919083247271</v>
      </c>
      <c r="X263">
        <v>182.10628986824599</v>
      </c>
      <c r="Y263">
        <v>180.80239891101201</v>
      </c>
      <c r="Z263">
        <v>180.197283150543</v>
      </c>
      <c r="AA263">
        <v>0</v>
      </c>
      <c r="AB263">
        <v>0</v>
      </c>
      <c r="AC263">
        <v>1</v>
      </c>
      <c r="AD263">
        <v>0</v>
      </c>
      <c r="AE263">
        <v>51</v>
      </c>
    </row>
    <row r="264" spans="2:31" x14ac:dyDescent="0.3">
      <c r="B264" t="s">
        <v>67</v>
      </c>
      <c r="C264">
        <v>0.31785471826204997</v>
      </c>
      <c r="D264">
        <v>0.273455532926001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4.5499999999999999E-2</v>
      </c>
      <c r="N264">
        <v>8.0500000000000002E-2</v>
      </c>
      <c r="O264">
        <v>37</v>
      </c>
      <c r="P264">
        <v>34</v>
      </c>
      <c r="Q264">
        <v>23</v>
      </c>
      <c r="R264">
        <v>20</v>
      </c>
      <c r="S264">
        <v>3.1521504947544998</v>
      </c>
      <c r="T264">
        <v>2.8282645737680898</v>
      </c>
      <c r="U264">
        <v>2.5392023603058602</v>
      </c>
      <c r="V264">
        <v>2.48789918807655</v>
      </c>
      <c r="W264">
        <v>182.98170109827601</v>
      </c>
      <c r="X264">
        <v>181.919083247271</v>
      </c>
      <c r="Y264">
        <v>180.97071640520301</v>
      </c>
      <c r="Z264">
        <v>180.80239891101201</v>
      </c>
      <c r="AA264">
        <v>0</v>
      </c>
      <c r="AB264">
        <v>0</v>
      </c>
      <c r="AC264">
        <v>1</v>
      </c>
      <c r="AD264">
        <v>0</v>
      </c>
      <c r="AE264">
        <v>205</v>
      </c>
    </row>
    <row r="265" spans="2:31" x14ac:dyDescent="0.3">
      <c r="B265" t="s">
        <v>68</v>
      </c>
      <c r="C265">
        <v>9.6673455532926E-2</v>
      </c>
      <c r="D265">
        <v>0.31785471826204997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9.8000000000000004E-2</v>
      </c>
      <c r="N265">
        <v>4.5499999999999999E-2</v>
      </c>
      <c r="O265">
        <v>40</v>
      </c>
      <c r="P265">
        <v>37</v>
      </c>
      <c r="Q265">
        <v>23</v>
      </c>
      <c r="R265">
        <v>23</v>
      </c>
      <c r="S265">
        <v>3.3870555800073801</v>
      </c>
      <c r="T265">
        <v>3.1521504947544998</v>
      </c>
      <c r="U265">
        <v>2.29403987565804</v>
      </c>
      <c r="V265">
        <v>2.5392023603058602</v>
      </c>
      <c r="W265">
        <v>183.752387073515</v>
      </c>
      <c r="X265">
        <v>182.98170109827601</v>
      </c>
      <c r="Y265">
        <v>180.16637754480999</v>
      </c>
      <c r="Z265">
        <v>180.97071640520301</v>
      </c>
      <c r="AA265">
        <v>0</v>
      </c>
      <c r="AB265">
        <v>0</v>
      </c>
      <c r="AC265">
        <v>1</v>
      </c>
      <c r="AD265">
        <v>0</v>
      </c>
      <c r="AE265">
        <v>55</v>
      </c>
    </row>
    <row r="266" spans="2:31" x14ac:dyDescent="0.3">
      <c r="B266" t="s">
        <v>69</v>
      </c>
      <c r="C266">
        <v>3.9646978954514599E-2</v>
      </c>
      <c r="D266">
        <v>9.6673455532926E-2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9.8000000000000004E-2</v>
      </c>
      <c r="O266">
        <v>37</v>
      </c>
      <c r="P266">
        <v>40</v>
      </c>
      <c r="Q266">
        <v>24</v>
      </c>
      <c r="R266">
        <v>23</v>
      </c>
      <c r="S266">
        <v>3.3059533155824199</v>
      </c>
      <c r="T266">
        <v>3.3870555800073801</v>
      </c>
      <c r="U266">
        <v>2.45996599355973</v>
      </c>
      <c r="V266">
        <v>2.29403987565804</v>
      </c>
      <c r="W266">
        <v>183.48630352881401</v>
      </c>
      <c r="X266">
        <v>183.752387073515</v>
      </c>
      <c r="Y266">
        <v>180.710754572046</v>
      </c>
      <c r="Z266">
        <v>180.16637754480999</v>
      </c>
      <c r="AA266">
        <v>0</v>
      </c>
      <c r="AB266">
        <v>0</v>
      </c>
      <c r="AC266">
        <v>1</v>
      </c>
      <c r="AD266">
        <v>0</v>
      </c>
      <c r="AE266">
        <v>42</v>
      </c>
    </row>
    <row r="267" spans="2:31" x14ac:dyDescent="0.3">
      <c r="B267" t="s">
        <v>70</v>
      </c>
      <c r="C267">
        <v>6.5987780040733204E-2</v>
      </c>
      <c r="D267">
        <v>3.9646978954514599E-2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0</v>
      </c>
      <c r="O267">
        <v>35</v>
      </c>
      <c r="P267">
        <v>37</v>
      </c>
      <c r="Q267">
        <v>23</v>
      </c>
      <c r="R267">
        <v>24</v>
      </c>
      <c r="S267">
        <v>2.8728049890614402</v>
      </c>
      <c r="T267">
        <v>3.3059533155824199</v>
      </c>
      <c r="U267">
        <v>2.6095079448896699</v>
      </c>
      <c r="V267">
        <v>2.45996599355973</v>
      </c>
      <c r="W267">
        <v>182.065213218705</v>
      </c>
      <c r="X267">
        <v>183.48630352881401</v>
      </c>
      <c r="Y267">
        <v>181.20137777194799</v>
      </c>
      <c r="Z267">
        <v>180.710754572046</v>
      </c>
      <c r="AA267">
        <v>0</v>
      </c>
      <c r="AB267">
        <v>0</v>
      </c>
      <c r="AC267">
        <v>1</v>
      </c>
      <c r="AD267">
        <v>0</v>
      </c>
      <c r="AE267">
        <v>44</v>
      </c>
    </row>
    <row r="268" spans="2:31" x14ac:dyDescent="0.3">
      <c r="B268" t="s">
        <v>71</v>
      </c>
      <c r="C268">
        <v>6.1778682959945701E-2</v>
      </c>
      <c r="D268">
        <v>6.5987780040733204E-2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33</v>
      </c>
      <c r="P268">
        <v>35</v>
      </c>
      <c r="Q268">
        <v>20</v>
      </c>
      <c r="R268">
        <v>23</v>
      </c>
      <c r="S268">
        <v>2.9486984154107798</v>
      </c>
      <c r="T268">
        <v>2.8728049890614402</v>
      </c>
      <c r="U268">
        <v>2.3374490822005498</v>
      </c>
      <c r="V268">
        <v>2.6095079448896699</v>
      </c>
      <c r="W268">
        <v>182.31420739964199</v>
      </c>
      <c r="X268">
        <v>182.065213218705</v>
      </c>
      <c r="Y268">
        <v>180.30879620144501</v>
      </c>
      <c r="Z268">
        <v>181.20137777194799</v>
      </c>
      <c r="AA268">
        <v>0</v>
      </c>
      <c r="AB268">
        <v>0</v>
      </c>
      <c r="AC268">
        <v>1</v>
      </c>
      <c r="AD268">
        <v>0</v>
      </c>
      <c r="AE268">
        <v>36</v>
      </c>
    </row>
    <row r="269" spans="2:31" x14ac:dyDescent="0.3">
      <c r="B269" t="s">
        <v>72</v>
      </c>
      <c r="C269">
        <v>0.144602851323829</v>
      </c>
      <c r="D269">
        <v>6.1778682959945701E-2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35</v>
      </c>
      <c r="P269">
        <v>33</v>
      </c>
      <c r="Q269">
        <v>17</v>
      </c>
      <c r="R269">
        <v>20</v>
      </c>
      <c r="S269">
        <v>3.1190529547614201</v>
      </c>
      <c r="T269">
        <v>2.9486984154107798</v>
      </c>
      <c r="U269">
        <v>2.7743486327862499</v>
      </c>
      <c r="V269">
        <v>2.3374490822005498</v>
      </c>
      <c r="W269">
        <v>182.87311336863999</v>
      </c>
      <c r="X269">
        <v>182.31420739964199</v>
      </c>
      <c r="Y269">
        <v>181.74219367712001</v>
      </c>
      <c r="Z269">
        <v>180.30879620144501</v>
      </c>
      <c r="AA269">
        <v>0</v>
      </c>
      <c r="AB269">
        <v>0</v>
      </c>
      <c r="AC269">
        <v>1</v>
      </c>
      <c r="AD269">
        <v>0</v>
      </c>
      <c r="AE269">
        <v>56</v>
      </c>
    </row>
    <row r="270" spans="2:31" x14ac:dyDescent="0.3">
      <c r="B270" t="s">
        <v>73</v>
      </c>
      <c r="C270">
        <v>0.273455532926001</v>
      </c>
      <c r="D270">
        <v>0.144602851323829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  <c r="O270">
        <v>35</v>
      </c>
      <c r="P270">
        <v>35</v>
      </c>
      <c r="Q270">
        <v>17</v>
      </c>
      <c r="R270">
        <v>17</v>
      </c>
      <c r="S270">
        <v>3.1208404904763101</v>
      </c>
      <c r="T270">
        <v>3.1190529547614201</v>
      </c>
      <c r="U270">
        <v>2.5073596782788101</v>
      </c>
      <c r="V270">
        <v>2.7743486327862499</v>
      </c>
      <c r="W270">
        <v>182.878977987127</v>
      </c>
      <c r="X270">
        <v>182.87311336863999</v>
      </c>
      <c r="Y270">
        <v>180.86624566364401</v>
      </c>
      <c r="Z270">
        <v>181.74219367712001</v>
      </c>
      <c r="AA270">
        <v>0</v>
      </c>
      <c r="AB270">
        <v>0</v>
      </c>
      <c r="AC270">
        <v>1</v>
      </c>
      <c r="AD270">
        <v>0</v>
      </c>
      <c r="AE270">
        <v>214</v>
      </c>
    </row>
    <row r="271" spans="2:31" x14ac:dyDescent="0.3">
      <c r="B271" t="s">
        <v>74</v>
      </c>
      <c r="C271">
        <v>0.31785471826204997</v>
      </c>
      <c r="D271">
        <v>0.273455532926001</v>
      </c>
      <c r="E271">
        <v>0</v>
      </c>
      <c r="F271">
        <v>0</v>
      </c>
      <c r="G271">
        <v>0</v>
      </c>
      <c r="H271">
        <v>0</v>
      </c>
      <c r="I271">
        <v>1</v>
      </c>
      <c r="J271">
        <v>1</v>
      </c>
      <c r="K271">
        <v>0</v>
      </c>
      <c r="L271">
        <v>0</v>
      </c>
      <c r="M271">
        <v>1.0500000000000001E-2</v>
      </c>
      <c r="N271">
        <v>0</v>
      </c>
      <c r="O271">
        <v>33</v>
      </c>
      <c r="P271">
        <v>35</v>
      </c>
      <c r="Q271">
        <v>20</v>
      </c>
      <c r="R271">
        <v>17</v>
      </c>
      <c r="S271">
        <v>2.9203386055044298</v>
      </c>
      <c r="T271">
        <v>3.1208404904763101</v>
      </c>
      <c r="U271">
        <v>2.0465011733700398</v>
      </c>
      <c r="V271">
        <v>2.5073596782788101</v>
      </c>
      <c r="W271">
        <v>182.22116340388601</v>
      </c>
      <c r="X271">
        <v>182.878977987127</v>
      </c>
      <c r="Y271">
        <v>179.35424269478401</v>
      </c>
      <c r="Z271">
        <v>180.86624566364401</v>
      </c>
      <c r="AA271">
        <v>0</v>
      </c>
      <c r="AB271">
        <v>0</v>
      </c>
      <c r="AC271">
        <v>1</v>
      </c>
      <c r="AD271">
        <v>0</v>
      </c>
      <c r="AE271">
        <v>77</v>
      </c>
    </row>
    <row r="272" spans="2:31" x14ac:dyDescent="0.3">
      <c r="B272" t="s">
        <v>75</v>
      </c>
      <c r="C272">
        <v>9.6673455532926E-2</v>
      </c>
      <c r="D272">
        <v>0.31785471826204997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1.0500000000000001E-2</v>
      </c>
      <c r="N272">
        <v>1.0500000000000001E-2</v>
      </c>
      <c r="O272">
        <v>34</v>
      </c>
      <c r="P272">
        <v>33</v>
      </c>
      <c r="Q272">
        <v>23</v>
      </c>
      <c r="R272">
        <v>20</v>
      </c>
      <c r="S272">
        <v>2.9862764790177998</v>
      </c>
      <c r="T272">
        <v>2.9203386055044298</v>
      </c>
      <c r="U272">
        <v>1.9752050568136501</v>
      </c>
      <c r="V272">
        <v>2.0465011733700398</v>
      </c>
      <c r="W272">
        <v>182.437495009901</v>
      </c>
      <c r="X272">
        <v>182.22116340388601</v>
      </c>
      <c r="Y272">
        <v>179.120331551226</v>
      </c>
      <c r="Z272">
        <v>179.35424269478401</v>
      </c>
      <c r="AA272">
        <v>0</v>
      </c>
      <c r="AB272">
        <v>0</v>
      </c>
      <c r="AC272">
        <v>1</v>
      </c>
      <c r="AD272">
        <v>0</v>
      </c>
      <c r="AE272">
        <v>13</v>
      </c>
    </row>
    <row r="273" spans="2:31" x14ac:dyDescent="0.3">
      <c r="B273" t="s">
        <v>76</v>
      </c>
      <c r="C273">
        <v>3.9646978954514599E-2</v>
      </c>
      <c r="D273">
        <v>9.6673455532926E-2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9.8000000000000004E-2</v>
      </c>
      <c r="N273">
        <v>1.0500000000000001E-2</v>
      </c>
      <c r="O273">
        <v>39</v>
      </c>
      <c r="P273">
        <v>34</v>
      </c>
      <c r="Q273">
        <v>24</v>
      </c>
      <c r="R273">
        <v>23</v>
      </c>
      <c r="S273">
        <v>3.0250373497722398</v>
      </c>
      <c r="T273">
        <v>2.9862764790177998</v>
      </c>
      <c r="U273">
        <v>2.1531476460742001</v>
      </c>
      <c r="V273">
        <v>1.9752050568136501</v>
      </c>
      <c r="W273">
        <v>182.56466322103799</v>
      </c>
      <c r="X273">
        <v>182.437495009901</v>
      </c>
      <c r="Y273">
        <v>179.704132697094</v>
      </c>
      <c r="Z273">
        <v>179.120331551226</v>
      </c>
      <c r="AA273">
        <v>0</v>
      </c>
      <c r="AB273">
        <v>0</v>
      </c>
      <c r="AC273">
        <v>1</v>
      </c>
      <c r="AD273">
        <v>0</v>
      </c>
      <c r="AE273">
        <v>30</v>
      </c>
    </row>
    <row r="274" spans="2:31" x14ac:dyDescent="0.3">
      <c r="B274" t="s">
        <v>77</v>
      </c>
      <c r="C274">
        <v>6.5987780040733204E-2</v>
      </c>
      <c r="D274">
        <v>3.9646978954514599E-2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9.8000000000000004E-2</v>
      </c>
      <c r="N274">
        <v>9.8000000000000004E-2</v>
      </c>
      <c r="O274">
        <v>42</v>
      </c>
      <c r="P274">
        <v>39</v>
      </c>
      <c r="Q274">
        <v>22</v>
      </c>
      <c r="R274">
        <v>24</v>
      </c>
      <c r="S274">
        <v>3.0966998424001599</v>
      </c>
      <c r="T274">
        <v>3.0250373497722398</v>
      </c>
      <c r="U274">
        <v>2.30275202315807</v>
      </c>
      <c r="V274">
        <v>2.1531476460742001</v>
      </c>
      <c r="W274">
        <v>182.79977638582699</v>
      </c>
      <c r="X274">
        <v>182.56466322103799</v>
      </c>
      <c r="Y274">
        <v>180.19496070589901</v>
      </c>
      <c r="Z274">
        <v>179.704132697094</v>
      </c>
      <c r="AA274">
        <v>0</v>
      </c>
      <c r="AB274">
        <v>0</v>
      </c>
      <c r="AC274">
        <v>1</v>
      </c>
      <c r="AD274">
        <v>0</v>
      </c>
      <c r="AE274">
        <v>87</v>
      </c>
    </row>
    <row r="275" spans="2:31" x14ac:dyDescent="0.3">
      <c r="B275" t="s">
        <v>78</v>
      </c>
      <c r="C275">
        <v>6.1778682959945701E-2</v>
      </c>
      <c r="D275">
        <v>6.5987780040733204E-2</v>
      </c>
      <c r="E275">
        <v>0</v>
      </c>
      <c r="F275">
        <v>0</v>
      </c>
      <c r="G275">
        <v>0</v>
      </c>
      <c r="H275">
        <v>1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9.8000000000000004E-2</v>
      </c>
      <c r="O275">
        <v>32</v>
      </c>
      <c r="P275">
        <v>42</v>
      </c>
      <c r="Q275">
        <v>23</v>
      </c>
      <c r="R275">
        <v>22</v>
      </c>
      <c r="S275">
        <v>2.6207388963318099</v>
      </c>
      <c r="T275">
        <v>3.0966998424001599</v>
      </c>
      <c r="U275">
        <v>1.7741758769868201</v>
      </c>
      <c r="V275">
        <v>2.30275202315807</v>
      </c>
      <c r="W275">
        <v>181.23822472549799</v>
      </c>
      <c r="X275">
        <v>182.79977638582699</v>
      </c>
      <c r="Y275">
        <v>178.46078699798801</v>
      </c>
      <c r="Z275">
        <v>180.19496070589901</v>
      </c>
      <c r="AA275">
        <v>0</v>
      </c>
      <c r="AB275">
        <v>0</v>
      </c>
      <c r="AC275">
        <v>1</v>
      </c>
      <c r="AD275">
        <v>0</v>
      </c>
      <c r="AE275">
        <v>12</v>
      </c>
    </row>
    <row r="276" spans="2:31" x14ac:dyDescent="0.3">
      <c r="B276" t="s">
        <v>79</v>
      </c>
      <c r="C276">
        <v>0.144602851323829</v>
      </c>
      <c r="D276">
        <v>6.1778682959945701E-2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1</v>
      </c>
      <c r="L276">
        <v>0</v>
      </c>
      <c r="M276">
        <v>0.59499999999999997</v>
      </c>
      <c r="N276">
        <v>0</v>
      </c>
      <c r="O276">
        <v>39</v>
      </c>
      <c r="P276">
        <v>32</v>
      </c>
      <c r="Q276">
        <v>20</v>
      </c>
      <c r="R276">
        <v>23</v>
      </c>
      <c r="S276">
        <v>3.1440955930777101</v>
      </c>
      <c r="T276">
        <v>2.6207388963318099</v>
      </c>
      <c r="U276">
        <v>2.3865821231379898</v>
      </c>
      <c r="V276">
        <v>1.7741758769868201</v>
      </c>
      <c r="W276">
        <v>182.95527425550401</v>
      </c>
      <c r="X276">
        <v>181.23822472549799</v>
      </c>
      <c r="Y276">
        <v>180.469993842316</v>
      </c>
      <c r="Z276">
        <v>178.46078699798801</v>
      </c>
      <c r="AA276">
        <v>0</v>
      </c>
      <c r="AB276">
        <v>0</v>
      </c>
      <c r="AC276">
        <v>1</v>
      </c>
      <c r="AD276">
        <v>0</v>
      </c>
      <c r="AE276">
        <v>96</v>
      </c>
    </row>
    <row r="277" spans="2:31" x14ac:dyDescent="0.3">
      <c r="B277" t="s">
        <v>80</v>
      </c>
      <c r="C277">
        <v>0.273455532926001</v>
      </c>
      <c r="D277">
        <v>0.144602851323829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0.59499999999999997</v>
      </c>
      <c r="O277">
        <v>39</v>
      </c>
      <c r="P277">
        <v>39</v>
      </c>
      <c r="Q277">
        <v>18</v>
      </c>
      <c r="R277">
        <v>20</v>
      </c>
      <c r="S277">
        <v>3.0199581677326601</v>
      </c>
      <c r="T277">
        <v>3.1440955930777101</v>
      </c>
      <c r="U277">
        <v>2.4294424511102202</v>
      </c>
      <c r="V277">
        <v>2.3865821231379898</v>
      </c>
      <c r="W277">
        <v>182.54799923796801</v>
      </c>
      <c r="X277">
        <v>182.95527425550401</v>
      </c>
      <c r="Y277">
        <v>180.61061171624101</v>
      </c>
      <c r="Z277">
        <v>180.469993842316</v>
      </c>
      <c r="AA277">
        <v>0</v>
      </c>
      <c r="AB277">
        <v>0</v>
      </c>
      <c r="AC277">
        <v>1</v>
      </c>
      <c r="AD277">
        <v>0</v>
      </c>
      <c r="AE277">
        <v>151</v>
      </c>
    </row>
    <row r="278" spans="2:31" x14ac:dyDescent="0.3">
      <c r="B278" t="s">
        <v>81</v>
      </c>
      <c r="C278">
        <v>0.31785471826204997</v>
      </c>
      <c r="D278">
        <v>0.273455532926001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1.0500000000000001E-2</v>
      </c>
      <c r="N278">
        <v>0</v>
      </c>
      <c r="O278">
        <v>36</v>
      </c>
      <c r="P278">
        <v>39</v>
      </c>
      <c r="Q278">
        <v>17</v>
      </c>
      <c r="R278">
        <v>18</v>
      </c>
      <c r="S278">
        <v>2.8834229024826699</v>
      </c>
      <c r="T278">
        <v>3.0199581677326601</v>
      </c>
      <c r="U278">
        <v>2.4293778437214399</v>
      </c>
      <c r="V278">
        <v>2.4294424511102202</v>
      </c>
      <c r="W278">
        <v>182.10004889266</v>
      </c>
      <c r="X278">
        <v>182.54799923796801</v>
      </c>
      <c r="Y278">
        <v>180.61039974974199</v>
      </c>
      <c r="Z278">
        <v>180.61061171624101</v>
      </c>
      <c r="AA278">
        <v>0</v>
      </c>
      <c r="AB278">
        <v>0</v>
      </c>
      <c r="AC278">
        <v>1</v>
      </c>
      <c r="AD278">
        <v>0</v>
      </c>
      <c r="AE278">
        <v>180</v>
      </c>
    </row>
    <row r="279" spans="2:31" x14ac:dyDescent="0.3">
      <c r="B279" t="s">
        <v>82</v>
      </c>
      <c r="C279">
        <v>9.6673455532926E-2</v>
      </c>
      <c r="D279">
        <v>0.31785471826204997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1.0500000000000001E-2</v>
      </c>
      <c r="O279">
        <v>36</v>
      </c>
      <c r="P279">
        <v>36</v>
      </c>
      <c r="Q279">
        <v>25</v>
      </c>
      <c r="R279">
        <v>17</v>
      </c>
      <c r="S279">
        <v>3.0236331761974098</v>
      </c>
      <c r="T279">
        <v>2.8834229024826699</v>
      </c>
      <c r="U279">
        <v>2.4108405581824699</v>
      </c>
      <c r="V279">
        <v>2.4293778437214399</v>
      </c>
      <c r="W279">
        <v>182.560056352354</v>
      </c>
      <c r="X279">
        <v>182.10004889266</v>
      </c>
      <c r="Y279">
        <v>180.54958188380101</v>
      </c>
      <c r="Z279">
        <v>180.61039974974199</v>
      </c>
      <c r="AA279">
        <v>0</v>
      </c>
      <c r="AB279">
        <v>0</v>
      </c>
      <c r="AC279">
        <v>1</v>
      </c>
      <c r="AD279">
        <v>0</v>
      </c>
      <c r="AE279">
        <v>54</v>
      </c>
    </row>
    <row r="280" spans="2:31" x14ac:dyDescent="0.3">
      <c r="B280" t="s">
        <v>83</v>
      </c>
      <c r="C280">
        <v>3.9646978954514599E-2</v>
      </c>
      <c r="D280">
        <v>9.6673455532926E-2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0</v>
      </c>
      <c r="O280">
        <v>39</v>
      </c>
      <c r="P280">
        <v>36</v>
      </c>
      <c r="Q280">
        <v>25</v>
      </c>
      <c r="R280">
        <v>25</v>
      </c>
      <c r="S280">
        <v>2.8382892570009401</v>
      </c>
      <c r="T280">
        <v>3.0236331761974098</v>
      </c>
      <c r="U280">
        <v>2.57771233848363</v>
      </c>
      <c r="V280">
        <v>2.4108405581824699</v>
      </c>
      <c r="W280">
        <v>181.951972627956</v>
      </c>
      <c r="X280">
        <v>182.560056352354</v>
      </c>
      <c r="Y280">
        <v>181.09706147796501</v>
      </c>
      <c r="Z280">
        <v>180.54958188380101</v>
      </c>
      <c r="AA280">
        <v>0</v>
      </c>
      <c r="AB280">
        <v>0</v>
      </c>
      <c r="AC280">
        <v>1</v>
      </c>
      <c r="AD280">
        <v>0</v>
      </c>
      <c r="AE280">
        <v>22</v>
      </c>
    </row>
    <row r="281" spans="2:31" x14ac:dyDescent="0.3">
      <c r="B281" t="s">
        <v>0</v>
      </c>
      <c r="C281">
        <v>6.5987780040733204E-2</v>
      </c>
      <c r="D281">
        <v>3.9646978954514599E-2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0.80149999999999999</v>
      </c>
      <c r="N281">
        <v>0</v>
      </c>
      <c r="O281">
        <v>36</v>
      </c>
      <c r="P281">
        <v>39</v>
      </c>
      <c r="Q281">
        <v>19</v>
      </c>
      <c r="R281">
        <v>25</v>
      </c>
      <c r="S281">
        <v>3.0138319011208901</v>
      </c>
      <c r="T281">
        <v>2.8382892570009401</v>
      </c>
      <c r="U281">
        <v>2.0780594406425799</v>
      </c>
      <c r="V281">
        <v>2.57771233848363</v>
      </c>
      <c r="W281">
        <v>182.52789993806101</v>
      </c>
      <c r="X281">
        <v>181.951972627956</v>
      </c>
      <c r="Y281">
        <v>179.45778031706899</v>
      </c>
      <c r="Z281">
        <v>181.09706147796501</v>
      </c>
      <c r="AA281">
        <v>0</v>
      </c>
      <c r="AB281">
        <v>0</v>
      </c>
      <c r="AC281">
        <v>1</v>
      </c>
      <c r="AD281">
        <v>0</v>
      </c>
      <c r="AE281">
        <v>45</v>
      </c>
    </row>
    <row r="282" spans="2:31" x14ac:dyDescent="0.3">
      <c r="B282" t="s">
        <v>84</v>
      </c>
      <c r="C282">
        <v>6.1778682959945701E-2</v>
      </c>
      <c r="D282">
        <v>6.5987780040733204E-2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0.80149999999999999</v>
      </c>
      <c r="O282">
        <v>35</v>
      </c>
      <c r="P282">
        <v>36</v>
      </c>
      <c r="Q282">
        <v>18</v>
      </c>
      <c r="R282">
        <v>19</v>
      </c>
      <c r="S282">
        <v>3.1466341695436699</v>
      </c>
      <c r="T282">
        <v>3.0138319011208901</v>
      </c>
      <c r="U282">
        <v>2.2192763758193701</v>
      </c>
      <c r="V282">
        <v>2.0780594406425799</v>
      </c>
      <c r="W282">
        <v>182.96360291844999</v>
      </c>
      <c r="X282">
        <v>182.52789993806101</v>
      </c>
      <c r="Y282">
        <v>179.921090471848</v>
      </c>
      <c r="Z282">
        <v>179.45778031706899</v>
      </c>
      <c r="AA282">
        <v>0</v>
      </c>
      <c r="AB282">
        <v>0</v>
      </c>
      <c r="AC282">
        <v>1</v>
      </c>
      <c r="AD282">
        <v>0</v>
      </c>
      <c r="AE282">
        <v>46</v>
      </c>
    </row>
    <row r="283" spans="2:31" x14ac:dyDescent="0.3">
      <c r="B283" t="s">
        <v>85</v>
      </c>
      <c r="C283">
        <v>0.144602851323829</v>
      </c>
      <c r="D283">
        <v>6.1778682959945701E-2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36</v>
      </c>
      <c r="P283">
        <v>35</v>
      </c>
      <c r="Q283">
        <v>20</v>
      </c>
      <c r="R283">
        <v>18</v>
      </c>
      <c r="S283">
        <v>3.3349657401912798</v>
      </c>
      <c r="T283">
        <v>3.1466341695436699</v>
      </c>
      <c r="U283">
        <v>2.5560580066162402</v>
      </c>
      <c r="V283">
        <v>2.2192763758193701</v>
      </c>
      <c r="W283">
        <v>183.581488648922</v>
      </c>
      <c r="X283">
        <v>182.96360291844999</v>
      </c>
      <c r="Y283">
        <v>181.02601708207399</v>
      </c>
      <c r="Z283">
        <v>179.921090471848</v>
      </c>
      <c r="AA283">
        <v>0</v>
      </c>
      <c r="AB283">
        <v>0</v>
      </c>
      <c r="AC283">
        <v>1</v>
      </c>
      <c r="AD283">
        <v>0</v>
      </c>
      <c r="AE283">
        <v>76</v>
      </c>
    </row>
    <row r="284" spans="2:31" x14ac:dyDescent="0.3">
      <c r="B284" t="s">
        <v>86</v>
      </c>
      <c r="C284">
        <v>0.273455532926001</v>
      </c>
      <c r="D284">
        <v>0.144602851323829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36</v>
      </c>
      <c r="P284">
        <v>36</v>
      </c>
      <c r="Q284">
        <v>16</v>
      </c>
      <c r="R284">
        <v>20</v>
      </c>
      <c r="S284">
        <v>3.1397741928697398</v>
      </c>
      <c r="T284">
        <v>3.3349657401912798</v>
      </c>
      <c r="U284">
        <v>2.396361559442</v>
      </c>
      <c r="V284">
        <v>2.5560580066162402</v>
      </c>
      <c r="W284">
        <v>182.9410964333</v>
      </c>
      <c r="X284">
        <v>183.581488648922</v>
      </c>
      <c r="Y284">
        <v>180.50207860709301</v>
      </c>
      <c r="Z284">
        <v>181.02601708207399</v>
      </c>
      <c r="AA284">
        <v>0</v>
      </c>
      <c r="AB284">
        <v>0</v>
      </c>
      <c r="AC284">
        <v>1</v>
      </c>
      <c r="AD284">
        <v>0</v>
      </c>
      <c r="AE284">
        <v>172</v>
      </c>
    </row>
    <row r="285" spans="2:31" x14ac:dyDescent="0.3">
      <c r="B285" t="s">
        <v>87</v>
      </c>
      <c r="C285">
        <v>0.31785471826204997</v>
      </c>
      <c r="D285">
        <v>0.273455532926001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37</v>
      </c>
      <c r="P285">
        <v>36</v>
      </c>
      <c r="Q285">
        <v>18</v>
      </c>
      <c r="R285">
        <v>16</v>
      </c>
      <c r="S285">
        <v>2.84432691941646</v>
      </c>
      <c r="T285">
        <v>3.1397741928697398</v>
      </c>
      <c r="U285">
        <v>2.0866321225840601</v>
      </c>
      <c r="V285">
        <v>2.396361559442</v>
      </c>
      <c r="W285">
        <v>181.97178123168101</v>
      </c>
      <c r="X285">
        <v>182.9410964333</v>
      </c>
      <c r="Y285">
        <v>179.48590591399</v>
      </c>
      <c r="Z285">
        <v>180.50207860709301</v>
      </c>
      <c r="AA285">
        <v>0</v>
      </c>
      <c r="AB285">
        <v>0</v>
      </c>
      <c r="AC285">
        <v>1</v>
      </c>
      <c r="AD285">
        <v>0</v>
      </c>
      <c r="AE285">
        <v>185</v>
      </c>
    </row>
    <row r="286" spans="2:31" x14ac:dyDescent="0.3">
      <c r="B286" t="s">
        <v>88</v>
      </c>
      <c r="C286">
        <v>9.6673455532926E-2</v>
      </c>
      <c r="D286">
        <v>0.31785471826204997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34</v>
      </c>
      <c r="P286">
        <v>37</v>
      </c>
      <c r="Q286">
        <v>25</v>
      </c>
      <c r="R286">
        <v>18</v>
      </c>
      <c r="S286">
        <v>3.0652747477906499</v>
      </c>
      <c r="T286">
        <v>2.84432691941646</v>
      </c>
      <c r="U286">
        <v>2.3518279191551099</v>
      </c>
      <c r="V286">
        <v>2.0866321225840601</v>
      </c>
      <c r="W286">
        <v>182.69667568172801</v>
      </c>
      <c r="X286">
        <v>181.97178123168101</v>
      </c>
      <c r="Y286">
        <v>180.35597086337</v>
      </c>
      <c r="Z286">
        <v>179.48590591399</v>
      </c>
      <c r="AA286">
        <v>0</v>
      </c>
      <c r="AB286">
        <v>0</v>
      </c>
      <c r="AC286">
        <v>1</v>
      </c>
      <c r="AD286">
        <v>0</v>
      </c>
      <c r="AE286">
        <v>42</v>
      </c>
    </row>
    <row r="287" spans="2:31" s="14" customFormat="1" x14ac:dyDescent="0.3">
      <c r="B287" s="14" t="s">
        <v>89</v>
      </c>
      <c r="C287" s="14">
        <v>6.5987780040733204E-2</v>
      </c>
      <c r="D287" s="14">
        <v>9.6673455532926E-2</v>
      </c>
      <c r="E287" s="14">
        <v>0</v>
      </c>
      <c r="F287" s="14">
        <v>0</v>
      </c>
      <c r="G287" s="14">
        <v>1</v>
      </c>
      <c r="H287" s="14">
        <v>0</v>
      </c>
      <c r="I287" s="14">
        <v>0</v>
      </c>
      <c r="J287" s="14">
        <v>1</v>
      </c>
      <c r="K287" s="14">
        <v>0</v>
      </c>
      <c r="L287" s="14">
        <v>0</v>
      </c>
      <c r="M287" s="14">
        <v>0.92</v>
      </c>
      <c r="N287" s="14">
        <v>0</v>
      </c>
      <c r="O287" s="14">
        <v>35</v>
      </c>
      <c r="P287" s="14">
        <v>34</v>
      </c>
      <c r="Q287" s="14">
        <v>21</v>
      </c>
      <c r="R287" s="14">
        <v>25</v>
      </c>
      <c r="S287" s="14">
        <v>3.3790975304142798</v>
      </c>
      <c r="T287" s="14">
        <v>3.0652747477906499</v>
      </c>
      <c r="U287" s="14">
        <v>2.63979634084445</v>
      </c>
      <c r="V287" s="14">
        <v>2.3518279191551099</v>
      </c>
      <c r="W287" s="14">
        <v>183.726277986924</v>
      </c>
      <c r="X287" s="14">
        <v>182.69667568172801</v>
      </c>
      <c r="Y287" s="14">
        <v>181.30074914975199</v>
      </c>
      <c r="Z287" s="14">
        <v>180.35597086337</v>
      </c>
      <c r="AA287" s="14">
        <v>0</v>
      </c>
      <c r="AB287" s="14">
        <v>0</v>
      </c>
      <c r="AC287" s="14">
        <v>1</v>
      </c>
      <c r="AD287" s="14">
        <v>0</v>
      </c>
      <c r="AE287" s="14">
        <v>16</v>
      </c>
    </row>
    <row r="288" spans="2:31" x14ac:dyDescent="0.3">
      <c r="B288" t="s">
        <v>90</v>
      </c>
      <c r="C288">
        <v>6.1778682959945701E-2</v>
      </c>
      <c r="D288">
        <v>6.5987780040733204E-2</v>
      </c>
      <c r="E288">
        <v>0</v>
      </c>
      <c r="F288">
        <v>0</v>
      </c>
      <c r="G288">
        <v>0</v>
      </c>
      <c r="H288">
        <v>1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0.92</v>
      </c>
      <c r="O288">
        <v>37</v>
      </c>
      <c r="P288">
        <v>35</v>
      </c>
      <c r="Q288">
        <v>20</v>
      </c>
      <c r="R288">
        <v>21</v>
      </c>
      <c r="S288">
        <v>3.04321180857717</v>
      </c>
      <c r="T288">
        <v>3.3790975304142798</v>
      </c>
      <c r="U288">
        <v>2.2132802106938998</v>
      </c>
      <c r="V288">
        <v>2.63979634084445</v>
      </c>
      <c r="W288">
        <v>182.62429071055499</v>
      </c>
      <c r="X288">
        <v>183.726277986924</v>
      </c>
      <c r="Y288">
        <v>179.90141801408799</v>
      </c>
      <c r="Z288">
        <v>181.30074914975199</v>
      </c>
      <c r="AA288">
        <v>0</v>
      </c>
      <c r="AB288">
        <v>0</v>
      </c>
      <c r="AC288">
        <v>1</v>
      </c>
      <c r="AD288">
        <v>0</v>
      </c>
      <c r="AE288">
        <v>61</v>
      </c>
    </row>
    <row r="289" spans="2:31" x14ac:dyDescent="0.3">
      <c r="B289" t="s">
        <v>91</v>
      </c>
      <c r="C289">
        <v>0.144602851323829</v>
      </c>
      <c r="D289">
        <v>6.1778682959945701E-2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37</v>
      </c>
      <c r="P289">
        <v>37</v>
      </c>
      <c r="Q289">
        <v>21</v>
      </c>
      <c r="R289">
        <v>20</v>
      </c>
      <c r="S289">
        <v>2.95137179645827</v>
      </c>
      <c r="T289">
        <v>3.04321180857717</v>
      </c>
      <c r="U289">
        <v>2.1102183510966501</v>
      </c>
      <c r="V289">
        <v>2.2132802106938998</v>
      </c>
      <c r="W289">
        <v>182.32297833483699</v>
      </c>
      <c r="X289">
        <v>182.62429071055499</v>
      </c>
      <c r="Y289">
        <v>179.563288553467</v>
      </c>
      <c r="Z289">
        <v>179.90141801408799</v>
      </c>
      <c r="AA289">
        <v>0</v>
      </c>
      <c r="AB289">
        <v>0</v>
      </c>
      <c r="AC289">
        <v>1</v>
      </c>
      <c r="AD289">
        <v>0</v>
      </c>
      <c r="AE289">
        <v>76</v>
      </c>
    </row>
    <row r="290" spans="2:31" x14ac:dyDescent="0.3">
      <c r="B290" t="s">
        <v>92</v>
      </c>
      <c r="C290">
        <v>0.273455532926001</v>
      </c>
      <c r="D290">
        <v>0.144602851323829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39</v>
      </c>
      <c r="P290">
        <v>37</v>
      </c>
      <c r="Q290">
        <v>20</v>
      </c>
      <c r="R290">
        <v>21</v>
      </c>
      <c r="S290">
        <v>3.0141445431664202</v>
      </c>
      <c r="T290">
        <v>2.95137179645827</v>
      </c>
      <c r="U290">
        <v>2.3777530414816401</v>
      </c>
      <c r="V290">
        <v>2.1102183510966501</v>
      </c>
      <c r="W290">
        <v>182.528925666557</v>
      </c>
      <c r="X290">
        <v>182.32297833483699</v>
      </c>
      <c r="Y290">
        <v>180.44102703898201</v>
      </c>
      <c r="Z290">
        <v>179.563288553467</v>
      </c>
      <c r="AA290">
        <v>0</v>
      </c>
      <c r="AB290">
        <v>0</v>
      </c>
      <c r="AC290">
        <v>1</v>
      </c>
      <c r="AD290">
        <v>0</v>
      </c>
      <c r="AE290">
        <v>143</v>
      </c>
    </row>
    <row r="291" spans="2:31" x14ac:dyDescent="0.3">
      <c r="B291" t="s">
        <v>93</v>
      </c>
      <c r="C291">
        <v>0.31785471826204997</v>
      </c>
      <c r="D291">
        <v>0.273455532926001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0.48</v>
      </c>
      <c r="N291">
        <v>0</v>
      </c>
      <c r="O291">
        <v>41</v>
      </c>
      <c r="P291">
        <v>39</v>
      </c>
      <c r="Q291">
        <v>21</v>
      </c>
      <c r="R291">
        <v>20</v>
      </c>
      <c r="S291">
        <v>3.0844557460744002</v>
      </c>
      <c r="T291">
        <v>3.0141445431664202</v>
      </c>
      <c r="U291">
        <v>2.14018929241045</v>
      </c>
      <c r="V291">
        <v>2.3777530414816401</v>
      </c>
      <c r="W291">
        <v>182.75960546612299</v>
      </c>
      <c r="X291">
        <v>182.528925666557</v>
      </c>
      <c r="Y291">
        <v>179.66161841342</v>
      </c>
      <c r="Z291">
        <v>180.44102703898201</v>
      </c>
      <c r="AA291">
        <v>0</v>
      </c>
      <c r="AB291">
        <v>0</v>
      </c>
      <c r="AC291">
        <v>1</v>
      </c>
      <c r="AD291">
        <v>0</v>
      </c>
      <c r="AE291">
        <v>212</v>
      </c>
    </row>
    <row r="292" spans="2:31" x14ac:dyDescent="0.3">
      <c r="B292" t="s">
        <v>94</v>
      </c>
      <c r="C292">
        <v>9.6673455532926E-2</v>
      </c>
      <c r="D292">
        <v>0.31785471826204997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0.48</v>
      </c>
      <c r="O292">
        <v>42</v>
      </c>
      <c r="P292">
        <v>41</v>
      </c>
      <c r="Q292">
        <v>21</v>
      </c>
      <c r="R292">
        <v>21</v>
      </c>
      <c r="S292">
        <v>3.0680796797693302</v>
      </c>
      <c r="T292">
        <v>3.0844557460744002</v>
      </c>
      <c r="U292">
        <v>2.0526259079836802</v>
      </c>
      <c r="V292">
        <v>2.14018929241045</v>
      </c>
      <c r="W292">
        <v>182.705878214466</v>
      </c>
      <c r="X292">
        <v>182.75960546612299</v>
      </c>
      <c r="Y292">
        <v>179.37433696845</v>
      </c>
      <c r="Z292">
        <v>179.66161841342</v>
      </c>
      <c r="AA292">
        <v>0</v>
      </c>
      <c r="AB292">
        <v>0</v>
      </c>
      <c r="AC292">
        <v>1</v>
      </c>
      <c r="AD292">
        <v>0</v>
      </c>
      <c r="AE292">
        <v>65</v>
      </c>
    </row>
    <row r="293" spans="2:31" x14ac:dyDescent="0.3">
      <c r="B293" t="s">
        <v>95</v>
      </c>
      <c r="C293">
        <v>3.9646978954514599E-2</v>
      </c>
      <c r="D293">
        <v>9.6673455532926E-2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0.17</v>
      </c>
      <c r="N293">
        <v>0</v>
      </c>
      <c r="O293">
        <v>41</v>
      </c>
      <c r="P293">
        <v>42</v>
      </c>
      <c r="Q293">
        <v>23</v>
      </c>
      <c r="R293">
        <v>21</v>
      </c>
      <c r="S293">
        <v>3.1868377366175098</v>
      </c>
      <c r="T293">
        <v>3.0680796797693302</v>
      </c>
      <c r="U293">
        <v>2.02899065528042</v>
      </c>
      <c r="V293">
        <v>2.0526259079836802</v>
      </c>
      <c r="W293">
        <v>183.095504385228</v>
      </c>
      <c r="X293">
        <v>182.705878214466</v>
      </c>
      <c r="Y293">
        <v>179.29679348845301</v>
      </c>
      <c r="Z293">
        <v>179.37433696845</v>
      </c>
      <c r="AA293">
        <v>0</v>
      </c>
      <c r="AB293">
        <v>0</v>
      </c>
      <c r="AC293">
        <v>1</v>
      </c>
      <c r="AD293">
        <v>0</v>
      </c>
      <c r="AE293">
        <v>54</v>
      </c>
    </row>
    <row r="294" spans="2:31" x14ac:dyDescent="0.3">
      <c r="B294" t="s">
        <v>96</v>
      </c>
      <c r="C294">
        <v>6.5987780040733204E-2</v>
      </c>
      <c r="D294">
        <v>3.9646978954514599E-2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0.17</v>
      </c>
      <c r="O294">
        <v>41</v>
      </c>
      <c r="P294">
        <v>41</v>
      </c>
      <c r="Q294">
        <v>24</v>
      </c>
      <c r="R294">
        <v>23</v>
      </c>
      <c r="S294">
        <v>3.1802381056562301</v>
      </c>
      <c r="T294">
        <v>3.1868377366175098</v>
      </c>
      <c r="U294">
        <v>2.2299869337594198</v>
      </c>
      <c r="V294">
        <v>2.02899065528042</v>
      </c>
      <c r="W294">
        <v>183.07385205267801</v>
      </c>
      <c r="X294">
        <v>183.095504385228</v>
      </c>
      <c r="Y294">
        <v>179.95623009763599</v>
      </c>
      <c r="Z294">
        <v>179.29679348845301</v>
      </c>
      <c r="AA294">
        <v>0</v>
      </c>
      <c r="AB294">
        <v>0</v>
      </c>
      <c r="AC294">
        <v>1</v>
      </c>
      <c r="AD294">
        <v>0</v>
      </c>
      <c r="AE294">
        <v>43</v>
      </c>
    </row>
    <row r="295" spans="2:31" x14ac:dyDescent="0.3">
      <c r="B295" t="s">
        <v>97</v>
      </c>
      <c r="C295">
        <v>6.1778682959945701E-2</v>
      </c>
      <c r="D295">
        <v>6.5987780040733204E-2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36</v>
      </c>
      <c r="P295">
        <v>41</v>
      </c>
      <c r="Q295">
        <v>24</v>
      </c>
      <c r="R295">
        <v>24</v>
      </c>
      <c r="S295">
        <v>3.3253153662707202</v>
      </c>
      <c r="T295">
        <v>3.1802381056562301</v>
      </c>
      <c r="U295">
        <v>2.2786336495903101</v>
      </c>
      <c r="V295">
        <v>2.2299869337594198</v>
      </c>
      <c r="W295">
        <v>183.549827317161</v>
      </c>
      <c r="X295">
        <v>183.07385205267801</v>
      </c>
      <c r="Y295">
        <v>180.11583218369501</v>
      </c>
      <c r="Z295">
        <v>179.95623009763599</v>
      </c>
      <c r="AA295">
        <v>0</v>
      </c>
      <c r="AB295">
        <v>0</v>
      </c>
      <c r="AC295">
        <v>1</v>
      </c>
      <c r="AD295">
        <v>0</v>
      </c>
      <c r="AE295">
        <v>21</v>
      </c>
    </row>
    <row r="296" spans="2:31" x14ac:dyDescent="0.3">
      <c r="B296" t="s">
        <v>98</v>
      </c>
      <c r="C296">
        <v>0.144602851323829</v>
      </c>
      <c r="D296">
        <v>6.1778682959945701E-2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1</v>
      </c>
      <c r="K296">
        <v>0</v>
      </c>
      <c r="L296">
        <v>0</v>
      </c>
      <c r="M296">
        <v>0.06</v>
      </c>
      <c r="N296">
        <v>0</v>
      </c>
      <c r="O296">
        <v>37</v>
      </c>
      <c r="P296">
        <v>36</v>
      </c>
      <c r="Q296">
        <v>22</v>
      </c>
      <c r="R296">
        <v>24</v>
      </c>
      <c r="S296">
        <v>3.02182131651533</v>
      </c>
      <c r="T296">
        <v>3.3253153662707202</v>
      </c>
      <c r="U296">
        <v>2.7202962146299998</v>
      </c>
      <c r="V296">
        <v>2.2786336495903101</v>
      </c>
      <c r="W296">
        <v>182.554111930825</v>
      </c>
      <c r="X296">
        <v>183.549827317161</v>
      </c>
      <c r="Y296">
        <v>181.56485634721099</v>
      </c>
      <c r="Z296">
        <v>180.11583218369501</v>
      </c>
      <c r="AA296">
        <v>0</v>
      </c>
      <c r="AB296">
        <v>0</v>
      </c>
      <c r="AC296">
        <v>1</v>
      </c>
      <c r="AD296">
        <v>0</v>
      </c>
      <c r="AE296">
        <v>18</v>
      </c>
    </row>
    <row r="297" spans="2:31" x14ac:dyDescent="0.3">
      <c r="B297" t="s">
        <v>99</v>
      </c>
      <c r="C297">
        <v>0.273455532926001</v>
      </c>
      <c r="D297">
        <v>0.144602851323829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1</v>
      </c>
      <c r="L297">
        <v>0</v>
      </c>
      <c r="M297">
        <v>0.65</v>
      </c>
      <c r="N297">
        <v>0.06</v>
      </c>
      <c r="O297">
        <v>40</v>
      </c>
      <c r="P297">
        <v>37</v>
      </c>
      <c r="Q297">
        <v>18</v>
      </c>
      <c r="R297">
        <v>22</v>
      </c>
      <c r="S297">
        <v>2.5724462250998501</v>
      </c>
      <c r="T297">
        <v>3.02182131651533</v>
      </c>
      <c r="U297">
        <v>2.04245257336152</v>
      </c>
      <c r="V297">
        <v>2.7202962146299998</v>
      </c>
      <c r="W297">
        <v>181.07978420308299</v>
      </c>
      <c r="X297">
        <v>182.554111930825</v>
      </c>
      <c r="Y297">
        <v>179.34095988635701</v>
      </c>
      <c r="Z297">
        <v>181.56485634721099</v>
      </c>
      <c r="AA297">
        <v>0</v>
      </c>
      <c r="AB297">
        <v>0</v>
      </c>
      <c r="AC297">
        <v>1</v>
      </c>
      <c r="AD297">
        <v>0</v>
      </c>
      <c r="AE297">
        <v>139</v>
      </c>
    </row>
    <row r="298" spans="2:31" x14ac:dyDescent="0.3">
      <c r="B298" t="s">
        <v>100</v>
      </c>
      <c r="C298">
        <v>0.31785471826204997</v>
      </c>
      <c r="D298">
        <v>0.273455532926001</v>
      </c>
      <c r="E298">
        <v>0</v>
      </c>
      <c r="F298">
        <v>0</v>
      </c>
      <c r="G298">
        <v>0</v>
      </c>
      <c r="H298">
        <v>1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0.65</v>
      </c>
      <c r="O298">
        <v>27</v>
      </c>
      <c r="P298">
        <v>40</v>
      </c>
      <c r="Q298">
        <v>19</v>
      </c>
      <c r="R298">
        <v>18</v>
      </c>
      <c r="S298">
        <v>2.1575916763177401</v>
      </c>
      <c r="T298">
        <v>2.5724462250998501</v>
      </c>
      <c r="U298">
        <v>1.62145500490676</v>
      </c>
      <c r="V298">
        <v>2.04245257336152</v>
      </c>
      <c r="W298">
        <v>179.71871284881101</v>
      </c>
      <c r="X298">
        <v>181.07978420308299</v>
      </c>
      <c r="Y298">
        <v>177.959734268067</v>
      </c>
      <c r="Z298">
        <v>179.34095988635701</v>
      </c>
      <c r="AA298">
        <v>0</v>
      </c>
      <c r="AB298">
        <v>0</v>
      </c>
      <c r="AC298">
        <v>1</v>
      </c>
      <c r="AD298">
        <v>0</v>
      </c>
      <c r="AE298">
        <v>38</v>
      </c>
    </row>
    <row r="299" spans="2:31" x14ac:dyDescent="0.3">
      <c r="B299" t="s">
        <v>101</v>
      </c>
      <c r="C299">
        <v>9.6673455532926E-2</v>
      </c>
      <c r="D299">
        <v>0.31785471826204997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1</v>
      </c>
      <c r="L299">
        <v>0</v>
      </c>
      <c r="M299">
        <v>0.03</v>
      </c>
      <c r="N299">
        <v>0</v>
      </c>
      <c r="O299">
        <v>39</v>
      </c>
      <c r="P299">
        <v>27</v>
      </c>
      <c r="Q299">
        <v>22</v>
      </c>
      <c r="R299">
        <v>19</v>
      </c>
      <c r="S299">
        <v>3.15149123480525</v>
      </c>
      <c r="T299">
        <v>2.1575916763177401</v>
      </c>
      <c r="U299">
        <v>2.0829988656907701</v>
      </c>
      <c r="V299">
        <v>1.62145500490676</v>
      </c>
      <c r="W299">
        <v>182.979538171933</v>
      </c>
      <c r="X299">
        <v>179.71871284881101</v>
      </c>
      <c r="Y299">
        <v>179.473985779825</v>
      </c>
      <c r="Z299">
        <v>177.959734268067</v>
      </c>
      <c r="AA299">
        <v>0</v>
      </c>
      <c r="AB299">
        <v>0</v>
      </c>
      <c r="AC299">
        <v>1</v>
      </c>
      <c r="AD299">
        <v>0</v>
      </c>
      <c r="AE299">
        <v>36</v>
      </c>
    </row>
    <row r="300" spans="2:31" x14ac:dyDescent="0.3">
      <c r="B300" t="s">
        <v>102</v>
      </c>
      <c r="C300">
        <v>3.9646978954514599E-2</v>
      </c>
      <c r="D300">
        <v>9.6673455532926E-2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0.03</v>
      </c>
      <c r="O300">
        <v>29</v>
      </c>
      <c r="P300">
        <v>39</v>
      </c>
      <c r="Q300">
        <v>26</v>
      </c>
      <c r="R300">
        <v>22</v>
      </c>
      <c r="S300">
        <v>3.4183521132655201</v>
      </c>
      <c r="T300">
        <v>3.15149123480525</v>
      </c>
      <c r="U300">
        <v>2.9742954630799798</v>
      </c>
      <c r="V300">
        <v>2.0829988656907701</v>
      </c>
      <c r="W300">
        <v>183.85506598840399</v>
      </c>
      <c r="X300">
        <v>182.979538171933</v>
      </c>
      <c r="Y300">
        <v>182.39818721482899</v>
      </c>
      <c r="Z300">
        <v>179.473985779825</v>
      </c>
      <c r="AA300">
        <v>0</v>
      </c>
      <c r="AB300">
        <v>0</v>
      </c>
      <c r="AC300">
        <v>1</v>
      </c>
      <c r="AD300">
        <v>0</v>
      </c>
      <c r="AE300">
        <v>2</v>
      </c>
    </row>
    <row r="301" spans="2:31" x14ac:dyDescent="0.3">
      <c r="B301" t="s">
        <v>103</v>
      </c>
      <c r="C301">
        <v>6.5987780040733204E-2</v>
      </c>
      <c r="D301">
        <v>3.9646978954514599E-2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1.59</v>
      </c>
      <c r="N301">
        <v>0</v>
      </c>
      <c r="O301">
        <v>34</v>
      </c>
      <c r="P301">
        <v>29</v>
      </c>
      <c r="Q301">
        <v>23</v>
      </c>
      <c r="R301">
        <v>26</v>
      </c>
      <c r="S301">
        <v>3.2658176236902299</v>
      </c>
      <c r="T301">
        <v>3.4183521132655201</v>
      </c>
      <c r="U301">
        <v>2.4572778467671701</v>
      </c>
      <c r="V301">
        <v>2.9742954630799798</v>
      </c>
      <c r="W301">
        <v>183.35462474964001</v>
      </c>
      <c r="X301">
        <v>183.85506598840399</v>
      </c>
      <c r="Y301">
        <v>180.70193519280599</v>
      </c>
      <c r="Z301">
        <v>182.39818721482899</v>
      </c>
      <c r="AA301">
        <v>0</v>
      </c>
      <c r="AB301">
        <v>0</v>
      </c>
      <c r="AC301">
        <v>1</v>
      </c>
      <c r="AD301">
        <v>0</v>
      </c>
      <c r="AE301">
        <v>25</v>
      </c>
    </row>
    <row r="302" spans="2:31" x14ac:dyDescent="0.3">
      <c r="B302" t="s">
        <v>104</v>
      </c>
      <c r="C302">
        <v>6.1778682959945701E-2</v>
      </c>
      <c r="D302">
        <v>6.5987780040733204E-2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1.59</v>
      </c>
      <c r="O302">
        <v>32</v>
      </c>
      <c r="P302">
        <v>34</v>
      </c>
      <c r="Q302">
        <v>18</v>
      </c>
      <c r="R302">
        <v>23</v>
      </c>
      <c r="S302">
        <v>3.00296801473413</v>
      </c>
      <c r="T302">
        <v>3.2658176236902299</v>
      </c>
      <c r="U302">
        <v>2.632352483874</v>
      </c>
      <c r="V302">
        <v>2.4572778467671701</v>
      </c>
      <c r="W302">
        <v>182.49225726618801</v>
      </c>
      <c r="X302">
        <v>183.35462474964001</v>
      </c>
      <c r="Y302">
        <v>181.276327046831</v>
      </c>
      <c r="Z302">
        <v>180.70193519280599</v>
      </c>
      <c r="AA302">
        <v>0</v>
      </c>
      <c r="AB302">
        <v>0</v>
      </c>
      <c r="AC302">
        <v>1</v>
      </c>
      <c r="AD302">
        <v>0</v>
      </c>
      <c r="AE302">
        <v>26</v>
      </c>
    </row>
    <row r="303" spans="2:31" x14ac:dyDescent="0.3">
      <c r="B303" t="s">
        <v>105</v>
      </c>
      <c r="C303">
        <v>0.144602851323829</v>
      </c>
      <c r="D303">
        <v>6.1778682959945701E-2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39</v>
      </c>
      <c r="P303">
        <v>32</v>
      </c>
      <c r="Q303">
        <v>17</v>
      </c>
      <c r="R303">
        <v>18</v>
      </c>
      <c r="S303">
        <v>2.8180245196931502</v>
      </c>
      <c r="T303">
        <v>3.00296801473413</v>
      </c>
      <c r="U303">
        <v>2.5112835034578098</v>
      </c>
      <c r="V303">
        <v>2.632352483874</v>
      </c>
      <c r="W303">
        <v>181.88548726933399</v>
      </c>
      <c r="X303">
        <v>182.49225726618801</v>
      </c>
      <c r="Y303">
        <v>180.87911910583301</v>
      </c>
      <c r="Z303">
        <v>181.276327046831</v>
      </c>
      <c r="AA303">
        <v>0</v>
      </c>
      <c r="AB303">
        <v>0</v>
      </c>
      <c r="AC303">
        <v>1</v>
      </c>
      <c r="AD303">
        <v>0</v>
      </c>
      <c r="AE303">
        <v>62</v>
      </c>
    </row>
    <row r="304" spans="2:31" x14ac:dyDescent="0.3">
      <c r="B304" t="s">
        <v>106</v>
      </c>
      <c r="C304">
        <v>0.273455532926001</v>
      </c>
      <c r="D304">
        <v>0.144602851323829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  <c r="O304">
        <v>35</v>
      </c>
      <c r="P304">
        <v>39</v>
      </c>
      <c r="Q304">
        <v>17</v>
      </c>
      <c r="R304">
        <v>17</v>
      </c>
      <c r="S304">
        <v>2.9688744484679401</v>
      </c>
      <c r="T304">
        <v>2.8180245196931502</v>
      </c>
      <c r="U304">
        <v>2.6865443469864001</v>
      </c>
      <c r="V304">
        <v>2.5112835034578098</v>
      </c>
      <c r="W304">
        <v>182.38040173381901</v>
      </c>
      <c r="X304">
        <v>181.88548726933399</v>
      </c>
      <c r="Y304">
        <v>181.45412187331499</v>
      </c>
      <c r="Z304">
        <v>180.87911910583301</v>
      </c>
      <c r="AA304">
        <v>0</v>
      </c>
      <c r="AB304">
        <v>0</v>
      </c>
      <c r="AC304">
        <v>1</v>
      </c>
      <c r="AD304">
        <v>0</v>
      </c>
      <c r="AE304">
        <v>147</v>
      </c>
    </row>
    <row r="305" spans="2:31" x14ac:dyDescent="0.3">
      <c r="B305" t="s">
        <v>107</v>
      </c>
      <c r="C305">
        <v>0.31785471826204997</v>
      </c>
      <c r="D305">
        <v>0.273455532926001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36</v>
      </c>
      <c r="P305">
        <v>35</v>
      </c>
      <c r="Q305">
        <v>19</v>
      </c>
      <c r="R305">
        <v>17</v>
      </c>
      <c r="S305">
        <v>3.3783949803314002</v>
      </c>
      <c r="T305">
        <v>2.9688744484679401</v>
      </c>
      <c r="U305">
        <v>2.6768222335156602</v>
      </c>
      <c r="V305">
        <v>2.6865443469864001</v>
      </c>
      <c r="W305">
        <v>183.72397303258299</v>
      </c>
      <c r="X305">
        <v>182.38040173381901</v>
      </c>
      <c r="Y305">
        <v>181.42222517557599</v>
      </c>
      <c r="Z305">
        <v>181.45412187331499</v>
      </c>
      <c r="AA305">
        <v>0</v>
      </c>
      <c r="AB305">
        <v>0</v>
      </c>
      <c r="AC305">
        <v>1</v>
      </c>
      <c r="AD305">
        <v>0</v>
      </c>
      <c r="AE305">
        <v>198</v>
      </c>
    </row>
    <row r="306" spans="2:31" x14ac:dyDescent="0.3">
      <c r="B306" t="s">
        <v>108</v>
      </c>
      <c r="C306">
        <v>9.6673455532926E-2</v>
      </c>
      <c r="D306">
        <v>0.31785471826204997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</v>
      </c>
      <c r="O306">
        <v>38</v>
      </c>
      <c r="P306">
        <v>36</v>
      </c>
      <c r="Q306">
        <v>22</v>
      </c>
      <c r="R306">
        <v>19</v>
      </c>
      <c r="S306">
        <v>3.04568235385103</v>
      </c>
      <c r="T306">
        <v>3.3783949803314002</v>
      </c>
      <c r="U306">
        <v>2.5319440787486598</v>
      </c>
      <c r="V306">
        <v>2.6768222335156602</v>
      </c>
      <c r="W306">
        <v>182.63239617405199</v>
      </c>
      <c r="X306">
        <v>183.72397303258299</v>
      </c>
      <c r="Y306">
        <v>180.94690314550101</v>
      </c>
      <c r="Z306">
        <v>181.42222517557599</v>
      </c>
      <c r="AA306">
        <v>0</v>
      </c>
      <c r="AB306">
        <v>0</v>
      </c>
      <c r="AC306">
        <v>1</v>
      </c>
      <c r="AD306">
        <v>0</v>
      </c>
      <c r="AE306">
        <v>42</v>
      </c>
    </row>
    <row r="307" spans="2:31" x14ac:dyDescent="0.3">
      <c r="B307" t="s">
        <v>109</v>
      </c>
      <c r="C307">
        <v>3.9646978954514599E-2</v>
      </c>
      <c r="D307">
        <v>9.6673455532926E-2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42</v>
      </c>
      <c r="P307">
        <v>38</v>
      </c>
      <c r="Q307">
        <v>19</v>
      </c>
      <c r="R307">
        <v>22</v>
      </c>
      <c r="S307">
        <v>3.02259548764675</v>
      </c>
      <c r="T307">
        <v>3.04568235385103</v>
      </c>
      <c r="U307">
        <v>2.2241682711104498</v>
      </c>
      <c r="V307">
        <v>2.5319440787486598</v>
      </c>
      <c r="W307">
        <v>182.556651862358</v>
      </c>
      <c r="X307">
        <v>182.63239617405199</v>
      </c>
      <c r="Y307">
        <v>179.937139997082</v>
      </c>
      <c r="Z307">
        <v>180.94690314550101</v>
      </c>
      <c r="AA307">
        <v>0</v>
      </c>
      <c r="AB307">
        <v>0</v>
      </c>
      <c r="AC307">
        <v>1</v>
      </c>
      <c r="AD307">
        <v>0</v>
      </c>
      <c r="AE307">
        <v>42</v>
      </c>
    </row>
    <row r="308" spans="2:31" x14ac:dyDescent="0.3">
      <c r="B308" t="s">
        <v>110</v>
      </c>
      <c r="C308">
        <v>6.5987780040733204E-2</v>
      </c>
      <c r="D308">
        <v>3.9646978954514599E-2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42</v>
      </c>
      <c r="P308">
        <v>42</v>
      </c>
      <c r="Q308">
        <v>22</v>
      </c>
      <c r="R308">
        <v>19</v>
      </c>
      <c r="S308">
        <v>2.8898811771351598</v>
      </c>
      <c r="T308">
        <v>3.02259548764675</v>
      </c>
      <c r="U308">
        <v>2.6232131948681499</v>
      </c>
      <c r="V308">
        <v>2.2241682711104498</v>
      </c>
      <c r="W308">
        <v>182.121237457793</v>
      </c>
      <c r="X308">
        <v>182.556651862358</v>
      </c>
      <c r="Y308">
        <v>181.24634250284799</v>
      </c>
      <c r="Z308">
        <v>179.937139997082</v>
      </c>
      <c r="AA308">
        <v>0</v>
      </c>
      <c r="AB308">
        <v>0</v>
      </c>
      <c r="AC308">
        <v>1</v>
      </c>
      <c r="AD308">
        <v>0</v>
      </c>
      <c r="AE308">
        <v>44</v>
      </c>
    </row>
    <row r="309" spans="2:31" x14ac:dyDescent="0.3">
      <c r="B309" t="s">
        <v>111</v>
      </c>
      <c r="C309">
        <v>6.1778682959945701E-2</v>
      </c>
      <c r="D309">
        <v>6.5987780040733204E-2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0</v>
      </c>
      <c r="O309">
        <v>39</v>
      </c>
      <c r="P309">
        <v>42</v>
      </c>
      <c r="Q309">
        <v>21</v>
      </c>
      <c r="R309">
        <v>22</v>
      </c>
      <c r="S309">
        <v>3.2285230308995598</v>
      </c>
      <c r="T309">
        <v>2.8898811771351598</v>
      </c>
      <c r="U309">
        <v>2.5324843494864702</v>
      </c>
      <c r="V309">
        <v>2.6232131948681499</v>
      </c>
      <c r="W309">
        <v>183.23226716174401</v>
      </c>
      <c r="X309">
        <v>182.121237457793</v>
      </c>
      <c r="Y309">
        <v>180.948675687292</v>
      </c>
      <c r="Z309">
        <v>181.24634250284799</v>
      </c>
      <c r="AA309">
        <v>0</v>
      </c>
      <c r="AB309">
        <v>0</v>
      </c>
      <c r="AC309">
        <v>1</v>
      </c>
      <c r="AD309">
        <v>0</v>
      </c>
      <c r="AE309">
        <v>21</v>
      </c>
    </row>
    <row r="310" spans="2:31" x14ac:dyDescent="0.3">
      <c r="B310" t="s">
        <v>112</v>
      </c>
      <c r="C310">
        <v>0.144602851323829</v>
      </c>
      <c r="D310">
        <v>6.1778682959945701E-2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39</v>
      </c>
      <c r="P310">
        <v>39</v>
      </c>
      <c r="Q310">
        <v>21</v>
      </c>
      <c r="R310">
        <v>21</v>
      </c>
      <c r="S310">
        <v>3.1286914308571001</v>
      </c>
      <c r="T310">
        <v>3.2285230308995598</v>
      </c>
      <c r="U310">
        <v>2.80382323542592</v>
      </c>
      <c r="V310">
        <v>2.5324843494864702</v>
      </c>
      <c r="W310">
        <v>182.90473566554201</v>
      </c>
      <c r="X310">
        <v>183.23226716174401</v>
      </c>
      <c r="Y310">
        <v>181.83889512934999</v>
      </c>
      <c r="Z310">
        <v>180.948675687292</v>
      </c>
      <c r="AA310">
        <v>0</v>
      </c>
      <c r="AB310">
        <v>0</v>
      </c>
      <c r="AC310">
        <v>1</v>
      </c>
      <c r="AD310">
        <v>0</v>
      </c>
      <c r="AE310">
        <v>41</v>
      </c>
    </row>
    <row r="311" spans="2:31" x14ac:dyDescent="0.3">
      <c r="B311" t="s">
        <v>113</v>
      </c>
      <c r="C311">
        <v>0.273455532926001</v>
      </c>
      <c r="D311">
        <v>0.144602851323829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41</v>
      </c>
      <c r="P311">
        <v>39</v>
      </c>
      <c r="Q311">
        <v>16</v>
      </c>
      <c r="R311">
        <v>21</v>
      </c>
      <c r="S311">
        <v>2.8032373042770602</v>
      </c>
      <c r="T311">
        <v>3.1286914308571001</v>
      </c>
      <c r="U311">
        <v>2.2268365987455798</v>
      </c>
      <c r="V311">
        <v>2.80382323542592</v>
      </c>
      <c r="W311">
        <v>181.83697278306099</v>
      </c>
      <c r="X311">
        <v>182.90473566554201</v>
      </c>
      <c r="Y311">
        <v>179.94589435284001</v>
      </c>
      <c r="Z311">
        <v>181.83889512934999</v>
      </c>
      <c r="AA311">
        <v>0</v>
      </c>
      <c r="AB311">
        <v>0</v>
      </c>
      <c r="AC311">
        <v>1</v>
      </c>
      <c r="AD311">
        <v>0</v>
      </c>
      <c r="AE311">
        <v>191</v>
      </c>
    </row>
    <row r="312" spans="2:31" x14ac:dyDescent="0.3">
      <c r="B312" t="s">
        <v>114</v>
      </c>
      <c r="C312">
        <v>0.31785471826204997</v>
      </c>
      <c r="D312">
        <v>0.273455532926001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44</v>
      </c>
      <c r="P312">
        <v>41</v>
      </c>
      <c r="Q312">
        <v>18</v>
      </c>
      <c r="R312">
        <v>16</v>
      </c>
      <c r="S312">
        <v>2.9149156923419701</v>
      </c>
      <c r="T312">
        <v>2.8032373042770602</v>
      </c>
      <c r="U312">
        <v>2.0919060584220199</v>
      </c>
      <c r="V312">
        <v>2.2268365987455798</v>
      </c>
      <c r="W312">
        <v>182.20337169403501</v>
      </c>
      <c r="X312">
        <v>181.83697278306099</v>
      </c>
      <c r="Y312">
        <v>179.503208853091</v>
      </c>
      <c r="Z312">
        <v>179.94589435284001</v>
      </c>
      <c r="AA312">
        <v>0</v>
      </c>
      <c r="AB312">
        <v>0</v>
      </c>
      <c r="AC312">
        <v>1</v>
      </c>
      <c r="AD312">
        <v>0</v>
      </c>
      <c r="AE312">
        <v>209</v>
      </c>
    </row>
    <row r="313" spans="2:31" x14ac:dyDescent="0.3">
      <c r="B313" t="s">
        <v>115</v>
      </c>
      <c r="C313">
        <v>9.6673455532926E-2</v>
      </c>
      <c r="D313">
        <v>0.31785471826204997</v>
      </c>
      <c r="E313">
        <v>1</v>
      </c>
      <c r="F313">
        <v>0</v>
      </c>
      <c r="G313">
        <v>1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43</v>
      </c>
      <c r="P313">
        <v>44</v>
      </c>
      <c r="Q313">
        <v>17</v>
      </c>
      <c r="R313">
        <v>18</v>
      </c>
      <c r="S313">
        <v>2.7916910823877501</v>
      </c>
      <c r="T313">
        <v>2.9149156923419701</v>
      </c>
      <c r="U313">
        <v>1.8399879520046201</v>
      </c>
      <c r="V313">
        <v>2.0919060584220199</v>
      </c>
      <c r="W313">
        <v>181.79909147764999</v>
      </c>
      <c r="X313">
        <v>182.20337169403501</v>
      </c>
      <c r="Y313">
        <v>178.67670587928001</v>
      </c>
      <c r="Z313">
        <v>179.503208853091</v>
      </c>
      <c r="AA313">
        <v>0</v>
      </c>
      <c r="AB313">
        <v>0</v>
      </c>
      <c r="AC313">
        <v>1</v>
      </c>
      <c r="AD313">
        <v>0</v>
      </c>
      <c r="AE313">
        <v>196</v>
      </c>
    </row>
    <row r="314" spans="2:31" x14ac:dyDescent="0.3">
      <c r="B314" t="s">
        <v>116</v>
      </c>
      <c r="C314">
        <v>3.9646978954514599E-2</v>
      </c>
      <c r="D314">
        <v>9.6673455532926E-2</v>
      </c>
      <c r="E314">
        <v>0</v>
      </c>
      <c r="F314">
        <v>1</v>
      </c>
      <c r="G314">
        <v>1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44</v>
      </c>
      <c r="P314">
        <v>43</v>
      </c>
      <c r="Q314">
        <v>24</v>
      </c>
      <c r="R314">
        <v>17</v>
      </c>
      <c r="S314">
        <v>3.30917813816807</v>
      </c>
      <c r="T314">
        <v>2.7916910823877501</v>
      </c>
      <c r="U314">
        <v>2.1548792413867601</v>
      </c>
      <c r="V314">
        <v>1.8399879520046201</v>
      </c>
      <c r="W314">
        <v>183.496883655407</v>
      </c>
      <c r="X314">
        <v>181.79909147764999</v>
      </c>
      <c r="Y314">
        <v>179.709813784077</v>
      </c>
      <c r="Z314">
        <v>178.67670587928001</v>
      </c>
      <c r="AA314">
        <v>0</v>
      </c>
      <c r="AB314">
        <v>0</v>
      </c>
      <c r="AC314">
        <v>1</v>
      </c>
      <c r="AD314">
        <v>0</v>
      </c>
      <c r="AE314">
        <v>35</v>
      </c>
    </row>
    <row r="315" spans="2:31" x14ac:dyDescent="0.3">
      <c r="B315" t="s">
        <v>117</v>
      </c>
      <c r="C315">
        <v>6.5987780040733204E-2</v>
      </c>
      <c r="D315">
        <v>3.9646978954514599E-2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39</v>
      </c>
      <c r="P315">
        <v>44</v>
      </c>
      <c r="Q315">
        <v>22</v>
      </c>
      <c r="R315">
        <v>24</v>
      </c>
      <c r="S315">
        <v>3.3103495882328602</v>
      </c>
      <c r="T315">
        <v>3.30917813816807</v>
      </c>
      <c r="U315">
        <v>2.4686014398962599</v>
      </c>
      <c r="V315">
        <v>2.1548792413867601</v>
      </c>
      <c r="W315">
        <v>183.50072699551501</v>
      </c>
      <c r="X315">
        <v>183.496883655407</v>
      </c>
      <c r="Y315">
        <v>180.739086088899</v>
      </c>
      <c r="Z315">
        <v>179.709813784077</v>
      </c>
      <c r="AA315">
        <v>0</v>
      </c>
      <c r="AB315">
        <v>0</v>
      </c>
      <c r="AC315">
        <v>1</v>
      </c>
      <c r="AD315">
        <v>0</v>
      </c>
      <c r="AE315">
        <v>41</v>
      </c>
    </row>
    <row r="316" spans="2:31" x14ac:dyDescent="0.3">
      <c r="B316" t="s">
        <v>118</v>
      </c>
      <c r="C316">
        <v>6.1778682959945701E-2</v>
      </c>
      <c r="D316">
        <v>6.5987780040733204E-2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0.78</v>
      </c>
      <c r="N316">
        <v>0</v>
      </c>
      <c r="O316">
        <v>26</v>
      </c>
      <c r="P316">
        <v>39</v>
      </c>
      <c r="Q316">
        <v>24</v>
      </c>
      <c r="R316">
        <v>22</v>
      </c>
      <c r="S316">
        <v>3.0488197407085398</v>
      </c>
      <c r="T316">
        <v>3.3103495882328602</v>
      </c>
      <c r="U316">
        <v>2.8229531405844401</v>
      </c>
      <c r="V316">
        <v>2.4686014398962599</v>
      </c>
      <c r="W316">
        <v>182.64268943802</v>
      </c>
      <c r="X316">
        <v>183.50072699551501</v>
      </c>
      <c r="Y316">
        <v>181.90165728538199</v>
      </c>
      <c r="Z316">
        <v>180.739086088899</v>
      </c>
      <c r="AA316">
        <v>0</v>
      </c>
      <c r="AB316">
        <v>0</v>
      </c>
      <c r="AC316">
        <v>1</v>
      </c>
      <c r="AD316">
        <v>0</v>
      </c>
      <c r="AE316">
        <v>5</v>
      </c>
    </row>
    <row r="317" spans="2:31" x14ac:dyDescent="0.3">
      <c r="B317" t="s">
        <v>119</v>
      </c>
      <c r="C317">
        <v>0.144602851323829</v>
      </c>
      <c r="D317">
        <v>6.1778682959945701E-2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0.68</v>
      </c>
      <c r="N317">
        <v>0.78</v>
      </c>
      <c r="O317">
        <v>38</v>
      </c>
      <c r="P317">
        <v>26</v>
      </c>
      <c r="Q317">
        <v>17</v>
      </c>
      <c r="R317">
        <v>24</v>
      </c>
      <c r="S317">
        <v>3.17733137443863</v>
      </c>
      <c r="T317">
        <v>3.0488197407085398</v>
      </c>
      <c r="U317">
        <v>2.7104820658264401</v>
      </c>
      <c r="V317">
        <v>2.8229531405844401</v>
      </c>
      <c r="W317">
        <v>183.06431553293501</v>
      </c>
      <c r="X317">
        <v>182.64268943802</v>
      </c>
      <c r="Y317">
        <v>181.53265769628101</v>
      </c>
      <c r="Z317">
        <v>181.90165728538199</v>
      </c>
      <c r="AA317">
        <v>0</v>
      </c>
      <c r="AB317">
        <v>0</v>
      </c>
      <c r="AC317">
        <v>1</v>
      </c>
      <c r="AD317">
        <v>0</v>
      </c>
      <c r="AE317">
        <v>22</v>
      </c>
    </row>
    <row r="318" spans="2:31" x14ac:dyDescent="0.3">
      <c r="B318" t="s">
        <v>120</v>
      </c>
      <c r="C318">
        <v>0.273455532926001</v>
      </c>
      <c r="D318">
        <v>0.144602851323829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0.05</v>
      </c>
      <c r="N318">
        <v>0.68</v>
      </c>
      <c r="O318">
        <v>35</v>
      </c>
      <c r="P318">
        <v>38</v>
      </c>
      <c r="Q318">
        <v>16</v>
      </c>
      <c r="R318">
        <v>17</v>
      </c>
      <c r="S318">
        <v>3.1194607274842601</v>
      </c>
      <c r="T318">
        <v>3.17733137443863</v>
      </c>
      <c r="U318">
        <v>2.3219016317345198</v>
      </c>
      <c r="V318">
        <v>2.7104820658264401</v>
      </c>
      <c r="W318">
        <v>182.87445120565701</v>
      </c>
      <c r="X318">
        <v>183.06431553293501</v>
      </c>
      <c r="Y318">
        <v>180.257787505691</v>
      </c>
      <c r="Z318">
        <v>181.53265769628101</v>
      </c>
      <c r="AA318">
        <v>0</v>
      </c>
      <c r="AB318">
        <v>0</v>
      </c>
      <c r="AC318">
        <v>1</v>
      </c>
      <c r="AD318">
        <v>0</v>
      </c>
      <c r="AE318">
        <v>83</v>
      </c>
    </row>
    <row r="319" spans="2:31" x14ac:dyDescent="0.3">
      <c r="B319" t="s">
        <v>121</v>
      </c>
      <c r="C319">
        <v>0.31785471826204997</v>
      </c>
      <c r="D319">
        <v>0.273455532926001</v>
      </c>
      <c r="E319">
        <v>0</v>
      </c>
      <c r="F319">
        <v>0</v>
      </c>
      <c r="G319">
        <v>0</v>
      </c>
      <c r="H319">
        <v>1</v>
      </c>
      <c r="I319">
        <v>0</v>
      </c>
      <c r="J319">
        <v>1</v>
      </c>
      <c r="K319">
        <v>0</v>
      </c>
      <c r="L319">
        <v>0</v>
      </c>
      <c r="M319">
        <v>0.16</v>
      </c>
      <c r="N319">
        <v>0.05</v>
      </c>
      <c r="O319">
        <v>24</v>
      </c>
      <c r="P319">
        <v>35</v>
      </c>
      <c r="Q319">
        <v>18</v>
      </c>
      <c r="R319">
        <v>16</v>
      </c>
      <c r="S319">
        <v>2.9213840972238398</v>
      </c>
      <c r="T319">
        <v>3.1194607274842601</v>
      </c>
      <c r="U319">
        <v>2.74099545841091</v>
      </c>
      <c r="V319">
        <v>2.3219016317345198</v>
      </c>
      <c r="W319">
        <v>182.22459349482901</v>
      </c>
      <c r="X319">
        <v>182.87445120565701</v>
      </c>
      <c r="Y319">
        <v>181.63276725200399</v>
      </c>
      <c r="Z319">
        <v>180.257787505691</v>
      </c>
      <c r="AA319">
        <v>0</v>
      </c>
      <c r="AB319">
        <v>0</v>
      </c>
      <c r="AC319">
        <v>1</v>
      </c>
      <c r="AD319">
        <v>0</v>
      </c>
      <c r="AE319">
        <v>7</v>
      </c>
    </row>
    <row r="320" spans="2:31" x14ac:dyDescent="0.3">
      <c r="B320" t="s">
        <v>122</v>
      </c>
      <c r="C320">
        <v>9.6673455532926E-2</v>
      </c>
      <c r="D320">
        <v>0.31785471826204997</v>
      </c>
      <c r="E320">
        <v>0</v>
      </c>
      <c r="F320">
        <v>0</v>
      </c>
      <c r="G320">
        <v>0</v>
      </c>
      <c r="H320">
        <v>0</v>
      </c>
      <c r="I320">
        <v>1</v>
      </c>
      <c r="J320">
        <v>0</v>
      </c>
      <c r="K320">
        <v>1</v>
      </c>
      <c r="L320">
        <v>0</v>
      </c>
      <c r="M320">
        <v>0.72</v>
      </c>
      <c r="N320">
        <v>0.16</v>
      </c>
      <c r="O320">
        <v>20</v>
      </c>
      <c r="P320">
        <v>24</v>
      </c>
      <c r="Q320">
        <v>19</v>
      </c>
      <c r="R320">
        <v>18</v>
      </c>
      <c r="S320">
        <v>2.90782461407102</v>
      </c>
      <c r="T320">
        <v>2.9213840972238398</v>
      </c>
      <c r="U320">
        <v>2.89030256356292</v>
      </c>
      <c r="V320">
        <v>2.74099545841091</v>
      </c>
      <c r="W320">
        <v>182.180107001545</v>
      </c>
      <c r="X320">
        <v>182.22459349482901</v>
      </c>
      <c r="Y320">
        <v>182.12261995919599</v>
      </c>
      <c r="Z320">
        <v>181.63276725200399</v>
      </c>
      <c r="AA320">
        <v>0</v>
      </c>
      <c r="AB320">
        <v>0</v>
      </c>
      <c r="AC320">
        <v>1</v>
      </c>
      <c r="AD320">
        <v>0</v>
      </c>
      <c r="AE320">
        <v>2</v>
      </c>
    </row>
    <row r="321" spans="2:31" x14ac:dyDescent="0.3">
      <c r="B321" s="26" t="s">
        <v>9</v>
      </c>
      <c r="C321">
        <v>6.0994079581440201E-2</v>
      </c>
      <c r="D321">
        <v>6.0994079581440201E-2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25</v>
      </c>
      <c r="P321">
        <v>25</v>
      </c>
      <c r="Q321">
        <v>16</v>
      </c>
      <c r="R321">
        <v>16</v>
      </c>
      <c r="S321">
        <v>3.3138898043287202</v>
      </c>
      <c r="T321">
        <v>3.3138898043287202</v>
      </c>
      <c r="U321">
        <v>2.8571812924574198</v>
      </c>
      <c r="V321">
        <v>2.8571812924574198</v>
      </c>
      <c r="W321">
        <v>183.572341877719</v>
      </c>
      <c r="X321">
        <v>183.572341877719</v>
      </c>
      <c r="Y321">
        <v>182.07395437157899</v>
      </c>
      <c r="Z321">
        <v>182.07395437157899</v>
      </c>
      <c r="AA321">
        <v>0</v>
      </c>
      <c r="AB321">
        <v>0</v>
      </c>
      <c r="AC321">
        <v>0</v>
      </c>
      <c r="AD321">
        <v>1</v>
      </c>
      <c r="AE321">
        <v>4</v>
      </c>
    </row>
    <row r="322" spans="2:31" x14ac:dyDescent="0.3">
      <c r="B322" s="26" t="s">
        <v>10</v>
      </c>
      <c r="C322">
        <v>0.14209004543577</v>
      </c>
      <c r="D322">
        <v>6.0994079581440201E-2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28</v>
      </c>
      <c r="P322">
        <v>25</v>
      </c>
      <c r="Q322">
        <v>14</v>
      </c>
      <c r="R322">
        <v>16</v>
      </c>
      <c r="S322">
        <v>3.30745907556603</v>
      </c>
      <c r="T322">
        <v>3.3138898043287202</v>
      </c>
      <c r="U322">
        <v>2.6968742989510202</v>
      </c>
      <c r="V322">
        <v>2.8571812924574198</v>
      </c>
      <c r="W322">
        <v>183.55124368624001</v>
      </c>
      <c r="X322">
        <v>183.572341877719</v>
      </c>
      <c r="Y322">
        <v>181.548012791834</v>
      </c>
      <c r="Z322">
        <v>182.07395437157899</v>
      </c>
      <c r="AA322">
        <v>0</v>
      </c>
      <c r="AB322">
        <v>0</v>
      </c>
      <c r="AC322">
        <v>0</v>
      </c>
      <c r="AD322">
        <v>1</v>
      </c>
      <c r="AE322">
        <v>21</v>
      </c>
    </row>
    <row r="323" spans="2:31" x14ac:dyDescent="0.3">
      <c r="B323" t="s">
        <v>11</v>
      </c>
      <c r="C323">
        <v>0.27110009637890697</v>
      </c>
      <c r="D323">
        <v>0.14209004543577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0</v>
      </c>
      <c r="O323">
        <v>27</v>
      </c>
      <c r="P323">
        <v>28</v>
      </c>
      <c r="Q323">
        <v>6</v>
      </c>
      <c r="R323">
        <v>14</v>
      </c>
      <c r="S323">
        <v>3.0610368064600202</v>
      </c>
      <c r="T323">
        <v>3.30745907556603</v>
      </c>
      <c r="U323">
        <v>2.8218256889659101</v>
      </c>
      <c r="V323">
        <v>2.6968742989510202</v>
      </c>
      <c r="W323">
        <v>182.74277167473801</v>
      </c>
      <c r="X323">
        <v>183.55124368624001</v>
      </c>
      <c r="Y323">
        <v>181.957958297132</v>
      </c>
      <c r="Z323">
        <v>181.548012791834</v>
      </c>
      <c r="AA323">
        <v>0</v>
      </c>
      <c r="AB323">
        <v>0</v>
      </c>
      <c r="AC323">
        <v>0</v>
      </c>
      <c r="AD323">
        <v>1</v>
      </c>
      <c r="AE323">
        <v>39</v>
      </c>
    </row>
    <row r="324" spans="2:31" x14ac:dyDescent="0.3">
      <c r="B324" t="s">
        <v>12</v>
      </c>
      <c r="C324">
        <v>0.32190554867134802</v>
      </c>
      <c r="D324">
        <v>0.27110009637890697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35</v>
      </c>
      <c r="P324">
        <v>27</v>
      </c>
      <c r="Q324">
        <v>9</v>
      </c>
      <c r="R324">
        <v>6</v>
      </c>
      <c r="S324">
        <v>2.7141767339608802</v>
      </c>
      <c r="T324">
        <v>3.0610368064600202</v>
      </c>
      <c r="U324">
        <v>2.1278792560472102</v>
      </c>
      <c r="V324">
        <v>2.8218256889659101</v>
      </c>
      <c r="W324">
        <v>181.604779310895</v>
      </c>
      <c r="X324">
        <v>182.74277167473801</v>
      </c>
      <c r="Y324">
        <v>179.68123115501101</v>
      </c>
      <c r="Z324">
        <v>181.957958297132</v>
      </c>
      <c r="AA324">
        <v>0</v>
      </c>
      <c r="AB324">
        <v>0</v>
      </c>
      <c r="AC324">
        <v>0</v>
      </c>
      <c r="AD324">
        <v>1</v>
      </c>
      <c r="AE324">
        <v>173</v>
      </c>
    </row>
    <row r="325" spans="2:31" x14ac:dyDescent="0.3">
      <c r="B325" t="s">
        <v>13</v>
      </c>
      <c r="C325">
        <v>9.7067327550598895E-2</v>
      </c>
      <c r="D325">
        <v>0.32190554867134802</v>
      </c>
      <c r="E325">
        <v>1</v>
      </c>
      <c r="F325">
        <v>0</v>
      </c>
      <c r="G325">
        <v>1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32</v>
      </c>
      <c r="P325">
        <v>35</v>
      </c>
      <c r="Q325">
        <v>16</v>
      </c>
      <c r="R325">
        <v>9</v>
      </c>
      <c r="S325">
        <v>2.9869687916580401</v>
      </c>
      <c r="T325">
        <v>2.7141767339608802</v>
      </c>
      <c r="U325">
        <v>2.8635976143222099</v>
      </c>
      <c r="V325">
        <v>2.1278792560472102</v>
      </c>
      <c r="W325">
        <v>182.49976637683099</v>
      </c>
      <c r="X325">
        <v>181.604779310895</v>
      </c>
      <c r="Y325">
        <v>182.095005296333</v>
      </c>
      <c r="Z325">
        <v>179.68123115501101</v>
      </c>
      <c r="AA325">
        <v>0</v>
      </c>
      <c r="AB325">
        <v>0</v>
      </c>
      <c r="AC325">
        <v>0</v>
      </c>
      <c r="AD325">
        <v>1</v>
      </c>
      <c r="AE325">
        <v>51</v>
      </c>
    </row>
    <row r="326" spans="2:31" x14ac:dyDescent="0.3">
      <c r="B326" t="s">
        <v>14</v>
      </c>
      <c r="C326">
        <v>4.0066088393225903E-2</v>
      </c>
      <c r="D326">
        <v>9.7067327550598895E-2</v>
      </c>
      <c r="E326">
        <v>0</v>
      </c>
      <c r="F326">
        <v>1</v>
      </c>
      <c r="G326">
        <v>1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32</v>
      </c>
      <c r="P326">
        <v>32</v>
      </c>
      <c r="Q326">
        <v>20</v>
      </c>
      <c r="R326">
        <v>16</v>
      </c>
      <c r="S326">
        <v>3.0008899082617599</v>
      </c>
      <c r="T326">
        <v>2.9869687916580401</v>
      </c>
      <c r="U326">
        <v>2.5889431311490401</v>
      </c>
      <c r="V326">
        <v>2.8635976143222099</v>
      </c>
      <c r="W326">
        <v>182.545439331567</v>
      </c>
      <c r="X326">
        <v>182.49976637683099</v>
      </c>
      <c r="Y326">
        <v>181.19390791059399</v>
      </c>
      <c r="Z326">
        <v>182.095005296333</v>
      </c>
      <c r="AA326">
        <v>0</v>
      </c>
      <c r="AB326">
        <v>0</v>
      </c>
      <c r="AC326">
        <v>0</v>
      </c>
      <c r="AD326">
        <v>1</v>
      </c>
      <c r="AE326">
        <v>13</v>
      </c>
    </row>
    <row r="327" spans="2:31" x14ac:dyDescent="0.3">
      <c r="B327" t="s">
        <v>15</v>
      </c>
      <c r="C327">
        <v>6.6776813988709896E-2</v>
      </c>
      <c r="D327">
        <v>4.0066088393225903E-2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33</v>
      </c>
      <c r="P327">
        <v>32</v>
      </c>
      <c r="Q327">
        <v>21</v>
      </c>
      <c r="R327">
        <v>20</v>
      </c>
      <c r="S327">
        <v>3.0373703327080799</v>
      </c>
      <c r="T327">
        <v>3.0008899082617599</v>
      </c>
      <c r="U327">
        <v>1.93276204159497</v>
      </c>
      <c r="V327">
        <v>2.5889431311490401</v>
      </c>
      <c r="W327">
        <v>182.66512576347799</v>
      </c>
      <c r="X327">
        <v>182.545439331567</v>
      </c>
      <c r="Y327">
        <v>179.04108281363199</v>
      </c>
      <c r="Z327">
        <v>181.19390791059399</v>
      </c>
      <c r="AA327">
        <v>0</v>
      </c>
      <c r="AB327">
        <v>0</v>
      </c>
      <c r="AC327">
        <v>0</v>
      </c>
      <c r="AD327">
        <v>1</v>
      </c>
      <c r="AE327">
        <v>15</v>
      </c>
    </row>
    <row r="328" spans="2:31" x14ac:dyDescent="0.3">
      <c r="B328" t="s">
        <v>16</v>
      </c>
      <c r="C328">
        <v>6.0994079581440201E-2</v>
      </c>
      <c r="D328">
        <v>6.6776813988709896E-2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0.34649999999999997</v>
      </c>
      <c r="N328">
        <v>0</v>
      </c>
      <c r="O328">
        <v>31</v>
      </c>
      <c r="P328">
        <v>33</v>
      </c>
      <c r="Q328">
        <v>21</v>
      </c>
      <c r="R328">
        <v>21</v>
      </c>
      <c r="S328">
        <v>3.3028932025522</v>
      </c>
      <c r="T328">
        <v>3.0373703327080799</v>
      </c>
      <c r="U328">
        <v>2.0114901384452999</v>
      </c>
      <c r="V328">
        <v>1.93276204159497</v>
      </c>
      <c r="W328">
        <v>183.53626378790099</v>
      </c>
      <c r="X328">
        <v>182.66512576347799</v>
      </c>
      <c r="Y328">
        <v>179.29937709463701</v>
      </c>
      <c r="Z328">
        <v>179.04108281363199</v>
      </c>
      <c r="AA328">
        <v>0</v>
      </c>
      <c r="AB328">
        <v>0</v>
      </c>
      <c r="AC328">
        <v>0</v>
      </c>
      <c r="AD328">
        <v>1</v>
      </c>
      <c r="AE328">
        <v>10</v>
      </c>
    </row>
    <row r="329" spans="2:31" x14ac:dyDescent="0.3">
      <c r="B329" t="s">
        <v>17</v>
      </c>
      <c r="C329">
        <v>0.14209004543577</v>
      </c>
      <c r="D329">
        <v>6.0994079581440201E-2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9.8000000000000004E-2</v>
      </c>
      <c r="N329">
        <v>0.34649999999999997</v>
      </c>
      <c r="O329">
        <v>34</v>
      </c>
      <c r="P329">
        <v>31</v>
      </c>
      <c r="Q329">
        <v>16</v>
      </c>
      <c r="R329">
        <v>21</v>
      </c>
      <c r="S329">
        <v>3.4735812407406099</v>
      </c>
      <c r="T329">
        <v>3.3028932025522</v>
      </c>
      <c r="U329">
        <v>2.4215599341995002</v>
      </c>
      <c r="V329">
        <v>2.0114901384452999</v>
      </c>
      <c r="W329">
        <v>184.096263913191</v>
      </c>
      <c r="X329">
        <v>183.53626378790099</v>
      </c>
      <c r="Y329">
        <v>180.644750440287</v>
      </c>
      <c r="Z329">
        <v>179.29937709463701</v>
      </c>
      <c r="AA329">
        <v>0</v>
      </c>
      <c r="AB329">
        <v>0</v>
      </c>
      <c r="AC329">
        <v>0</v>
      </c>
      <c r="AD329">
        <v>1</v>
      </c>
      <c r="AE329">
        <v>69</v>
      </c>
    </row>
    <row r="330" spans="2:31" x14ac:dyDescent="0.3">
      <c r="B330" t="s">
        <v>18</v>
      </c>
      <c r="C330">
        <v>0.27110009637890697</v>
      </c>
      <c r="D330">
        <v>0.14209004543577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9.8000000000000004E-2</v>
      </c>
      <c r="O330">
        <v>34</v>
      </c>
      <c r="P330">
        <v>34</v>
      </c>
      <c r="Q330">
        <v>17</v>
      </c>
      <c r="R330">
        <v>16</v>
      </c>
      <c r="S330">
        <v>3.24291491041935</v>
      </c>
      <c r="T330">
        <v>3.4735812407406099</v>
      </c>
      <c r="U330">
        <v>2.3532816664095999</v>
      </c>
      <c r="V330">
        <v>2.4215599341995002</v>
      </c>
      <c r="W330">
        <v>183.33948461423699</v>
      </c>
      <c r="X330">
        <v>184.096263913191</v>
      </c>
      <c r="Y330">
        <v>180.42074037536</v>
      </c>
      <c r="Z330">
        <v>180.644750440287</v>
      </c>
      <c r="AA330">
        <v>0</v>
      </c>
      <c r="AB330">
        <v>0</v>
      </c>
      <c r="AC330">
        <v>0</v>
      </c>
      <c r="AD330">
        <v>1</v>
      </c>
      <c r="AE330">
        <v>142</v>
      </c>
    </row>
    <row r="331" spans="2:31" x14ac:dyDescent="0.3">
      <c r="B331" t="s">
        <v>19</v>
      </c>
      <c r="C331">
        <v>0.32190554867134802</v>
      </c>
      <c r="D331">
        <v>0.27110009637890697</v>
      </c>
      <c r="E331">
        <v>0</v>
      </c>
      <c r="F331">
        <v>0</v>
      </c>
      <c r="G331">
        <v>0</v>
      </c>
      <c r="H331">
        <v>1</v>
      </c>
      <c r="I331">
        <v>0</v>
      </c>
      <c r="J331">
        <v>1</v>
      </c>
      <c r="K331">
        <v>0</v>
      </c>
      <c r="L331">
        <v>0</v>
      </c>
      <c r="M331">
        <v>1.0500000000000001E-2</v>
      </c>
      <c r="N331">
        <v>0</v>
      </c>
      <c r="O331">
        <v>22</v>
      </c>
      <c r="P331">
        <v>34</v>
      </c>
      <c r="Q331">
        <v>15</v>
      </c>
      <c r="R331">
        <v>17</v>
      </c>
      <c r="S331">
        <v>3.0906863606070001</v>
      </c>
      <c r="T331">
        <v>3.24291491041935</v>
      </c>
      <c r="U331">
        <v>2.4080264220868899</v>
      </c>
      <c r="V331">
        <v>2.3532816664095999</v>
      </c>
      <c r="W331">
        <v>182.84004711485201</v>
      </c>
      <c r="X331">
        <v>183.33948461423699</v>
      </c>
      <c r="Y331">
        <v>180.60034915382801</v>
      </c>
      <c r="Z331">
        <v>180.42074037536</v>
      </c>
      <c r="AA331">
        <v>0</v>
      </c>
      <c r="AB331">
        <v>0</v>
      </c>
      <c r="AC331">
        <v>0</v>
      </c>
      <c r="AD331">
        <v>1</v>
      </c>
      <c r="AE331">
        <v>17</v>
      </c>
    </row>
    <row r="332" spans="2:31" x14ac:dyDescent="0.3">
      <c r="B332" t="s">
        <v>20</v>
      </c>
      <c r="C332">
        <v>9.7067327550598895E-2</v>
      </c>
      <c r="D332">
        <v>0.32190554867134802</v>
      </c>
      <c r="E332">
        <v>0</v>
      </c>
      <c r="F332">
        <v>0</v>
      </c>
      <c r="G332">
        <v>0</v>
      </c>
      <c r="H332">
        <v>1</v>
      </c>
      <c r="I332">
        <v>0</v>
      </c>
      <c r="J332">
        <v>0</v>
      </c>
      <c r="K332">
        <v>1</v>
      </c>
      <c r="L332">
        <v>0</v>
      </c>
      <c r="M332">
        <v>0.33950000000000002</v>
      </c>
      <c r="N332">
        <v>1.0500000000000001E-2</v>
      </c>
      <c r="O332">
        <v>14</v>
      </c>
      <c r="P332">
        <v>22</v>
      </c>
      <c r="Q332">
        <v>13</v>
      </c>
      <c r="R332">
        <v>15</v>
      </c>
      <c r="S332">
        <v>2.80283619613233</v>
      </c>
      <c r="T332">
        <v>3.0906863606070001</v>
      </c>
      <c r="U332">
        <v>2.7727926758282901</v>
      </c>
      <c r="V332">
        <v>2.4080264220868899</v>
      </c>
      <c r="W332">
        <v>181.895656811458</v>
      </c>
      <c r="X332">
        <v>182.84004711485201</v>
      </c>
      <c r="Y332">
        <v>181.79708883145801</v>
      </c>
      <c r="Z332">
        <v>180.60034915382801</v>
      </c>
      <c r="AA332">
        <v>0</v>
      </c>
      <c r="AB332">
        <v>0</v>
      </c>
      <c r="AC332">
        <v>0</v>
      </c>
      <c r="AD332">
        <v>1</v>
      </c>
      <c r="AE332">
        <v>2</v>
      </c>
    </row>
    <row r="333" spans="2:31" x14ac:dyDescent="0.3">
      <c r="B333" t="s">
        <v>21</v>
      </c>
      <c r="C333">
        <v>4.0066088393225903E-2</v>
      </c>
      <c r="D333">
        <v>9.7067327550598895E-2</v>
      </c>
      <c r="E333">
        <v>0</v>
      </c>
      <c r="F333">
        <v>0</v>
      </c>
      <c r="G333">
        <v>0</v>
      </c>
      <c r="H333">
        <v>1</v>
      </c>
      <c r="I333">
        <v>0</v>
      </c>
      <c r="J333">
        <v>0</v>
      </c>
      <c r="K333">
        <v>1</v>
      </c>
      <c r="L333">
        <v>0</v>
      </c>
      <c r="M333">
        <v>1.379</v>
      </c>
      <c r="N333">
        <v>0.33950000000000002</v>
      </c>
      <c r="O333">
        <v>17</v>
      </c>
      <c r="P333">
        <v>14</v>
      </c>
      <c r="Q333">
        <v>12</v>
      </c>
      <c r="R333">
        <v>13</v>
      </c>
      <c r="S333">
        <v>3.4135681845418699</v>
      </c>
      <c r="T333">
        <v>2.80283619613233</v>
      </c>
      <c r="U333">
        <v>3.1532239441105099</v>
      </c>
      <c r="V333">
        <v>2.7727926758282901</v>
      </c>
      <c r="W333">
        <v>183.89937068419201</v>
      </c>
      <c r="X333">
        <v>181.895656811458</v>
      </c>
      <c r="Y333">
        <v>183.04522291374801</v>
      </c>
      <c r="Z333">
        <v>181.79708883145801</v>
      </c>
      <c r="AA333">
        <v>0</v>
      </c>
      <c r="AB333">
        <v>0</v>
      </c>
      <c r="AC333">
        <v>0</v>
      </c>
      <c r="AD333">
        <v>1</v>
      </c>
      <c r="AE333">
        <v>6</v>
      </c>
    </row>
    <row r="334" spans="2:31" x14ac:dyDescent="0.3">
      <c r="B334" t="s">
        <v>22</v>
      </c>
      <c r="C334">
        <v>6.6776813988709896E-2</v>
      </c>
      <c r="D334">
        <v>4.0066088393225903E-2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1</v>
      </c>
      <c r="L334">
        <v>0</v>
      </c>
      <c r="M334">
        <v>1.7500000000000002E-2</v>
      </c>
      <c r="N334">
        <v>1.379</v>
      </c>
      <c r="O334">
        <v>33</v>
      </c>
      <c r="P334">
        <v>17</v>
      </c>
      <c r="Q334">
        <v>24</v>
      </c>
      <c r="R334">
        <v>12</v>
      </c>
      <c r="S334">
        <v>3.2525748060153599</v>
      </c>
      <c r="T334">
        <v>3.4135681845418699</v>
      </c>
      <c r="U334">
        <v>3.02410608236011</v>
      </c>
      <c r="V334">
        <v>3.1532239441105099</v>
      </c>
      <c r="W334">
        <v>183.37117718509</v>
      </c>
      <c r="X334">
        <v>183.89937068419201</v>
      </c>
      <c r="Y334">
        <v>182.62160788175899</v>
      </c>
      <c r="Z334">
        <v>183.04522291374801</v>
      </c>
      <c r="AA334">
        <v>0</v>
      </c>
      <c r="AB334">
        <v>0</v>
      </c>
      <c r="AC334">
        <v>0</v>
      </c>
      <c r="AD334">
        <v>1</v>
      </c>
      <c r="AE334">
        <v>8</v>
      </c>
    </row>
    <row r="335" spans="2:31" x14ac:dyDescent="0.3">
      <c r="B335" t="s">
        <v>23</v>
      </c>
      <c r="C335">
        <v>6.0994079581440201E-2</v>
      </c>
      <c r="D335">
        <v>6.6776813988709896E-2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1.7500000000000002E-2</v>
      </c>
      <c r="O335">
        <v>28</v>
      </c>
      <c r="P335">
        <v>33</v>
      </c>
      <c r="Q335">
        <v>14</v>
      </c>
      <c r="R335">
        <v>24</v>
      </c>
      <c r="S335">
        <v>3.2901384934346498</v>
      </c>
      <c r="T335">
        <v>3.2525748060153599</v>
      </c>
      <c r="U335">
        <v>2.6811025885794399</v>
      </c>
      <c r="V335">
        <v>3.02410608236011</v>
      </c>
      <c r="W335">
        <v>183.494417629379</v>
      </c>
      <c r="X335">
        <v>183.37117718509</v>
      </c>
      <c r="Y335">
        <v>181.49626833523399</v>
      </c>
      <c r="Z335">
        <v>182.62160788175899</v>
      </c>
      <c r="AA335">
        <v>0</v>
      </c>
      <c r="AB335">
        <v>0</v>
      </c>
      <c r="AC335">
        <v>0</v>
      </c>
      <c r="AD335">
        <v>1</v>
      </c>
      <c r="AE335">
        <v>10</v>
      </c>
    </row>
    <row r="336" spans="2:31" x14ac:dyDescent="0.3">
      <c r="B336" t="s">
        <v>24</v>
      </c>
      <c r="C336">
        <v>0.14209004543577</v>
      </c>
      <c r="D336">
        <v>6.0994079581440201E-2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29</v>
      </c>
      <c r="P336">
        <v>28</v>
      </c>
      <c r="Q336">
        <v>15</v>
      </c>
      <c r="R336">
        <v>14</v>
      </c>
      <c r="S336">
        <v>3.27001571237088</v>
      </c>
      <c r="T336">
        <v>3.2901384934346498</v>
      </c>
      <c r="U336">
        <v>2.90390633167168</v>
      </c>
      <c r="V336">
        <v>2.6811025885794399</v>
      </c>
      <c r="W336">
        <v>183.42839800646601</v>
      </c>
      <c r="X336">
        <v>183.494417629379</v>
      </c>
      <c r="Y336">
        <v>182.22725174433</v>
      </c>
      <c r="Z336">
        <v>181.49626833523399</v>
      </c>
      <c r="AA336">
        <v>0</v>
      </c>
      <c r="AB336">
        <v>0</v>
      </c>
      <c r="AC336">
        <v>0</v>
      </c>
      <c r="AD336">
        <v>1</v>
      </c>
      <c r="AE336">
        <v>37</v>
      </c>
    </row>
    <row r="337" spans="2:31" x14ac:dyDescent="0.3">
      <c r="B337" t="s">
        <v>25</v>
      </c>
      <c r="C337">
        <v>0.27110009637890697</v>
      </c>
      <c r="D337">
        <v>0.14209004543577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29</v>
      </c>
      <c r="P337">
        <v>29</v>
      </c>
      <c r="Q337">
        <v>17</v>
      </c>
      <c r="R337">
        <v>15</v>
      </c>
      <c r="S337">
        <v>3.3671785745120801</v>
      </c>
      <c r="T337">
        <v>3.27001571237088</v>
      </c>
      <c r="U337">
        <v>2.6169533778604102</v>
      </c>
      <c r="V337">
        <v>2.90390633167168</v>
      </c>
      <c r="W337">
        <v>183.74717380089299</v>
      </c>
      <c r="X337">
        <v>183.42839800646601</v>
      </c>
      <c r="Y337">
        <v>181.28580504547401</v>
      </c>
      <c r="Z337">
        <v>182.22725174433</v>
      </c>
      <c r="AA337">
        <v>0</v>
      </c>
      <c r="AB337">
        <v>0</v>
      </c>
      <c r="AC337">
        <v>0</v>
      </c>
      <c r="AD337">
        <v>1</v>
      </c>
      <c r="AE337">
        <v>49</v>
      </c>
    </row>
    <row r="338" spans="2:31" x14ac:dyDescent="0.3">
      <c r="B338" t="s">
        <v>26</v>
      </c>
      <c r="C338">
        <v>0.32190554867134802</v>
      </c>
      <c r="D338">
        <v>0.27110009637890697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29</v>
      </c>
      <c r="P338">
        <v>29</v>
      </c>
      <c r="Q338">
        <v>9</v>
      </c>
      <c r="R338">
        <v>17</v>
      </c>
      <c r="S338">
        <v>3.2154735624350099</v>
      </c>
      <c r="T338">
        <v>3.3671785745120801</v>
      </c>
      <c r="U338">
        <v>2.9107592990647002</v>
      </c>
      <c r="V338">
        <v>2.6169533778604102</v>
      </c>
      <c r="W338">
        <v>183.24945394499699</v>
      </c>
      <c r="X338">
        <v>183.74717380089299</v>
      </c>
      <c r="Y338">
        <v>182.24973523315199</v>
      </c>
      <c r="Z338">
        <v>181.28580504547401</v>
      </c>
      <c r="AA338">
        <v>0</v>
      </c>
      <c r="AB338">
        <v>0</v>
      </c>
      <c r="AC338">
        <v>0</v>
      </c>
      <c r="AD338">
        <v>1</v>
      </c>
      <c r="AE338">
        <v>142</v>
      </c>
    </row>
    <row r="339" spans="2:31" x14ac:dyDescent="0.3">
      <c r="B339" t="s">
        <v>27</v>
      </c>
      <c r="C339">
        <v>9.7067327550598895E-2</v>
      </c>
      <c r="D339">
        <v>0.32190554867134802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19</v>
      </c>
      <c r="P339">
        <v>29</v>
      </c>
      <c r="Q339">
        <v>19</v>
      </c>
      <c r="R339">
        <v>9</v>
      </c>
      <c r="S339">
        <v>2.89170775527043</v>
      </c>
      <c r="T339">
        <v>3.2154735624350099</v>
      </c>
      <c r="U339">
        <v>2.89170775527043</v>
      </c>
      <c r="V339">
        <v>2.9107592990647002</v>
      </c>
      <c r="W339">
        <v>182.18723016820999</v>
      </c>
      <c r="X339">
        <v>183.24945394499699</v>
      </c>
      <c r="Y339">
        <v>182.18723016820999</v>
      </c>
      <c r="Z339">
        <v>182.24973523315199</v>
      </c>
      <c r="AA339">
        <v>0</v>
      </c>
      <c r="AB339">
        <v>0</v>
      </c>
      <c r="AC339">
        <v>0</v>
      </c>
      <c r="AD339">
        <v>1</v>
      </c>
      <c r="AE339">
        <v>1</v>
      </c>
    </row>
    <row r="340" spans="2:31" x14ac:dyDescent="0.3">
      <c r="B340" t="s">
        <v>28</v>
      </c>
      <c r="C340">
        <v>4.0066088393225903E-2</v>
      </c>
      <c r="D340">
        <v>9.7067327550598895E-2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0.434</v>
      </c>
      <c r="N340">
        <v>0</v>
      </c>
      <c r="O340">
        <v>29</v>
      </c>
      <c r="P340">
        <v>19</v>
      </c>
      <c r="Q340">
        <v>17</v>
      </c>
      <c r="R340">
        <v>19</v>
      </c>
      <c r="S340">
        <v>2.9960352592556898</v>
      </c>
      <c r="T340">
        <v>2.89170775527043</v>
      </c>
      <c r="U340">
        <v>2.2710694121370998</v>
      </c>
      <c r="V340">
        <v>2.89170775527043</v>
      </c>
      <c r="W340">
        <v>182.529512005432</v>
      </c>
      <c r="X340">
        <v>182.18723016820999</v>
      </c>
      <c r="Y340">
        <v>180.15101513168301</v>
      </c>
      <c r="Z340">
        <v>182.18723016820999</v>
      </c>
      <c r="AA340">
        <v>0</v>
      </c>
      <c r="AB340">
        <v>0</v>
      </c>
      <c r="AC340">
        <v>0</v>
      </c>
      <c r="AD340">
        <v>1</v>
      </c>
      <c r="AE340">
        <v>12</v>
      </c>
    </row>
    <row r="341" spans="2:31" x14ac:dyDescent="0.3">
      <c r="B341" t="s">
        <v>29</v>
      </c>
      <c r="C341">
        <v>6.6776813988709896E-2</v>
      </c>
      <c r="D341">
        <v>4.0066088393225903E-2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0.11550000000000001</v>
      </c>
      <c r="N341">
        <v>0.434</v>
      </c>
      <c r="O341">
        <v>32</v>
      </c>
      <c r="P341">
        <v>29</v>
      </c>
      <c r="Q341">
        <v>16</v>
      </c>
      <c r="R341">
        <v>17</v>
      </c>
      <c r="S341">
        <v>3.0262108148687998</v>
      </c>
      <c r="T341">
        <v>2.9960352592556898</v>
      </c>
      <c r="U341">
        <v>2.47866582581227</v>
      </c>
      <c r="V341">
        <v>2.2710694121370998</v>
      </c>
      <c r="W341">
        <v>182.62851317214199</v>
      </c>
      <c r="X341">
        <v>182.529512005432</v>
      </c>
      <c r="Y341">
        <v>180.832105727731</v>
      </c>
      <c r="Z341">
        <v>180.15101513168301</v>
      </c>
      <c r="AA341">
        <v>0</v>
      </c>
      <c r="AB341">
        <v>0</v>
      </c>
      <c r="AC341">
        <v>0</v>
      </c>
      <c r="AD341">
        <v>1</v>
      </c>
      <c r="AE341">
        <v>29</v>
      </c>
    </row>
    <row r="342" spans="2:31" x14ac:dyDescent="0.3">
      <c r="B342" t="s">
        <v>30</v>
      </c>
      <c r="C342">
        <v>6.0994079581440201E-2</v>
      </c>
      <c r="D342">
        <v>6.6776813988709896E-2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0.11550000000000001</v>
      </c>
      <c r="O342">
        <v>36</v>
      </c>
      <c r="P342">
        <v>32</v>
      </c>
      <c r="Q342">
        <v>25</v>
      </c>
      <c r="R342">
        <v>16</v>
      </c>
      <c r="S342">
        <v>3.4210381443217299</v>
      </c>
      <c r="T342">
        <v>3.0262108148687998</v>
      </c>
      <c r="U342">
        <v>2.8793308024352999</v>
      </c>
      <c r="V342">
        <v>2.47866582581227</v>
      </c>
      <c r="W342">
        <v>183.923878426252</v>
      </c>
      <c r="X342">
        <v>182.62851317214199</v>
      </c>
      <c r="Y342">
        <v>182.14662336756999</v>
      </c>
      <c r="Z342">
        <v>180.832105727731</v>
      </c>
      <c r="AA342">
        <v>0</v>
      </c>
      <c r="AB342">
        <v>0</v>
      </c>
      <c r="AC342">
        <v>0</v>
      </c>
      <c r="AD342">
        <v>1</v>
      </c>
      <c r="AE342">
        <v>30</v>
      </c>
    </row>
    <row r="343" spans="2:31" x14ac:dyDescent="0.3">
      <c r="B343" t="s">
        <v>31</v>
      </c>
      <c r="C343">
        <v>0.14209004543577</v>
      </c>
      <c r="D343">
        <v>6.0994079581440201E-2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35</v>
      </c>
      <c r="P343">
        <v>36</v>
      </c>
      <c r="Q343">
        <v>19</v>
      </c>
      <c r="R343">
        <v>25</v>
      </c>
      <c r="S343">
        <v>3.3382956201288398</v>
      </c>
      <c r="T343">
        <v>3.4210381443217299</v>
      </c>
      <c r="U343">
        <v>2.6264968656798202</v>
      </c>
      <c r="V343">
        <v>2.8793308024352999</v>
      </c>
      <c r="W343">
        <v>183.65241345186601</v>
      </c>
      <c r="X343">
        <v>183.923878426252</v>
      </c>
      <c r="Y343">
        <v>181.317115701049</v>
      </c>
      <c r="Z343">
        <v>182.14662336756999</v>
      </c>
      <c r="AA343">
        <v>0</v>
      </c>
      <c r="AB343">
        <v>0</v>
      </c>
      <c r="AC343">
        <v>0</v>
      </c>
      <c r="AD343">
        <v>1</v>
      </c>
      <c r="AE343">
        <v>39</v>
      </c>
    </row>
    <row r="344" spans="2:31" x14ac:dyDescent="0.3">
      <c r="B344" t="s">
        <v>32</v>
      </c>
      <c r="C344">
        <v>0.27110009637890697</v>
      </c>
      <c r="D344">
        <v>0.14209004543577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0.27650000000000002</v>
      </c>
      <c r="N344">
        <v>0</v>
      </c>
      <c r="O344">
        <v>37</v>
      </c>
      <c r="P344">
        <v>35</v>
      </c>
      <c r="Q344">
        <v>21</v>
      </c>
      <c r="R344">
        <v>19</v>
      </c>
      <c r="S344">
        <v>3.09283809548314</v>
      </c>
      <c r="T344">
        <v>3.3382956201288398</v>
      </c>
      <c r="U344">
        <v>2.84309104773864</v>
      </c>
      <c r="V344">
        <v>2.6264968656798202</v>
      </c>
      <c r="W344">
        <v>182.847106612478</v>
      </c>
      <c r="X344">
        <v>183.65241345186601</v>
      </c>
      <c r="Y344">
        <v>182.027726534576</v>
      </c>
      <c r="Z344">
        <v>181.317115701049</v>
      </c>
      <c r="AA344">
        <v>0</v>
      </c>
      <c r="AB344">
        <v>0</v>
      </c>
      <c r="AC344">
        <v>0</v>
      </c>
      <c r="AD344">
        <v>1</v>
      </c>
      <c r="AE344">
        <v>100</v>
      </c>
    </row>
    <row r="345" spans="2:31" x14ac:dyDescent="0.3">
      <c r="B345" t="s">
        <v>33</v>
      </c>
      <c r="C345">
        <v>0.32190554867134802</v>
      </c>
      <c r="D345">
        <v>0.27110009637890697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0.27650000000000002</v>
      </c>
      <c r="O345">
        <v>38</v>
      </c>
      <c r="P345">
        <v>37</v>
      </c>
      <c r="Q345">
        <v>21</v>
      </c>
      <c r="R345">
        <v>21</v>
      </c>
      <c r="S345">
        <v>3.5803034379737899</v>
      </c>
      <c r="T345">
        <v>3.09283809548314</v>
      </c>
      <c r="U345">
        <v>2.8577846112931802</v>
      </c>
      <c r="V345">
        <v>2.84309104773864</v>
      </c>
      <c r="W345">
        <v>184.44640235555701</v>
      </c>
      <c r="X345">
        <v>182.847106612478</v>
      </c>
      <c r="Y345">
        <v>182.07593376408499</v>
      </c>
      <c r="Z345">
        <v>182.027726534576</v>
      </c>
      <c r="AA345">
        <v>0</v>
      </c>
      <c r="AB345">
        <v>0</v>
      </c>
      <c r="AC345">
        <v>0</v>
      </c>
      <c r="AD345">
        <v>1</v>
      </c>
      <c r="AE345">
        <v>201</v>
      </c>
    </row>
    <row r="346" spans="2:31" s="14" customFormat="1" x14ac:dyDescent="0.3">
      <c r="B346" s="14" t="s">
        <v>34</v>
      </c>
      <c r="C346" s="14">
        <v>4.0066088393225903E-2</v>
      </c>
      <c r="D346" s="14">
        <v>0.32190554867134802</v>
      </c>
      <c r="E346" s="14">
        <v>0</v>
      </c>
      <c r="F346" s="14">
        <v>0</v>
      </c>
      <c r="G346" s="14">
        <v>0</v>
      </c>
      <c r="H346" s="14">
        <v>0</v>
      </c>
      <c r="I346" s="14">
        <v>1</v>
      </c>
      <c r="J346" s="14">
        <v>1</v>
      </c>
      <c r="K346" s="14">
        <v>0</v>
      </c>
      <c r="L346" s="14">
        <v>0</v>
      </c>
      <c r="M346" s="14">
        <v>0.47249999999999998</v>
      </c>
      <c r="N346" s="14">
        <v>0</v>
      </c>
      <c r="O346" s="14">
        <v>23</v>
      </c>
      <c r="P346" s="14">
        <v>38</v>
      </c>
      <c r="Q346" s="14">
        <v>22</v>
      </c>
      <c r="R346" s="14">
        <v>21</v>
      </c>
      <c r="S346" s="14">
        <v>2.75303649556859</v>
      </c>
      <c r="T346" s="14">
        <v>3.5803034379737899</v>
      </c>
      <c r="U346" s="14">
        <v>2.7070014210887199</v>
      </c>
      <c r="V346" s="14">
        <v>2.8577846112931802</v>
      </c>
      <c r="W346" s="14">
        <v>181.73227196708899</v>
      </c>
      <c r="X346" s="14">
        <v>184.44640235555701</v>
      </c>
      <c r="Y346" s="14">
        <v>181.581238258165</v>
      </c>
      <c r="Z346" s="14">
        <v>182.07593376408499</v>
      </c>
      <c r="AA346" s="14">
        <v>0</v>
      </c>
      <c r="AB346" s="14">
        <v>0</v>
      </c>
      <c r="AC346" s="14">
        <v>0</v>
      </c>
      <c r="AD346" s="14">
        <v>1</v>
      </c>
      <c r="AE346" s="14">
        <v>3</v>
      </c>
    </row>
    <row r="347" spans="2:31" x14ac:dyDescent="0.3">
      <c r="B347" t="s">
        <v>35</v>
      </c>
      <c r="C347">
        <v>6.6776813988709896E-2</v>
      </c>
      <c r="D347">
        <v>4.0066088393225903E-2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0.47249999999999998</v>
      </c>
      <c r="O347">
        <v>31</v>
      </c>
      <c r="P347">
        <v>23</v>
      </c>
      <c r="Q347">
        <v>17</v>
      </c>
      <c r="R347">
        <v>22</v>
      </c>
      <c r="S347">
        <v>2.8928053904531401</v>
      </c>
      <c r="T347">
        <v>2.75303649556859</v>
      </c>
      <c r="U347">
        <v>2.4737482598337599</v>
      </c>
      <c r="V347">
        <v>2.7070014210887199</v>
      </c>
      <c r="W347">
        <v>182.19083133350799</v>
      </c>
      <c r="X347">
        <v>181.73227196708899</v>
      </c>
      <c r="Y347">
        <v>180.81597198108199</v>
      </c>
      <c r="Z347">
        <v>181.581238258165</v>
      </c>
      <c r="AA347">
        <v>0</v>
      </c>
      <c r="AB347">
        <v>0</v>
      </c>
      <c r="AC347">
        <v>0</v>
      </c>
      <c r="AD347">
        <v>1</v>
      </c>
      <c r="AE347">
        <v>20</v>
      </c>
    </row>
    <row r="348" spans="2:31" x14ac:dyDescent="0.3">
      <c r="B348" t="s">
        <v>36</v>
      </c>
      <c r="C348">
        <v>6.0994079581440201E-2</v>
      </c>
      <c r="D348">
        <v>6.6776813988709896E-2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28</v>
      </c>
      <c r="P348">
        <v>31</v>
      </c>
      <c r="Q348">
        <v>15</v>
      </c>
      <c r="R348">
        <v>17</v>
      </c>
      <c r="S348">
        <v>2.9528045967740399</v>
      </c>
      <c r="T348">
        <v>2.8928053904531401</v>
      </c>
      <c r="U348">
        <v>2.4503514182825699</v>
      </c>
      <c r="V348">
        <v>2.4737482598337599</v>
      </c>
      <c r="W348">
        <v>182.38767912327401</v>
      </c>
      <c r="X348">
        <v>182.19083133350799</v>
      </c>
      <c r="Y348">
        <v>180.73921068990299</v>
      </c>
      <c r="Z348">
        <v>180.81597198108199</v>
      </c>
      <c r="AA348">
        <v>0</v>
      </c>
      <c r="AB348">
        <v>0</v>
      </c>
      <c r="AC348">
        <v>0</v>
      </c>
      <c r="AD348">
        <v>1</v>
      </c>
      <c r="AE348">
        <v>17</v>
      </c>
    </row>
    <row r="349" spans="2:31" x14ac:dyDescent="0.3">
      <c r="B349" t="s">
        <v>37</v>
      </c>
      <c r="C349">
        <v>0.14209004543577</v>
      </c>
      <c r="D349">
        <v>6.0994079581440201E-2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34</v>
      </c>
      <c r="P349">
        <v>28</v>
      </c>
      <c r="Q349">
        <v>19</v>
      </c>
      <c r="R349">
        <v>15</v>
      </c>
      <c r="S349">
        <v>3.2819546872238399</v>
      </c>
      <c r="T349">
        <v>2.9528045967740399</v>
      </c>
      <c r="U349">
        <v>2.6886504549980499</v>
      </c>
      <c r="V349">
        <v>2.4503514182825699</v>
      </c>
      <c r="W349">
        <v>183.46756787146899</v>
      </c>
      <c r="X349">
        <v>182.38767912327401</v>
      </c>
      <c r="Y349">
        <v>181.52103167650299</v>
      </c>
      <c r="Z349">
        <v>180.73921068990299</v>
      </c>
      <c r="AA349">
        <v>0</v>
      </c>
      <c r="AB349">
        <v>0</v>
      </c>
      <c r="AC349">
        <v>0</v>
      </c>
      <c r="AD349">
        <v>1</v>
      </c>
      <c r="AE349">
        <v>74</v>
      </c>
    </row>
    <row r="350" spans="2:31" x14ac:dyDescent="0.3">
      <c r="B350" t="s">
        <v>38</v>
      </c>
      <c r="C350">
        <v>0.27110009637890697</v>
      </c>
      <c r="D350">
        <v>0.14209004543577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0</v>
      </c>
      <c r="L350">
        <v>0</v>
      </c>
      <c r="M350">
        <v>0</v>
      </c>
      <c r="N350">
        <v>0</v>
      </c>
      <c r="O350">
        <v>29</v>
      </c>
      <c r="P350">
        <v>34</v>
      </c>
      <c r="Q350">
        <v>12</v>
      </c>
      <c r="R350">
        <v>19</v>
      </c>
      <c r="S350">
        <v>2.7925979423073199</v>
      </c>
      <c r="T350">
        <v>3.2819546872238399</v>
      </c>
      <c r="U350">
        <v>2.3459295301659302</v>
      </c>
      <c r="V350">
        <v>2.6886504549980499</v>
      </c>
      <c r="W350">
        <v>181.86206673985299</v>
      </c>
      <c r="X350">
        <v>183.46756787146899</v>
      </c>
      <c r="Y350">
        <v>180.39661919345801</v>
      </c>
      <c r="Z350">
        <v>181.52103167650299</v>
      </c>
      <c r="AA350">
        <v>0</v>
      </c>
      <c r="AB350">
        <v>0</v>
      </c>
      <c r="AC350">
        <v>0</v>
      </c>
      <c r="AD350">
        <v>1</v>
      </c>
      <c r="AE350">
        <v>113</v>
      </c>
    </row>
    <row r="351" spans="2:31" x14ac:dyDescent="0.3">
      <c r="B351" t="s">
        <v>39</v>
      </c>
      <c r="C351">
        <v>0.32190554867134802</v>
      </c>
      <c r="D351">
        <v>0.27110009637890697</v>
      </c>
      <c r="E351">
        <v>0</v>
      </c>
      <c r="F351">
        <v>0</v>
      </c>
      <c r="G351">
        <v>0</v>
      </c>
      <c r="H351">
        <v>1</v>
      </c>
      <c r="I351">
        <v>0</v>
      </c>
      <c r="J351">
        <v>0</v>
      </c>
      <c r="K351">
        <v>0</v>
      </c>
      <c r="L351">
        <v>1</v>
      </c>
      <c r="M351">
        <v>0.44450000000000001</v>
      </c>
      <c r="N351">
        <v>0</v>
      </c>
      <c r="O351">
        <v>37</v>
      </c>
      <c r="P351">
        <v>29</v>
      </c>
      <c r="Q351">
        <v>19</v>
      </c>
      <c r="R351">
        <v>12</v>
      </c>
      <c r="S351">
        <v>3.29462302346528</v>
      </c>
      <c r="T351">
        <v>2.7925979423073199</v>
      </c>
      <c r="U351">
        <v>2.5621060475492201</v>
      </c>
      <c r="V351">
        <v>2.3459295301659302</v>
      </c>
      <c r="W351">
        <v>183.50913065441401</v>
      </c>
      <c r="X351">
        <v>181.86206673985299</v>
      </c>
      <c r="Y351">
        <v>181.10585973605399</v>
      </c>
      <c r="Z351">
        <v>180.39661919345801</v>
      </c>
      <c r="AA351">
        <v>0</v>
      </c>
      <c r="AB351">
        <v>0</v>
      </c>
      <c r="AC351">
        <v>0</v>
      </c>
      <c r="AD351">
        <v>1</v>
      </c>
      <c r="AE351">
        <v>36</v>
      </c>
    </row>
    <row r="352" spans="2:31" x14ac:dyDescent="0.3">
      <c r="B352" t="s">
        <v>40</v>
      </c>
      <c r="C352">
        <v>9.7067327550598895E-2</v>
      </c>
      <c r="D352">
        <v>0.32190554867134802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0.49</v>
      </c>
      <c r="N352">
        <v>0.44450000000000001</v>
      </c>
      <c r="O352">
        <v>38</v>
      </c>
      <c r="P352">
        <v>37</v>
      </c>
      <c r="Q352">
        <v>24</v>
      </c>
      <c r="R352">
        <v>19</v>
      </c>
      <c r="S352">
        <v>3.4997923727285198</v>
      </c>
      <c r="T352">
        <v>3.29462302346528</v>
      </c>
      <c r="U352">
        <v>2.6183422349941998</v>
      </c>
      <c r="V352">
        <v>2.5621060475492201</v>
      </c>
      <c r="W352">
        <v>184.18225844071</v>
      </c>
      <c r="X352">
        <v>183.50913065441401</v>
      </c>
      <c r="Y352">
        <v>181.29036166336701</v>
      </c>
      <c r="Z352">
        <v>181.10585973605399</v>
      </c>
      <c r="AA352">
        <v>0</v>
      </c>
      <c r="AB352">
        <v>0</v>
      </c>
      <c r="AC352">
        <v>0</v>
      </c>
      <c r="AD352">
        <v>1</v>
      </c>
      <c r="AE352">
        <v>46</v>
      </c>
    </row>
    <row r="353" spans="2:31" x14ac:dyDescent="0.3">
      <c r="B353" t="s">
        <v>41</v>
      </c>
      <c r="C353">
        <v>4.0066088393225903E-2</v>
      </c>
      <c r="D353">
        <v>9.7067327550598895E-2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0.49</v>
      </c>
      <c r="O353">
        <v>31</v>
      </c>
      <c r="P353">
        <v>38</v>
      </c>
      <c r="Q353">
        <v>21</v>
      </c>
      <c r="R353">
        <v>24</v>
      </c>
      <c r="S353">
        <v>3.5764898605134099</v>
      </c>
      <c r="T353">
        <v>3.4997923727285198</v>
      </c>
      <c r="U353">
        <v>3.0912602877512398</v>
      </c>
      <c r="V353">
        <v>2.6183422349941998</v>
      </c>
      <c r="W353">
        <v>184.433890618482</v>
      </c>
      <c r="X353">
        <v>184.18225844071</v>
      </c>
      <c r="Y353">
        <v>182.84193007792399</v>
      </c>
      <c r="Z353">
        <v>181.29036166336701</v>
      </c>
      <c r="AA353">
        <v>0</v>
      </c>
      <c r="AB353">
        <v>0</v>
      </c>
      <c r="AC353">
        <v>0</v>
      </c>
      <c r="AD353">
        <v>1</v>
      </c>
      <c r="AE353">
        <v>6</v>
      </c>
    </row>
    <row r="354" spans="2:31" x14ac:dyDescent="0.3">
      <c r="B354" t="s">
        <v>42</v>
      </c>
      <c r="C354">
        <v>6.6776813988709896E-2</v>
      </c>
      <c r="D354">
        <v>4.0066088393225903E-2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0.15049999999999999</v>
      </c>
      <c r="N354">
        <v>0</v>
      </c>
      <c r="O354">
        <v>30</v>
      </c>
      <c r="P354">
        <v>31</v>
      </c>
      <c r="Q354">
        <v>17</v>
      </c>
      <c r="R354">
        <v>21</v>
      </c>
      <c r="S354">
        <v>3.5869428496788398</v>
      </c>
      <c r="T354">
        <v>3.5764898605134099</v>
      </c>
      <c r="U354">
        <v>3.2770335588727999</v>
      </c>
      <c r="V354">
        <v>3.0912602877512398</v>
      </c>
      <c r="W354">
        <v>184.468185202358</v>
      </c>
      <c r="X354">
        <v>184.433890618482</v>
      </c>
      <c r="Y354">
        <v>183.451422437247</v>
      </c>
      <c r="Z354">
        <v>182.84193007792399</v>
      </c>
      <c r="AA354">
        <v>0</v>
      </c>
      <c r="AB354">
        <v>0</v>
      </c>
      <c r="AC354">
        <v>0</v>
      </c>
      <c r="AD354">
        <v>1</v>
      </c>
      <c r="AE354">
        <v>15</v>
      </c>
    </row>
    <row r="355" spans="2:31" x14ac:dyDescent="0.3">
      <c r="B355" t="s">
        <v>43</v>
      </c>
      <c r="C355">
        <v>6.0994079581440201E-2</v>
      </c>
      <c r="D355">
        <v>6.6776813988709896E-2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0.15049999999999999</v>
      </c>
      <c r="O355">
        <v>34</v>
      </c>
      <c r="P355">
        <v>30</v>
      </c>
      <c r="Q355">
        <v>20</v>
      </c>
      <c r="R355">
        <v>17</v>
      </c>
      <c r="S355">
        <v>3.4843650963933199</v>
      </c>
      <c r="T355">
        <v>3.5869428496788398</v>
      </c>
      <c r="U355">
        <v>3.24513759739507</v>
      </c>
      <c r="V355">
        <v>3.2770335588727999</v>
      </c>
      <c r="W355">
        <v>184.13164401703801</v>
      </c>
      <c r="X355">
        <v>184.468185202358</v>
      </c>
      <c r="Y355">
        <v>183.34677689434099</v>
      </c>
      <c r="Z355">
        <v>183.451422437247</v>
      </c>
      <c r="AA355">
        <v>0</v>
      </c>
      <c r="AB355">
        <v>0</v>
      </c>
      <c r="AC355">
        <v>0</v>
      </c>
      <c r="AD355">
        <v>1</v>
      </c>
      <c r="AE355">
        <v>32</v>
      </c>
    </row>
    <row r="356" spans="2:31" x14ac:dyDescent="0.3">
      <c r="B356" t="s">
        <v>44</v>
      </c>
      <c r="C356">
        <v>0.14209004543577</v>
      </c>
      <c r="D356">
        <v>6.0994079581440201E-2</v>
      </c>
      <c r="E356">
        <v>0</v>
      </c>
      <c r="F356">
        <v>0</v>
      </c>
      <c r="G356">
        <v>0</v>
      </c>
      <c r="H356">
        <v>1</v>
      </c>
      <c r="I356">
        <v>0</v>
      </c>
      <c r="J356">
        <v>1</v>
      </c>
      <c r="K356">
        <v>0</v>
      </c>
      <c r="L356">
        <v>0</v>
      </c>
      <c r="M356">
        <v>3.5000000000000003E-2</v>
      </c>
      <c r="N356">
        <v>0</v>
      </c>
      <c r="O356">
        <v>34</v>
      </c>
      <c r="P356">
        <v>34</v>
      </c>
      <c r="Q356">
        <v>16</v>
      </c>
      <c r="R356">
        <v>20</v>
      </c>
      <c r="S356">
        <v>3.5856711986984902</v>
      </c>
      <c r="T356">
        <v>3.4843650963933199</v>
      </c>
      <c r="U356">
        <v>2.8842607341872002</v>
      </c>
      <c r="V356">
        <v>3.24513759739507</v>
      </c>
      <c r="W356">
        <v>184.46401311909</v>
      </c>
      <c r="X356">
        <v>184.13164401703801</v>
      </c>
      <c r="Y356">
        <v>182.162797684341</v>
      </c>
      <c r="Z356">
        <v>183.34677689434099</v>
      </c>
      <c r="AA356">
        <v>0</v>
      </c>
      <c r="AB356">
        <v>0</v>
      </c>
      <c r="AC356">
        <v>0</v>
      </c>
      <c r="AD356">
        <v>1</v>
      </c>
      <c r="AE356">
        <v>43</v>
      </c>
    </row>
    <row r="357" spans="2:31" x14ac:dyDescent="0.3">
      <c r="B357" t="s">
        <v>45</v>
      </c>
      <c r="C357">
        <v>0.27110009637890697</v>
      </c>
      <c r="D357">
        <v>0.14209004543577</v>
      </c>
      <c r="E357">
        <v>0</v>
      </c>
      <c r="F357">
        <v>0</v>
      </c>
      <c r="G357">
        <v>0</v>
      </c>
      <c r="H357">
        <v>0</v>
      </c>
      <c r="I357">
        <v>1</v>
      </c>
      <c r="J357">
        <v>0</v>
      </c>
      <c r="K357">
        <v>1</v>
      </c>
      <c r="L357">
        <v>0</v>
      </c>
      <c r="M357">
        <v>0</v>
      </c>
      <c r="N357">
        <v>3.5000000000000003E-2</v>
      </c>
      <c r="O357">
        <v>28</v>
      </c>
      <c r="P357">
        <v>34</v>
      </c>
      <c r="Q357">
        <v>14</v>
      </c>
      <c r="R357">
        <v>16</v>
      </c>
      <c r="S357">
        <v>2.67511141187348</v>
      </c>
      <c r="T357">
        <v>3.5856711986984902</v>
      </c>
      <c r="U357">
        <v>2.4230813889214602</v>
      </c>
      <c r="V357">
        <v>2.8842607341872002</v>
      </c>
      <c r="W357">
        <v>181.476612243679</v>
      </c>
      <c r="X357">
        <v>184.46401311909</v>
      </c>
      <c r="Y357">
        <v>180.64974208963699</v>
      </c>
      <c r="Z357">
        <v>182.162797684341</v>
      </c>
      <c r="AA357">
        <v>0</v>
      </c>
      <c r="AB357">
        <v>0</v>
      </c>
      <c r="AC357">
        <v>0</v>
      </c>
      <c r="AD357">
        <v>1</v>
      </c>
      <c r="AE357">
        <v>87</v>
      </c>
    </row>
    <row r="358" spans="2:31" x14ac:dyDescent="0.3">
      <c r="B358" t="s">
        <v>46</v>
      </c>
      <c r="C358">
        <v>0.32190554867134802</v>
      </c>
      <c r="D358">
        <v>0.27110009637890697</v>
      </c>
      <c r="E358">
        <v>0</v>
      </c>
      <c r="F358">
        <v>0</v>
      </c>
      <c r="G358">
        <v>0</v>
      </c>
      <c r="H358">
        <v>1</v>
      </c>
      <c r="I358">
        <v>0</v>
      </c>
      <c r="J358">
        <v>0</v>
      </c>
      <c r="K358">
        <v>0</v>
      </c>
      <c r="L358">
        <v>1</v>
      </c>
      <c r="M358">
        <v>1.351</v>
      </c>
      <c r="N358">
        <v>0</v>
      </c>
      <c r="O358">
        <v>17</v>
      </c>
      <c r="P358">
        <v>28</v>
      </c>
      <c r="Q358">
        <v>14</v>
      </c>
      <c r="R358">
        <v>14</v>
      </c>
      <c r="S358">
        <v>2.7193452665566298</v>
      </c>
      <c r="T358">
        <v>2.67511141187348</v>
      </c>
      <c r="U358">
        <v>2.2487025378658299</v>
      </c>
      <c r="V358">
        <v>2.4230813889214602</v>
      </c>
      <c r="W358">
        <v>181.62173643883401</v>
      </c>
      <c r="X358">
        <v>181.476612243679</v>
      </c>
      <c r="Y358">
        <v>180.077632998247</v>
      </c>
      <c r="Z358">
        <v>180.64974208963699</v>
      </c>
      <c r="AA358">
        <v>0</v>
      </c>
      <c r="AB358">
        <v>0</v>
      </c>
      <c r="AC358">
        <v>0</v>
      </c>
      <c r="AD358">
        <v>1</v>
      </c>
      <c r="AE358">
        <v>13</v>
      </c>
    </row>
    <row r="359" spans="2:31" x14ac:dyDescent="0.3">
      <c r="B359" t="s">
        <v>47</v>
      </c>
      <c r="C359">
        <v>9.7067327550598895E-2</v>
      </c>
      <c r="D359">
        <v>0.32190554867134802</v>
      </c>
      <c r="E359">
        <v>0</v>
      </c>
      <c r="F359">
        <v>0</v>
      </c>
      <c r="G359">
        <v>0</v>
      </c>
      <c r="H359">
        <v>0</v>
      </c>
      <c r="I359">
        <v>1</v>
      </c>
      <c r="J359">
        <v>0</v>
      </c>
      <c r="K359">
        <v>1</v>
      </c>
      <c r="L359">
        <v>0</v>
      </c>
      <c r="M359">
        <v>0.17849999999999999</v>
      </c>
      <c r="N359">
        <v>1.351</v>
      </c>
      <c r="O359">
        <v>24</v>
      </c>
      <c r="P359">
        <v>17</v>
      </c>
      <c r="Q359">
        <v>20</v>
      </c>
      <c r="R359">
        <v>14</v>
      </c>
      <c r="S359">
        <v>3.3938533016168901</v>
      </c>
      <c r="T359">
        <v>2.7193452665566298</v>
      </c>
      <c r="U359">
        <v>3.3363428778751398</v>
      </c>
      <c r="V359">
        <v>2.2487025378658299</v>
      </c>
      <c r="W359">
        <v>183.83468930976699</v>
      </c>
      <c r="X359">
        <v>181.62173643883401</v>
      </c>
      <c r="Y359">
        <v>183.64600681717599</v>
      </c>
      <c r="Z359">
        <v>180.077632998247</v>
      </c>
      <c r="AA359">
        <v>0</v>
      </c>
      <c r="AB359">
        <v>0</v>
      </c>
      <c r="AC359">
        <v>0</v>
      </c>
      <c r="AD359">
        <v>1</v>
      </c>
      <c r="AE359">
        <v>10</v>
      </c>
    </row>
    <row r="360" spans="2:31" x14ac:dyDescent="0.3">
      <c r="B360" t="s">
        <v>48</v>
      </c>
      <c r="C360">
        <v>4.0066088393225903E-2</v>
      </c>
      <c r="D360">
        <v>9.7067327550598895E-2</v>
      </c>
      <c r="E360">
        <v>0</v>
      </c>
      <c r="F360">
        <v>0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1</v>
      </c>
      <c r="M360">
        <v>0</v>
      </c>
      <c r="N360">
        <v>0.17849999999999999</v>
      </c>
      <c r="O360">
        <v>32</v>
      </c>
      <c r="P360">
        <v>24</v>
      </c>
      <c r="Q360">
        <v>17</v>
      </c>
      <c r="R360">
        <v>20</v>
      </c>
      <c r="S360">
        <v>3.3079097647092199</v>
      </c>
      <c r="T360">
        <v>3.3938533016168901</v>
      </c>
      <c r="U360">
        <v>3.0493745724987602</v>
      </c>
      <c r="V360">
        <v>3.3363428778751398</v>
      </c>
      <c r="W360">
        <v>183.552722325161</v>
      </c>
      <c r="X360">
        <v>183.83468930976699</v>
      </c>
      <c r="Y360">
        <v>182.70450975229301</v>
      </c>
      <c r="Z360">
        <v>183.64600681717599</v>
      </c>
      <c r="AA360">
        <v>0</v>
      </c>
      <c r="AB360">
        <v>0</v>
      </c>
      <c r="AC360">
        <v>0</v>
      </c>
      <c r="AD360">
        <v>1</v>
      </c>
      <c r="AE360">
        <v>14</v>
      </c>
    </row>
    <row r="361" spans="2:31" x14ac:dyDescent="0.3">
      <c r="B361" t="s">
        <v>49</v>
      </c>
      <c r="C361">
        <v>6.6776813988709896E-2</v>
      </c>
      <c r="D361">
        <v>4.0066088393225903E-2</v>
      </c>
      <c r="E361">
        <v>0</v>
      </c>
      <c r="F361">
        <v>0</v>
      </c>
      <c r="G361">
        <v>0</v>
      </c>
      <c r="H361">
        <v>1</v>
      </c>
      <c r="I361">
        <v>0</v>
      </c>
      <c r="J361">
        <v>0</v>
      </c>
      <c r="K361">
        <v>1</v>
      </c>
      <c r="L361">
        <v>0</v>
      </c>
      <c r="M361">
        <v>0.60550000000000004</v>
      </c>
      <c r="N361">
        <v>0</v>
      </c>
      <c r="O361">
        <v>32</v>
      </c>
      <c r="P361">
        <v>32</v>
      </c>
      <c r="Q361">
        <v>24</v>
      </c>
      <c r="R361">
        <v>17</v>
      </c>
      <c r="S361">
        <v>3.4258276680225901</v>
      </c>
      <c r="T361">
        <v>3.3079097647092199</v>
      </c>
      <c r="U361">
        <v>3.1129905151449702</v>
      </c>
      <c r="V361">
        <v>3.0493745724987602</v>
      </c>
      <c r="W361">
        <v>183.93959208668801</v>
      </c>
      <c r="X361">
        <v>183.552722325161</v>
      </c>
      <c r="Y361">
        <v>182.913223474885</v>
      </c>
      <c r="Z361">
        <v>182.70450975229301</v>
      </c>
      <c r="AA361">
        <v>0</v>
      </c>
      <c r="AB361">
        <v>0</v>
      </c>
      <c r="AC361">
        <v>0</v>
      </c>
      <c r="AD361">
        <v>1</v>
      </c>
      <c r="AE361">
        <v>5</v>
      </c>
    </row>
    <row r="362" spans="2:31" x14ac:dyDescent="0.3">
      <c r="B362" t="s">
        <v>50</v>
      </c>
      <c r="C362">
        <v>6.0994079581440201E-2</v>
      </c>
      <c r="D362">
        <v>6.6776813988709896E-2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1</v>
      </c>
      <c r="L362">
        <v>0</v>
      </c>
      <c r="M362">
        <v>0.38150000000000001</v>
      </c>
      <c r="N362">
        <v>0.60550000000000004</v>
      </c>
      <c r="O362">
        <v>34</v>
      </c>
      <c r="P362">
        <v>32</v>
      </c>
      <c r="Q362">
        <v>17</v>
      </c>
      <c r="R362">
        <v>24</v>
      </c>
      <c r="S362">
        <v>3.4724997887116098</v>
      </c>
      <c r="T362">
        <v>3.4258276680225901</v>
      </c>
      <c r="U362">
        <v>3.0644223186603998</v>
      </c>
      <c r="V362">
        <v>3.1129905151449702</v>
      </c>
      <c r="W362">
        <v>184.09271584223001</v>
      </c>
      <c r="X362">
        <v>183.93959208668801</v>
      </c>
      <c r="Y362">
        <v>182.75387899822999</v>
      </c>
      <c r="Z362">
        <v>182.913223474885</v>
      </c>
      <c r="AA362">
        <v>0</v>
      </c>
      <c r="AB362">
        <v>0</v>
      </c>
      <c r="AC362">
        <v>0</v>
      </c>
      <c r="AD362">
        <v>1</v>
      </c>
      <c r="AE362">
        <v>39</v>
      </c>
    </row>
    <row r="363" spans="2:31" x14ac:dyDescent="0.3">
      <c r="B363" t="s">
        <v>51</v>
      </c>
      <c r="C363">
        <v>0.14209004543577</v>
      </c>
      <c r="D363">
        <v>6.0994079581440201E-2</v>
      </c>
      <c r="E363">
        <v>0</v>
      </c>
      <c r="F363">
        <v>0</v>
      </c>
      <c r="G363">
        <v>1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0.38150000000000001</v>
      </c>
      <c r="O363">
        <v>35</v>
      </c>
      <c r="P363">
        <v>34</v>
      </c>
      <c r="Q363">
        <v>17</v>
      </c>
      <c r="R363">
        <v>17</v>
      </c>
      <c r="S363">
        <v>3.4385564590342201</v>
      </c>
      <c r="T363">
        <v>3.4724997887116098</v>
      </c>
      <c r="U363">
        <v>3.0168855286656102</v>
      </c>
      <c r="V363">
        <v>3.0644223186603998</v>
      </c>
      <c r="W363">
        <v>183.98135321205501</v>
      </c>
      <c r="X363">
        <v>184.09271584223001</v>
      </c>
      <c r="Y363">
        <v>182.597918401134</v>
      </c>
      <c r="Z363">
        <v>182.75387899822999</v>
      </c>
      <c r="AA363">
        <v>0</v>
      </c>
      <c r="AB363">
        <v>0</v>
      </c>
      <c r="AC363">
        <v>0</v>
      </c>
      <c r="AD363">
        <v>1</v>
      </c>
      <c r="AE363">
        <v>147</v>
      </c>
    </row>
    <row r="364" spans="2:31" x14ac:dyDescent="0.3">
      <c r="B364" t="s">
        <v>52</v>
      </c>
      <c r="C364">
        <v>0.27110009637890697</v>
      </c>
      <c r="D364">
        <v>0.14209004543577</v>
      </c>
      <c r="E364">
        <v>1</v>
      </c>
      <c r="F364">
        <v>0</v>
      </c>
      <c r="G364">
        <v>0</v>
      </c>
      <c r="H364">
        <v>1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0</v>
      </c>
      <c r="O364">
        <v>25</v>
      </c>
      <c r="P364">
        <v>35</v>
      </c>
      <c r="Q364">
        <v>16</v>
      </c>
      <c r="R364">
        <v>17</v>
      </c>
      <c r="S364">
        <v>3.1924475923686302</v>
      </c>
      <c r="T364">
        <v>3.4385564590342201</v>
      </c>
      <c r="U364">
        <v>2.4097026812121398</v>
      </c>
      <c r="V364">
        <v>3.0168855286656102</v>
      </c>
      <c r="W364">
        <v>183.17390942378199</v>
      </c>
      <c r="X364">
        <v>183.98135321205501</v>
      </c>
      <c r="Y364">
        <v>180.605848691641</v>
      </c>
      <c r="Z364">
        <v>182.597918401134</v>
      </c>
      <c r="AA364">
        <v>0</v>
      </c>
      <c r="AB364">
        <v>0</v>
      </c>
      <c r="AC364">
        <v>0</v>
      </c>
      <c r="AD364">
        <v>1</v>
      </c>
      <c r="AE364">
        <v>34</v>
      </c>
    </row>
    <row r="365" spans="2:31" x14ac:dyDescent="0.3">
      <c r="B365" t="s">
        <v>53</v>
      </c>
      <c r="C365">
        <v>0.32190554867134802</v>
      </c>
      <c r="D365">
        <v>0.27110009637890697</v>
      </c>
      <c r="E365">
        <v>0</v>
      </c>
      <c r="F365">
        <v>1</v>
      </c>
      <c r="G365">
        <v>1</v>
      </c>
      <c r="H365">
        <v>0</v>
      </c>
      <c r="I365">
        <v>0</v>
      </c>
      <c r="J365">
        <v>0</v>
      </c>
      <c r="K365">
        <v>1</v>
      </c>
      <c r="L365">
        <v>0</v>
      </c>
      <c r="M365">
        <v>0.13300000000000001</v>
      </c>
      <c r="N365">
        <v>0</v>
      </c>
      <c r="O365">
        <v>36</v>
      </c>
      <c r="P365">
        <v>25</v>
      </c>
      <c r="Q365">
        <v>17</v>
      </c>
      <c r="R365">
        <v>16</v>
      </c>
      <c r="S365">
        <v>3.2709531642576102</v>
      </c>
      <c r="T365">
        <v>3.1924475923686302</v>
      </c>
      <c r="U365">
        <v>2.5540484960878702</v>
      </c>
      <c r="V365">
        <v>2.4097026812121398</v>
      </c>
      <c r="W365">
        <v>183.43147363601599</v>
      </c>
      <c r="X365">
        <v>183.17390942378199</v>
      </c>
      <c r="Y365">
        <v>181.079424199763</v>
      </c>
      <c r="Z365">
        <v>180.605848691641</v>
      </c>
      <c r="AA365">
        <v>0</v>
      </c>
      <c r="AB365">
        <v>0</v>
      </c>
      <c r="AC365">
        <v>0</v>
      </c>
      <c r="AD365">
        <v>1</v>
      </c>
      <c r="AE365">
        <v>235</v>
      </c>
    </row>
    <row r="366" spans="2:31" x14ac:dyDescent="0.3">
      <c r="B366" t="s">
        <v>54</v>
      </c>
      <c r="C366">
        <v>9.7067327550598895E-2</v>
      </c>
      <c r="D366">
        <v>0.32190554867134802</v>
      </c>
      <c r="E366">
        <v>0</v>
      </c>
      <c r="F366">
        <v>0</v>
      </c>
      <c r="G366">
        <v>1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0.13300000000000001</v>
      </c>
      <c r="O366">
        <v>37</v>
      </c>
      <c r="P366">
        <v>36</v>
      </c>
      <c r="Q366">
        <v>25</v>
      </c>
      <c r="R366">
        <v>17</v>
      </c>
      <c r="S366">
        <v>3.5795403580946998</v>
      </c>
      <c r="T366">
        <v>3.2709531642576102</v>
      </c>
      <c r="U366">
        <v>2.8584819889750199</v>
      </c>
      <c r="V366">
        <v>2.5540484960878702</v>
      </c>
      <c r="W366">
        <v>184.44389881264701</v>
      </c>
      <c r="X366">
        <v>183.43147363601599</v>
      </c>
      <c r="Y366">
        <v>182.07822174860601</v>
      </c>
      <c r="Z366">
        <v>181.079424199763</v>
      </c>
      <c r="AA366">
        <v>0</v>
      </c>
      <c r="AB366">
        <v>0</v>
      </c>
      <c r="AC366">
        <v>0</v>
      </c>
      <c r="AD366">
        <v>1</v>
      </c>
      <c r="AE366">
        <v>66</v>
      </c>
    </row>
    <row r="367" spans="2:31" x14ac:dyDescent="0.3">
      <c r="B367" t="s">
        <v>55</v>
      </c>
      <c r="C367">
        <v>4.0066088393225903E-2</v>
      </c>
      <c r="D367">
        <v>9.7067327550598895E-2</v>
      </c>
      <c r="E367">
        <v>0</v>
      </c>
      <c r="F367">
        <v>0</v>
      </c>
      <c r="G367">
        <v>1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30</v>
      </c>
      <c r="P367">
        <v>37</v>
      </c>
      <c r="Q367">
        <v>21</v>
      </c>
      <c r="R367">
        <v>25</v>
      </c>
      <c r="S367">
        <v>2.7499298514865602</v>
      </c>
      <c r="T367">
        <v>3.5795403580946998</v>
      </c>
      <c r="U367">
        <v>2.5393067445887598</v>
      </c>
      <c r="V367">
        <v>2.8584819889750199</v>
      </c>
      <c r="W367">
        <v>181.722079565245</v>
      </c>
      <c r="X367">
        <v>184.44389881264701</v>
      </c>
      <c r="Y367">
        <v>181.03105887332299</v>
      </c>
      <c r="Z367">
        <v>182.07822174860601</v>
      </c>
      <c r="AA367">
        <v>0</v>
      </c>
      <c r="AB367">
        <v>0</v>
      </c>
      <c r="AC367">
        <v>0</v>
      </c>
      <c r="AD367">
        <v>1</v>
      </c>
      <c r="AE367">
        <v>10</v>
      </c>
    </row>
    <row r="368" spans="2:31" x14ac:dyDescent="0.3">
      <c r="B368" t="s">
        <v>56</v>
      </c>
      <c r="C368">
        <v>6.6776813988709896E-2</v>
      </c>
      <c r="D368">
        <v>4.0066088393225903E-2</v>
      </c>
      <c r="E368">
        <v>0</v>
      </c>
      <c r="F368">
        <v>0</v>
      </c>
      <c r="G368">
        <v>0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0.85399999999999998</v>
      </c>
      <c r="N368">
        <v>0</v>
      </c>
      <c r="O368">
        <v>36</v>
      </c>
      <c r="P368">
        <v>30</v>
      </c>
      <c r="Q368">
        <v>23</v>
      </c>
      <c r="R368">
        <v>21</v>
      </c>
      <c r="S368">
        <v>3.1368580167499398</v>
      </c>
      <c r="T368">
        <v>2.7499298514865602</v>
      </c>
      <c r="U368">
        <v>2.3225679048907302</v>
      </c>
      <c r="V368">
        <v>2.5393067445887598</v>
      </c>
      <c r="W368">
        <v>182.99152892634501</v>
      </c>
      <c r="X368">
        <v>181.722079565245</v>
      </c>
      <c r="Y368">
        <v>180.31997344124301</v>
      </c>
      <c r="Z368">
        <v>181.03105887332299</v>
      </c>
      <c r="AA368">
        <v>0</v>
      </c>
      <c r="AB368">
        <v>0</v>
      </c>
      <c r="AC368">
        <v>0</v>
      </c>
      <c r="AD368">
        <v>1</v>
      </c>
      <c r="AE368">
        <v>23</v>
      </c>
    </row>
    <row r="369" spans="2:31" x14ac:dyDescent="0.3">
      <c r="B369" t="s">
        <v>57</v>
      </c>
      <c r="C369">
        <v>6.0994079581440201E-2</v>
      </c>
      <c r="D369">
        <v>6.6776813988709896E-2</v>
      </c>
      <c r="E369">
        <v>0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0</v>
      </c>
      <c r="N369">
        <v>0.85399999999999998</v>
      </c>
      <c r="O369">
        <v>30</v>
      </c>
      <c r="P369">
        <v>36</v>
      </c>
      <c r="Q369">
        <v>17</v>
      </c>
      <c r="R369">
        <v>23</v>
      </c>
      <c r="S369">
        <v>2.7625156939890601</v>
      </c>
      <c r="T369">
        <v>3.1368580167499398</v>
      </c>
      <c r="U369">
        <v>2.6574299244520501</v>
      </c>
      <c r="V369">
        <v>2.3225679048907302</v>
      </c>
      <c r="W369">
        <v>181.76337169943901</v>
      </c>
      <c r="X369">
        <v>182.99152892634501</v>
      </c>
      <c r="Y369">
        <v>181.418602114344</v>
      </c>
      <c r="Z369">
        <v>180.31997344124301</v>
      </c>
      <c r="AA369">
        <v>0</v>
      </c>
      <c r="AB369">
        <v>0</v>
      </c>
      <c r="AC369">
        <v>0</v>
      </c>
      <c r="AD369">
        <v>1</v>
      </c>
      <c r="AE369">
        <v>37</v>
      </c>
    </row>
    <row r="370" spans="2:31" x14ac:dyDescent="0.3">
      <c r="B370" t="s">
        <v>58</v>
      </c>
      <c r="C370">
        <v>0.14209004543577</v>
      </c>
      <c r="D370">
        <v>6.0994079581440201E-2</v>
      </c>
      <c r="E370">
        <v>0</v>
      </c>
      <c r="F370">
        <v>0</v>
      </c>
      <c r="G370">
        <v>1</v>
      </c>
      <c r="H370">
        <v>0</v>
      </c>
      <c r="I370">
        <v>0</v>
      </c>
      <c r="J370">
        <v>1</v>
      </c>
      <c r="K370">
        <v>0</v>
      </c>
      <c r="L370">
        <v>0</v>
      </c>
      <c r="M370">
        <v>1.5645</v>
      </c>
      <c r="N370">
        <v>0</v>
      </c>
      <c r="O370">
        <v>37</v>
      </c>
      <c r="P370">
        <v>30</v>
      </c>
      <c r="Q370">
        <v>21</v>
      </c>
      <c r="R370">
        <v>17</v>
      </c>
      <c r="S370">
        <v>2.8960080039462901</v>
      </c>
      <c r="T370">
        <v>2.7625156939890601</v>
      </c>
      <c r="U370">
        <v>2.48240187557494</v>
      </c>
      <c r="V370">
        <v>2.6574299244520501</v>
      </c>
      <c r="W370">
        <v>182.20133859562401</v>
      </c>
      <c r="X370">
        <v>181.76337169943901</v>
      </c>
      <c r="Y370">
        <v>180.844363108842</v>
      </c>
      <c r="Z370">
        <v>181.418602114344</v>
      </c>
      <c r="AA370">
        <v>0</v>
      </c>
      <c r="AB370">
        <v>0</v>
      </c>
      <c r="AC370">
        <v>0</v>
      </c>
      <c r="AD370">
        <v>1</v>
      </c>
      <c r="AE370">
        <v>82</v>
      </c>
    </row>
    <row r="371" spans="2:31" x14ac:dyDescent="0.3">
      <c r="B371" t="s">
        <v>59</v>
      </c>
      <c r="C371">
        <v>0.27110009637890697</v>
      </c>
      <c r="D371">
        <v>0.14209004543577</v>
      </c>
      <c r="E371">
        <v>0</v>
      </c>
      <c r="F371">
        <v>0</v>
      </c>
      <c r="G371">
        <v>1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1.5645</v>
      </c>
      <c r="O371">
        <v>39</v>
      </c>
      <c r="P371">
        <v>37</v>
      </c>
      <c r="Q371">
        <v>17</v>
      </c>
      <c r="R371">
        <v>21</v>
      </c>
      <c r="S371">
        <v>2.6469655637469098</v>
      </c>
      <c r="T371">
        <v>2.8960080039462901</v>
      </c>
      <c r="U371">
        <v>2.04291049626669</v>
      </c>
      <c r="V371">
        <v>2.48240187557494</v>
      </c>
      <c r="W371">
        <v>181.38427022226699</v>
      </c>
      <c r="X371">
        <v>182.20133859562401</v>
      </c>
      <c r="Y371">
        <v>179.40246225809301</v>
      </c>
      <c r="Z371">
        <v>180.844363108842</v>
      </c>
      <c r="AA371">
        <v>0</v>
      </c>
      <c r="AB371">
        <v>0</v>
      </c>
      <c r="AC371">
        <v>0</v>
      </c>
      <c r="AD371">
        <v>1</v>
      </c>
      <c r="AE371">
        <v>165</v>
      </c>
    </row>
    <row r="372" spans="2:31" x14ac:dyDescent="0.3">
      <c r="B372" t="s">
        <v>60</v>
      </c>
      <c r="C372">
        <v>0.32190554867134802</v>
      </c>
      <c r="D372">
        <v>0.27110009637890697</v>
      </c>
      <c r="E372">
        <v>0</v>
      </c>
      <c r="F372">
        <v>0</v>
      </c>
      <c r="G372">
        <v>1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0</v>
      </c>
      <c r="N372">
        <v>0</v>
      </c>
      <c r="O372">
        <v>40</v>
      </c>
      <c r="P372">
        <v>39</v>
      </c>
      <c r="Q372">
        <v>21</v>
      </c>
      <c r="R372">
        <v>17</v>
      </c>
      <c r="S372">
        <v>3.10520636080365</v>
      </c>
      <c r="T372">
        <v>2.6469655637469098</v>
      </c>
      <c r="U372">
        <v>2.5508359054991399</v>
      </c>
      <c r="V372">
        <v>2.04291049626669</v>
      </c>
      <c r="W372">
        <v>182.887684910773</v>
      </c>
      <c r="X372">
        <v>181.38427022226699</v>
      </c>
      <c r="Y372">
        <v>181.06888420439401</v>
      </c>
      <c r="Z372">
        <v>179.40246225809301</v>
      </c>
      <c r="AA372">
        <v>0</v>
      </c>
      <c r="AB372">
        <v>0</v>
      </c>
      <c r="AC372">
        <v>0</v>
      </c>
      <c r="AD372">
        <v>1</v>
      </c>
      <c r="AE372">
        <v>222</v>
      </c>
    </row>
    <row r="373" spans="2:31" x14ac:dyDescent="0.3">
      <c r="B373" t="s">
        <v>61</v>
      </c>
      <c r="C373">
        <v>9.7067327550598895E-2</v>
      </c>
      <c r="D373">
        <v>0.32190554867134802</v>
      </c>
      <c r="E373">
        <v>0</v>
      </c>
      <c r="F373">
        <v>0</v>
      </c>
      <c r="G373">
        <v>1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0</v>
      </c>
      <c r="O373">
        <v>38</v>
      </c>
      <c r="P373">
        <v>40</v>
      </c>
      <c r="Q373">
        <v>24</v>
      </c>
      <c r="R373">
        <v>21</v>
      </c>
      <c r="S373">
        <v>3.4800308881612199</v>
      </c>
      <c r="T373">
        <v>3.10520636080365</v>
      </c>
      <c r="U373">
        <v>2.4881310713168898</v>
      </c>
      <c r="V373">
        <v>2.5508359054991399</v>
      </c>
      <c r="W373">
        <v>184.117424173757</v>
      </c>
      <c r="X373">
        <v>182.887684910773</v>
      </c>
      <c r="Y373">
        <v>180.863159682798</v>
      </c>
      <c r="Z373">
        <v>181.06888420439401</v>
      </c>
      <c r="AA373">
        <v>0</v>
      </c>
      <c r="AB373">
        <v>0</v>
      </c>
      <c r="AC373">
        <v>0</v>
      </c>
      <c r="AD373">
        <v>1</v>
      </c>
      <c r="AE373">
        <v>23</v>
      </c>
    </row>
    <row r="374" spans="2:31" x14ac:dyDescent="0.3">
      <c r="B374" t="s">
        <v>62</v>
      </c>
      <c r="C374">
        <v>4.0066088393225903E-2</v>
      </c>
      <c r="D374">
        <v>9.7067327550598895E-2</v>
      </c>
      <c r="E374">
        <v>0</v>
      </c>
      <c r="F374">
        <v>0</v>
      </c>
      <c r="G374">
        <v>1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7.0000000000000007E-2</v>
      </c>
      <c r="N374">
        <v>0</v>
      </c>
      <c r="O374">
        <v>30</v>
      </c>
      <c r="P374">
        <v>38</v>
      </c>
      <c r="Q374">
        <v>29</v>
      </c>
      <c r="R374">
        <v>24</v>
      </c>
      <c r="S374">
        <v>3.13985784568598</v>
      </c>
      <c r="T374">
        <v>3.4800308881612199</v>
      </c>
      <c r="U374">
        <v>2.9860484256084301</v>
      </c>
      <c r="V374">
        <v>2.4881310713168898</v>
      </c>
      <c r="W374">
        <v>183.00137088479701</v>
      </c>
      <c r="X374">
        <v>184.117424173757</v>
      </c>
      <c r="Y374">
        <v>182.49674680317699</v>
      </c>
      <c r="Z374">
        <v>180.863159682798</v>
      </c>
      <c r="AA374">
        <v>0</v>
      </c>
      <c r="AB374">
        <v>0</v>
      </c>
      <c r="AC374">
        <v>0</v>
      </c>
      <c r="AD374">
        <v>1</v>
      </c>
      <c r="AE374">
        <v>2</v>
      </c>
    </row>
    <row r="375" spans="2:31" x14ac:dyDescent="0.3">
      <c r="B375" t="s">
        <v>63</v>
      </c>
      <c r="C375">
        <v>6.6776813988709896E-2</v>
      </c>
      <c r="D375">
        <v>4.0066088393225903E-2</v>
      </c>
      <c r="E375">
        <v>0</v>
      </c>
      <c r="F375">
        <v>0</v>
      </c>
      <c r="G375">
        <v>1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0.42699999999999999</v>
      </c>
      <c r="N375">
        <v>7.0000000000000007E-2</v>
      </c>
      <c r="O375">
        <v>32</v>
      </c>
      <c r="P375">
        <v>30</v>
      </c>
      <c r="Q375">
        <v>20</v>
      </c>
      <c r="R375">
        <v>29</v>
      </c>
      <c r="S375">
        <v>3.1243782280999501</v>
      </c>
      <c r="T375">
        <v>3.13985784568598</v>
      </c>
      <c r="U375">
        <v>2.99421567920424</v>
      </c>
      <c r="V375">
        <v>2.9860484256084301</v>
      </c>
      <c r="W375">
        <v>182.95058473786099</v>
      </c>
      <c r="X375">
        <v>183.00137088479701</v>
      </c>
      <c r="Y375">
        <v>182.52354225460701</v>
      </c>
      <c r="Z375">
        <v>182.49674680317699</v>
      </c>
      <c r="AA375">
        <v>0</v>
      </c>
      <c r="AB375">
        <v>0</v>
      </c>
      <c r="AC375">
        <v>0</v>
      </c>
      <c r="AD375">
        <v>1</v>
      </c>
      <c r="AE375">
        <v>24</v>
      </c>
    </row>
    <row r="376" spans="2:31" x14ac:dyDescent="0.3">
      <c r="B376" t="s">
        <v>64</v>
      </c>
      <c r="C376">
        <v>6.0994079581440201E-2</v>
      </c>
      <c r="D376">
        <v>6.6776813988709896E-2</v>
      </c>
      <c r="E376">
        <v>0</v>
      </c>
      <c r="F376">
        <v>0</v>
      </c>
      <c r="G376">
        <v>1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0.42699999999999999</v>
      </c>
      <c r="O376">
        <v>36</v>
      </c>
      <c r="P376">
        <v>32</v>
      </c>
      <c r="Q376">
        <v>14</v>
      </c>
      <c r="R376">
        <v>20</v>
      </c>
      <c r="S376">
        <v>2.6118477959600099</v>
      </c>
      <c r="T376">
        <v>3.1243782280999501</v>
      </c>
      <c r="U376">
        <v>2.0563478732415699</v>
      </c>
      <c r="V376">
        <v>2.99421567920424</v>
      </c>
      <c r="W376">
        <v>181.269054448688</v>
      </c>
      <c r="X376">
        <v>182.95058473786099</v>
      </c>
      <c r="Y376">
        <v>179.44654814055599</v>
      </c>
      <c r="Z376">
        <v>182.52354225460701</v>
      </c>
      <c r="AA376">
        <v>0</v>
      </c>
      <c r="AB376">
        <v>0</v>
      </c>
      <c r="AC376">
        <v>0</v>
      </c>
      <c r="AD376">
        <v>1</v>
      </c>
      <c r="AE376">
        <v>52</v>
      </c>
    </row>
    <row r="377" spans="2:31" x14ac:dyDescent="0.3">
      <c r="B377" t="s">
        <v>65</v>
      </c>
      <c r="C377">
        <v>0.14209004543577</v>
      </c>
      <c r="D377">
        <v>6.0994079581440201E-2</v>
      </c>
      <c r="E377">
        <v>0</v>
      </c>
      <c r="F377">
        <v>0</v>
      </c>
      <c r="G377">
        <v>1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34</v>
      </c>
      <c r="P377">
        <v>36</v>
      </c>
      <c r="Q377">
        <v>15</v>
      </c>
      <c r="R377">
        <v>14</v>
      </c>
      <c r="S377">
        <v>2.9116029069496601</v>
      </c>
      <c r="T377">
        <v>2.6118477959600099</v>
      </c>
      <c r="U377">
        <v>2.34821595120478</v>
      </c>
      <c r="V377">
        <v>2.0563478732415699</v>
      </c>
      <c r="W377">
        <v>182.25250297555701</v>
      </c>
      <c r="X377">
        <v>181.269054448688</v>
      </c>
      <c r="Y377">
        <v>180.40412057481899</v>
      </c>
      <c r="Z377">
        <v>179.44654814055599</v>
      </c>
      <c r="AA377">
        <v>0</v>
      </c>
      <c r="AB377">
        <v>0</v>
      </c>
      <c r="AC377">
        <v>0</v>
      </c>
      <c r="AD377">
        <v>1</v>
      </c>
      <c r="AE377">
        <v>84</v>
      </c>
    </row>
    <row r="378" spans="2:31" x14ac:dyDescent="0.3">
      <c r="B378" t="s">
        <v>66</v>
      </c>
      <c r="C378">
        <v>0.27110009637890697</v>
      </c>
      <c r="D378">
        <v>0.14209004543577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8.0500000000000002E-2</v>
      </c>
      <c r="N378">
        <v>0</v>
      </c>
      <c r="O378">
        <v>33</v>
      </c>
      <c r="P378">
        <v>34</v>
      </c>
      <c r="Q378">
        <v>20</v>
      </c>
      <c r="R378">
        <v>15</v>
      </c>
      <c r="S378">
        <v>2.86183639898193</v>
      </c>
      <c r="T378">
        <v>2.9116029069496601</v>
      </c>
      <c r="U378">
        <v>2.5199894389395001</v>
      </c>
      <c r="V378">
        <v>2.34821595120478</v>
      </c>
      <c r="W378">
        <v>182.08922703078099</v>
      </c>
      <c r="X378">
        <v>182.25250297555701</v>
      </c>
      <c r="Y378">
        <v>180.967681886284</v>
      </c>
      <c r="Z378">
        <v>180.40412057481899</v>
      </c>
      <c r="AA378">
        <v>0</v>
      </c>
      <c r="AB378">
        <v>0</v>
      </c>
      <c r="AC378">
        <v>0</v>
      </c>
      <c r="AD378">
        <v>1</v>
      </c>
      <c r="AE378">
        <v>53</v>
      </c>
    </row>
    <row r="379" spans="2:31" x14ac:dyDescent="0.3">
      <c r="B379" t="s">
        <v>67</v>
      </c>
      <c r="C379">
        <v>0.32190554867134802</v>
      </c>
      <c r="D379">
        <v>0.27110009637890697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4.5499999999999999E-2</v>
      </c>
      <c r="N379">
        <v>8.0500000000000002E-2</v>
      </c>
      <c r="O379">
        <v>37</v>
      </c>
      <c r="P379">
        <v>33</v>
      </c>
      <c r="Q379">
        <v>23</v>
      </c>
      <c r="R379">
        <v>20</v>
      </c>
      <c r="S379">
        <v>3.18445229705417</v>
      </c>
      <c r="T379">
        <v>2.86183639898193</v>
      </c>
      <c r="U379">
        <v>2.5734240928507099</v>
      </c>
      <c r="V379">
        <v>2.5199894389395001</v>
      </c>
      <c r="W379">
        <v>183.147678139942</v>
      </c>
      <c r="X379">
        <v>182.08922703078099</v>
      </c>
      <c r="Y379">
        <v>181.14299243061299</v>
      </c>
      <c r="Z379">
        <v>180.967681886284</v>
      </c>
      <c r="AA379">
        <v>0</v>
      </c>
      <c r="AB379">
        <v>0</v>
      </c>
      <c r="AC379">
        <v>0</v>
      </c>
      <c r="AD379">
        <v>1</v>
      </c>
      <c r="AE379">
        <v>206</v>
      </c>
    </row>
    <row r="380" spans="2:31" x14ac:dyDescent="0.3">
      <c r="B380" t="s">
        <v>68</v>
      </c>
      <c r="C380">
        <v>9.7067327550598895E-2</v>
      </c>
      <c r="D380">
        <v>0.32190554867134802</v>
      </c>
      <c r="E380">
        <v>0</v>
      </c>
      <c r="F380">
        <v>0</v>
      </c>
      <c r="G380">
        <v>1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9.8000000000000004E-2</v>
      </c>
      <c r="N380">
        <v>4.5499999999999999E-2</v>
      </c>
      <c r="O380">
        <v>41</v>
      </c>
      <c r="P380">
        <v>37</v>
      </c>
      <c r="Q380">
        <v>22</v>
      </c>
      <c r="R380">
        <v>23</v>
      </c>
      <c r="S380">
        <v>3.41783723669429</v>
      </c>
      <c r="T380">
        <v>3.18445229705417</v>
      </c>
      <c r="U380">
        <v>2.3312508809219801</v>
      </c>
      <c r="V380">
        <v>2.5734240928507099</v>
      </c>
      <c r="W380">
        <v>183.91337676080801</v>
      </c>
      <c r="X380">
        <v>183.147678139942</v>
      </c>
      <c r="Y380">
        <v>180.34846089541301</v>
      </c>
      <c r="Z380">
        <v>181.14299243061299</v>
      </c>
      <c r="AA380">
        <v>0</v>
      </c>
      <c r="AB380">
        <v>0</v>
      </c>
      <c r="AC380">
        <v>0</v>
      </c>
      <c r="AD380">
        <v>1</v>
      </c>
      <c r="AE380">
        <v>50</v>
      </c>
    </row>
    <row r="381" spans="2:31" x14ac:dyDescent="0.3">
      <c r="B381" t="s">
        <v>69</v>
      </c>
      <c r="C381">
        <v>4.0066088393225903E-2</v>
      </c>
      <c r="D381">
        <v>9.7067327550598895E-2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9.8000000000000004E-2</v>
      </c>
      <c r="O381">
        <v>37</v>
      </c>
      <c r="P381">
        <v>41</v>
      </c>
      <c r="Q381">
        <v>24</v>
      </c>
      <c r="R381">
        <v>22</v>
      </c>
      <c r="S381">
        <v>3.33719051888351</v>
      </c>
      <c r="T381">
        <v>3.41783723669429</v>
      </c>
      <c r="U381">
        <v>2.5009391887233599</v>
      </c>
      <c r="V381">
        <v>2.3312508809219801</v>
      </c>
      <c r="W381">
        <v>183.64878779161299</v>
      </c>
      <c r="X381">
        <v>183.91337676080801</v>
      </c>
      <c r="Y381">
        <v>180.90518106536501</v>
      </c>
      <c r="Z381">
        <v>180.34846089541301</v>
      </c>
      <c r="AA381">
        <v>0</v>
      </c>
      <c r="AB381">
        <v>0</v>
      </c>
      <c r="AC381">
        <v>0</v>
      </c>
      <c r="AD381">
        <v>1</v>
      </c>
      <c r="AE381">
        <v>43</v>
      </c>
    </row>
    <row r="382" spans="2:31" x14ac:dyDescent="0.3">
      <c r="B382" t="s">
        <v>70</v>
      </c>
      <c r="C382">
        <v>6.6776813988709896E-2</v>
      </c>
      <c r="D382">
        <v>4.0066088393225903E-2</v>
      </c>
      <c r="E382">
        <v>0</v>
      </c>
      <c r="F382">
        <v>0</v>
      </c>
      <c r="G382">
        <v>1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36</v>
      </c>
      <c r="P382">
        <v>37</v>
      </c>
      <c r="Q382">
        <v>22</v>
      </c>
      <c r="R382">
        <v>24</v>
      </c>
      <c r="S382">
        <v>2.9008732421152601</v>
      </c>
      <c r="T382">
        <v>3.33719051888351</v>
      </c>
      <c r="U382">
        <v>2.6434905583845199</v>
      </c>
      <c r="V382">
        <v>2.5009391887233599</v>
      </c>
      <c r="W382">
        <v>182.21730066310801</v>
      </c>
      <c r="X382">
        <v>183.64878779161299</v>
      </c>
      <c r="Y382">
        <v>181.372869286038</v>
      </c>
      <c r="Z382">
        <v>180.90518106536501</v>
      </c>
      <c r="AA382">
        <v>0</v>
      </c>
      <c r="AB382">
        <v>0</v>
      </c>
      <c r="AC382">
        <v>0</v>
      </c>
      <c r="AD382">
        <v>1</v>
      </c>
      <c r="AE382">
        <v>44</v>
      </c>
    </row>
    <row r="383" spans="2:31" x14ac:dyDescent="0.3">
      <c r="B383" t="s">
        <v>71</v>
      </c>
      <c r="C383">
        <v>6.0994079581440201E-2</v>
      </c>
      <c r="D383">
        <v>6.6776813988709896E-2</v>
      </c>
      <c r="E383">
        <v>0</v>
      </c>
      <c r="F383">
        <v>0</v>
      </c>
      <c r="G383">
        <v>1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0</v>
      </c>
      <c r="O383">
        <v>34</v>
      </c>
      <c r="P383">
        <v>36</v>
      </c>
      <c r="Q383">
        <v>19</v>
      </c>
      <c r="R383">
        <v>22</v>
      </c>
      <c r="S383">
        <v>2.9980706443925098</v>
      </c>
      <c r="T383">
        <v>2.9008732421152601</v>
      </c>
      <c r="U383">
        <v>2.37424303323108</v>
      </c>
      <c r="V383">
        <v>2.6434905583845199</v>
      </c>
      <c r="W383">
        <v>182.53618977819099</v>
      </c>
      <c r="X383">
        <v>182.21730066310801</v>
      </c>
      <c r="Y383">
        <v>180.48951126388201</v>
      </c>
      <c r="Z383">
        <v>181.372869286038</v>
      </c>
      <c r="AA383">
        <v>0</v>
      </c>
      <c r="AB383">
        <v>0</v>
      </c>
      <c r="AC383">
        <v>0</v>
      </c>
      <c r="AD383">
        <v>1</v>
      </c>
      <c r="AE383">
        <v>40</v>
      </c>
    </row>
    <row r="384" spans="2:31" x14ac:dyDescent="0.3">
      <c r="B384" t="s">
        <v>72</v>
      </c>
      <c r="C384">
        <v>0.14209004543577</v>
      </c>
      <c r="D384">
        <v>6.0994079581440201E-2</v>
      </c>
      <c r="E384">
        <v>0</v>
      </c>
      <c r="F384">
        <v>0</v>
      </c>
      <c r="G384">
        <v>1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35</v>
      </c>
      <c r="P384">
        <v>34</v>
      </c>
      <c r="Q384">
        <v>17</v>
      </c>
      <c r="R384">
        <v>19</v>
      </c>
      <c r="S384">
        <v>3.1525700049008698</v>
      </c>
      <c r="T384">
        <v>2.9980706443925098</v>
      </c>
      <c r="U384">
        <v>2.8098570459379002</v>
      </c>
      <c r="V384">
        <v>2.37424303323108</v>
      </c>
      <c r="W384">
        <v>183.04307744389999</v>
      </c>
      <c r="X384">
        <v>182.53618977819099</v>
      </c>
      <c r="Y384">
        <v>181.91869109559701</v>
      </c>
      <c r="Z384">
        <v>180.48951126388201</v>
      </c>
      <c r="AA384">
        <v>0</v>
      </c>
      <c r="AB384">
        <v>0</v>
      </c>
      <c r="AC384">
        <v>0</v>
      </c>
      <c r="AD384">
        <v>1</v>
      </c>
      <c r="AE384">
        <v>56</v>
      </c>
    </row>
    <row r="385" spans="2:31" x14ac:dyDescent="0.3">
      <c r="B385" t="s">
        <v>73</v>
      </c>
      <c r="C385">
        <v>0.27110009637890697</v>
      </c>
      <c r="D385">
        <v>0.14209004543577</v>
      </c>
      <c r="E385">
        <v>0</v>
      </c>
      <c r="F385">
        <v>0</v>
      </c>
      <c r="G385">
        <v>1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36</v>
      </c>
      <c r="P385">
        <v>35</v>
      </c>
      <c r="Q385">
        <v>17</v>
      </c>
      <c r="R385">
        <v>17</v>
      </c>
      <c r="S385">
        <v>3.15159135159342</v>
      </c>
      <c r="T385">
        <v>3.1525700049008698</v>
      </c>
      <c r="U385">
        <v>2.54550346672367</v>
      </c>
      <c r="V385">
        <v>2.8098570459379002</v>
      </c>
      <c r="W385">
        <v>183.039866639086</v>
      </c>
      <c r="X385">
        <v>183.04307744389999</v>
      </c>
      <c r="Y385">
        <v>181.05138932652099</v>
      </c>
      <c r="Z385">
        <v>181.91869109559701</v>
      </c>
      <c r="AA385">
        <v>0</v>
      </c>
      <c r="AB385">
        <v>0</v>
      </c>
      <c r="AC385">
        <v>0</v>
      </c>
      <c r="AD385">
        <v>1</v>
      </c>
      <c r="AE385">
        <v>201</v>
      </c>
    </row>
    <row r="386" spans="2:31" x14ac:dyDescent="0.3">
      <c r="B386" t="s">
        <v>74</v>
      </c>
      <c r="C386">
        <v>0.32190554867134802</v>
      </c>
      <c r="D386">
        <v>0.27110009637890697</v>
      </c>
      <c r="E386">
        <v>0</v>
      </c>
      <c r="F386">
        <v>0</v>
      </c>
      <c r="G386">
        <v>0</v>
      </c>
      <c r="H386">
        <v>0</v>
      </c>
      <c r="I386">
        <v>1</v>
      </c>
      <c r="J386">
        <v>1</v>
      </c>
      <c r="K386">
        <v>0</v>
      </c>
      <c r="L386">
        <v>0</v>
      </c>
      <c r="M386">
        <v>1.0500000000000001E-2</v>
      </c>
      <c r="N386">
        <v>0</v>
      </c>
      <c r="O386">
        <v>33</v>
      </c>
      <c r="P386">
        <v>36</v>
      </c>
      <c r="Q386">
        <v>20</v>
      </c>
      <c r="R386">
        <v>17</v>
      </c>
      <c r="S386">
        <v>2.9548104257557202</v>
      </c>
      <c r="T386">
        <v>3.15159135159342</v>
      </c>
      <c r="U386">
        <v>2.0890290475775899</v>
      </c>
      <c r="V386">
        <v>2.54550346672367</v>
      </c>
      <c r="W386">
        <v>182.39425992701999</v>
      </c>
      <c r="X386">
        <v>183.039866639086</v>
      </c>
      <c r="Y386">
        <v>179.553769841134</v>
      </c>
      <c r="Z386">
        <v>181.05138932652099</v>
      </c>
      <c r="AA386">
        <v>0</v>
      </c>
      <c r="AB386">
        <v>0</v>
      </c>
      <c r="AC386">
        <v>0</v>
      </c>
      <c r="AD386">
        <v>1</v>
      </c>
      <c r="AE386">
        <v>72</v>
      </c>
    </row>
    <row r="387" spans="2:31" x14ac:dyDescent="0.3">
      <c r="B387" t="s">
        <v>75</v>
      </c>
      <c r="C387">
        <v>9.7067327550598895E-2</v>
      </c>
      <c r="D387">
        <v>0.32190554867134802</v>
      </c>
      <c r="E387">
        <v>0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1</v>
      </c>
      <c r="M387">
        <v>1.0500000000000001E-2</v>
      </c>
      <c r="N387">
        <v>1.0500000000000001E-2</v>
      </c>
      <c r="O387">
        <v>34</v>
      </c>
      <c r="P387">
        <v>33</v>
      </c>
      <c r="Q387">
        <v>22</v>
      </c>
      <c r="R387">
        <v>20</v>
      </c>
      <c r="S387">
        <v>3.0343998355965001</v>
      </c>
      <c r="T387">
        <v>2.9548104257557202</v>
      </c>
      <c r="U387">
        <v>2.01759256858506</v>
      </c>
      <c r="V387">
        <v>2.0890290475775899</v>
      </c>
      <c r="W387">
        <v>182.65538003804599</v>
      </c>
      <c r="X387">
        <v>182.39425992701999</v>
      </c>
      <c r="Y387">
        <v>179.31939819089601</v>
      </c>
      <c r="Z387">
        <v>179.553769841134</v>
      </c>
      <c r="AA387">
        <v>0</v>
      </c>
      <c r="AB387">
        <v>0</v>
      </c>
      <c r="AC387">
        <v>0</v>
      </c>
      <c r="AD387">
        <v>1</v>
      </c>
      <c r="AE387">
        <v>13</v>
      </c>
    </row>
    <row r="388" spans="2:31" x14ac:dyDescent="0.3">
      <c r="B388" t="s">
        <v>76</v>
      </c>
      <c r="C388">
        <v>4.0066088393225903E-2</v>
      </c>
      <c r="D388">
        <v>9.7067327550598895E-2</v>
      </c>
      <c r="E388">
        <v>0</v>
      </c>
      <c r="F388">
        <v>0</v>
      </c>
      <c r="G388">
        <v>1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9.8000000000000004E-2</v>
      </c>
      <c r="N388">
        <v>1.0500000000000001E-2</v>
      </c>
      <c r="O388">
        <v>39</v>
      </c>
      <c r="P388">
        <v>34</v>
      </c>
      <c r="Q388">
        <v>24</v>
      </c>
      <c r="R388">
        <v>22</v>
      </c>
      <c r="S388">
        <v>3.0650637594290799</v>
      </c>
      <c r="T388">
        <v>3.0343998355965001</v>
      </c>
      <c r="U388">
        <v>2.1939091170890199</v>
      </c>
      <c r="V388">
        <v>2.01759256858506</v>
      </c>
      <c r="W388">
        <v>182.75598346269399</v>
      </c>
      <c r="X388">
        <v>182.65538003804599</v>
      </c>
      <c r="Y388">
        <v>179.89786455737899</v>
      </c>
      <c r="Z388">
        <v>179.31939819089601</v>
      </c>
      <c r="AA388">
        <v>0</v>
      </c>
      <c r="AB388">
        <v>0</v>
      </c>
      <c r="AC388">
        <v>0</v>
      </c>
      <c r="AD388">
        <v>1</v>
      </c>
      <c r="AE388">
        <v>26</v>
      </c>
    </row>
    <row r="389" spans="2:31" x14ac:dyDescent="0.3">
      <c r="B389" t="s">
        <v>77</v>
      </c>
      <c r="C389">
        <v>6.6776813988709896E-2</v>
      </c>
      <c r="D389">
        <v>4.0066088393225903E-2</v>
      </c>
      <c r="E389">
        <v>0</v>
      </c>
      <c r="F389">
        <v>0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9.8000000000000004E-2</v>
      </c>
      <c r="N389">
        <v>9.8000000000000004E-2</v>
      </c>
      <c r="O389">
        <v>42</v>
      </c>
      <c r="P389">
        <v>39</v>
      </c>
      <c r="Q389">
        <v>22</v>
      </c>
      <c r="R389">
        <v>24</v>
      </c>
      <c r="S389">
        <v>3.1292313971055998</v>
      </c>
      <c r="T389">
        <v>3.0650637594290799</v>
      </c>
      <c r="U389">
        <v>2.35252463415681</v>
      </c>
      <c r="V389">
        <v>2.1939091170890199</v>
      </c>
      <c r="W389">
        <v>182.966507208352</v>
      </c>
      <c r="X389">
        <v>182.75598346269399</v>
      </c>
      <c r="Y389">
        <v>180.418256673743</v>
      </c>
      <c r="Z389">
        <v>179.89786455737899</v>
      </c>
      <c r="AA389">
        <v>0</v>
      </c>
      <c r="AB389">
        <v>0</v>
      </c>
      <c r="AC389">
        <v>0</v>
      </c>
      <c r="AD389">
        <v>1</v>
      </c>
      <c r="AE389">
        <v>84</v>
      </c>
    </row>
    <row r="390" spans="2:31" x14ac:dyDescent="0.3">
      <c r="B390" t="s">
        <v>78</v>
      </c>
      <c r="C390">
        <v>6.0994079581440201E-2</v>
      </c>
      <c r="D390">
        <v>6.6776813988709896E-2</v>
      </c>
      <c r="E390">
        <v>0</v>
      </c>
      <c r="F390">
        <v>0</v>
      </c>
      <c r="G390">
        <v>0</v>
      </c>
      <c r="H390">
        <v>1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9.8000000000000004E-2</v>
      </c>
      <c r="O390">
        <v>32</v>
      </c>
      <c r="P390">
        <v>42</v>
      </c>
      <c r="Q390">
        <v>23</v>
      </c>
      <c r="R390">
        <v>22</v>
      </c>
      <c r="S390">
        <v>2.6643693170572398</v>
      </c>
      <c r="T390">
        <v>3.1292313971055998</v>
      </c>
      <c r="U390">
        <v>1.8217822633946701</v>
      </c>
      <c r="V390">
        <v>2.35252463415681</v>
      </c>
      <c r="W390">
        <v>181.44136915044999</v>
      </c>
      <c r="X390">
        <v>182.966507208352</v>
      </c>
      <c r="Y390">
        <v>178.67697592977299</v>
      </c>
      <c r="Z390">
        <v>180.418256673743</v>
      </c>
      <c r="AA390">
        <v>0</v>
      </c>
      <c r="AB390">
        <v>0</v>
      </c>
      <c r="AC390">
        <v>0</v>
      </c>
      <c r="AD390">
        <v>1</v>
      </c>
      <c r="AE390">
        <v>12</v>
      </c>
    </row>
    <row r="391" spans="2:31" x14ac:dyDescent="0.3">
      <c r="B391" t="s">
        <v>79</v>
      </c>
      <c r="C391">
        <v>0.14209004543577</v>
      </c>
      <c r="D391">
        <v>6.0994079581440201E-2</v>
      </c>
      <c r="E391">
        <v>0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1</v>
      </c>
      <c r="L391">
        <v>0</v>
      </c>
      <c r="M391">
        <v>0.59499999999999997</v>
      </c>
      <c r="N391">
        <v>0</v>
      </c>
      <c r="O391">
        <v>39</v>
      </c>
      <c r="P391">
        <v>32</v>
      </c>
      <c r="Q391">
        <v>20</v>
      </c>
      <c r="R391">
        <v>23</v>
      </c>
      <c r="S391">
        <v>3.1845510315906398</v>
      </c>
      <c r="T391">
        <v>2.6643693170572398</v>
      </c>
      <c r="U391">
        <v>2.4306595579105901</v>
      </c>
      <c r="V391">
        <v>1.8217822633946701</v>
      </c>
      <c r="W391">
        <v>183.14800207214799</v>
      </c>
      <c r="X391">
        <v>181.44136915044999</v>
      </c>
      <c r="Y391">
        <v>180.67460484878799</v>
      </c>
      <c r="Z391">
        <v>178.67697592977299</v>
      </c>
      <c r="AA391">
        <v>0</v>
      </c>
      <c r="AB391">
        <v>0</v>
      </c>
      <c r="AC391">
        <v>0</v>
      </c>
      <c r="AD391">
        <v>1</v>
      </c>
      <c r="AE391">
        <v>98</v>
      </c>
    </row>
    <row r="392" spans="2:31" x14ac:dyDescent="0.3">
      <c r="B392" t="s">
        <v>80</v>
      </c>
      <c r="C392">
        <v>0.27110009637890697</v>
      </c>
      <c r="D392">
        <v>0.14209004543577</v>
      </c>
      <c r="E392">
        <v>0</v>
      </c>
      <c r="F392">
        <v>0</v>
      </c>
      <c r="G392">
        <v>1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0.59499999999999997</v>
      </c>
      <c r="O392">
        <v>38</v>
      </c>
      <c r="P392">
        <v>39</v>
      </c>
      <c r="Q392">
        <v>18</v>
      </c>
      <c r="R392">
        <v>20</v>
      </c>
      <c r="S392">
        <v>3.0702347770718199</v>
      </c>
      <c r="T392">
        <v>3.1845510315906398</v>
      </c>
      <c r="U392">
        <v>2.4762564282218702</v>
      </c>
      <c r="V392">
        <v>2.4306595579105901</v>
      </c>
      <c r="W392">
        <v>182.77294874367399</v>
      </c>
      <c r="X392">
        <v>183.14800207214799</v>
      </c>
      <c r="Y392">
        <v>180.82420087999299</v>
      </c>
      <c r="Z392">
        <v>180.67460484878799</v>
      </c>
      <c r="AA392">
        <v>0</v>
      </c>
      <c r="AB392">
        <v>0</v>
      </c>
      <c r="AC392">
        <v>0</v>
      </c>
      <c r="AD392">
        <v>1</v>
      </c>
      <c r="AE392">
        <v>162</v>
      </c>
    </row>
    <row r="393" spans="2:31" x14ac:dyDescent="0.3">
      <c r="B393" t="s">
        <v>81</v>
      </c>
      <c r="C393">
        <v>0.32190554867134802</v>
      </c>
      <c r="D393">
        <v>0.27110009637890697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1.0500000000000001E-2</v>
      </c>
      <c r="N393">
        <v>0</v>
      </c>
      <c r="O393">
        <v>35</v>
      </c>
      <c r="P393">
        <v>38</v>
      </c>
      <c r="Q393">
        <v>16</v>
      </c>
      <c r="R393">
        <v>18</v>
      </c>
      <c r="S393">
        <v>2.9225071261839601</v>
      </c>
      <c r="T393">
        <v>3.0702347770718199</v>
      </c>
      <c r="U393">
        <v>2.4730295551910002</v>
      </c>
      <c r="V393">
        <v>2.4762564282218702</v>
      </c>
      <c r="W393">
        <v>182.28827797304399</v>
      </c>
      <c r="X393">
        <v>182.77294874367399</v>
      </c>
      <c r="Y393">
        <v>180.81361402621701</v>
      </c>
      <c r="Z393">
        <v>180.82420087999299</v>
      </c>
      <c r="AA393">
        <v>0</v>
      </c>
      <c r="AB393">
        <v>0</v>
      </c>
      <c r="AC393">
        <v>0</v>
      </c>
      <c r="AD393">
        <v>1</v>
      </c>
      <c r="AE393">
        <v>181</v>
      </c>
    </row>
    <row r="394" spans="2:31" x14ac:dyDescent="0.3">
      <c r="B394" t="s">
        <v>82</v>
      </c>
      <c r="C394">
        <v>9.7067327550598895E-2</v>
      </c>
      <c r="D394">
        <v>0.32190554867134802</v>
      </c>
      <c r="E394">
        <v>0</v>
      </c>
      <c r="F394">
        <v>0</v>
      </c>
      <c r="G394">
        <v>1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1.0500000000000001E-2</v>
      </c>
      <c r="O394">
        <v>36</v>
      </c>
      <c r="P394">
        <v>35</v>
      </c>
      <c r="Q394">
        <v>25</v>
      </c>
      <c r="R394">
        <v>16</v>
      </c>
      <c r="S394">
        <v>3.07297139599171</v>
      </c>
      <c r="T394">
        <v>2.9225071261839601</v>
      </c>
      <c r="U394">
        <v>2.4531760727929099</v>
      </c>
      <c r="V394">
        <v>2.4730295551910002</v>
      </c>
      <c r="W394">
        <v>182.78192715220399</v>
      </c>
      <c r="X394">
        <v>182.28827797304399</v>
      </c>
      <c r="Y394">
        <v>180.748477929111</v>
      </c>
      <c r="Z394">
        <v>180.81361402621701</v>
      </c>
      <c r="AA394">
        <v>0</v>
      </c>
      <c r="AB394">
        <v>0</v>
      </c>
      <c r="AC394">
        <v>0</v>
      </c>
      <c r="AD394">
        <v>1</v>
      </c>
      <c r="AE394">
        <v>57</v>
      </c>
    </row>
    <row r="395" spans="2:31" x14ac:dyDescent="0.3">
      <c r="B395" t="s">
        <v>83</v>
      </c>
      <c r="C395">
        <v>4.0066088393225903E-2</v>
      </c>
      <c r="D395">
        <v>9.7067327550598895E-2</v>
      </c>
      <c r="E395">
        <v>0</v>
      </c>
      <c r="F395">
        <v>0</v>
      </c>
      <c r="G395">
        <v>1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39</v>
      </c>
      <c r="P395">
        <v>36</v>
      </c>
      <c r="Q395">
        <v>25</v>
      </c>
      <c r="R395">
        <v>25</v>
      </c>
      <c r="S395">
        <v>2.9137838805893002</v>
      </c>
      <c r="T395">
        <v>3.07297139599171</v>
      </c>
      <c r="U395">
        <v>2.6340364929501301</v>
      </c>
      <c r="V395">
        <v>2.4531760727929099</v>
      </c>
      <c r="W395">
        <v>182.25965840088401</v>
      </c>
      <c r="X395">
        <v>182.78192715220399</v>
      </c>
      <c r="Y395">
        <v>181.341852010991</v>
      </c>
      <c r="Z395">
        <v>180.748477929111</v>
      </c>
      <c r="AA395">
        <v>0</v>
      </c>
      <c r="AB395">
        <v>0</v>
      </c>
      <c r="AC395">
        <v>0</v>
      </c>
      <c r="AD395">
        <v>1</v>
      </c>
      <c r="AE395">
        <v>22</v>
      </c>
    </row>
    <row r="396" spans="2:31" x14ac:dyDescent="0.3">
      <c r="B396" t="s">
        <v>0</v>
      </c>
      <c r="C396">
        <v>6.6776813988709896E-2</v>
      </c>
      <c r="D396">
        <v>4.0066088393225903E-2</v>
      </c>
      <c r="E396">
        <v>0</v>
      </c>
      <c r="F396">
        <v>0</v>
      </c>
      <c r="G396">
        <v>1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0.80149999999999999</v>
      </c>
      <c r="N396">
        <v>0</v>
      </c>
      <c r="O396">
        <v>36</v>
      </c>
      <c r="P396">
        <v>39</v>
      </c>
      <c r="Q396">
        <v>19</v>
      </c>
      <c r="R396">
        <v>25</v>
      </c>
      <c r="S396">
        <v>3.07236256765903</v>
      </c>
      <c r="T396">
        <v>2.9137838805893002</v>
      </c>
      <c r="U396">
        <v>2.1070720947334101</v>
      </c>
      <c r="V396">
        <v>2.6340364929501301</v>
      </c>
      <c r="W396">
        <v>182.77992968392101</v>
      </c>
      <c r="X396">
        <v>182.25965840088401</v>
      </c>
      <c r="Y396">
        <v>179.61296619007001</v>
      </c>
      <c r="Z396">
        <v>181.341852010991</v>
      </c>
      <c r="AA396">
        <v>0</v>
      </c>
      <c r="AB396">
        <v>0</v>
      </c>
      <c r="AC396">
        <v>0</v>
      </c>
      <c r="AD396">
        <v>1</v>
      </c>
      <c r="AE396">
        <v>44</v>
      </c>
    </row>
    <row r="397" spans="2:31" x14ac:dyDescent="0.3">
      <c r="B397" t="s">
        <v>84</v>
      </c>
      <c r="C397">
        <v>6.0994079581440201E-2</v>
      </c>
      <c r="D397">
        <v>6.6776813988709896E-2</v>
      </c>
      <c r="E397">
        <v>0</v>
      </c>
      <c r="F397">
        <v>0</v>
      </c>
      <c r="G397">
        <v>1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0.80149999999999999</v>
      </c>
      <c r="O397">
        <v>35</v>
      </c>
      <c r="P397">
        <v>36</v>
      </c>
      <c r="Q397">
        <v>18</v>
      </c>
      <c r="R397">
        <v>19</v>
      </c>
      <c r="S397">
        <v>3.18460900659742</v>
      </c>
      <c r="T397">
        <v>3.07236256765903</v>
      </c>
      <c r="U397">
        <v>2.2661937722477901</v>
      </c>
      <c r="V397">
        <v>2.1070720947334101</v>
      </c>
      <c r="W397">
        <v>183.14819227886301</v>
      </c>
      <c r="X397">
        <v>182.77992968392101</v>
      </c>
      <c r="Y397">
        <v>180.135018937821</v>
      </c>
      <c r="Z397">
        <v>179.61296619007001</v>
      </c>
      <c r="AA397">
        <v>0</v>
      </c>
      <c r="AB397">
        <v>0</v>
      </c>
      <c r="AC397">
        <v>0</v>
      </c>
      <c r="AD397">
        <v>1</v>
      </c>
      <c r="AE397">
        <v>42</v>
      </c>
    </row>
    <row r="398" spans="2:31" x14ac:dyDescent="0.3">
      <c r="B398" t="s">
        <v>85</v>
      </c>
      <c r="C398">
        <v>0.14209004543577</v>
      </c>
      <c r="D398">
        <v>6.0994079581440201E-2</v>
      </c>
      <c r="E398">
        <v>0</v>
      </c>
      <c r="F398">
        <v>0</v>
      </c>
      <c r="G398">
        <v>1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38</v>
      </c>
      <c r="P398">
        <v>35</v>
      </c>
      <c r="Q398">
        <v>20</v>
      </c>
      <c r="R398">
        <v>18</v>
      </c>
      <c r="S398">
        <v>3.3746451013868102</v>
      </c>
      <c r="T398">
        <v>3.18460900659742</v>
      </c>
      <c r="U398">
        <v>2.5978393725443398</v>
      </c>
      <c r="V398">
        <v>2.2661937722477901</v>
      </c>
      <c r="W398">
        <v>183.77167028014</v>
      </c>
      <c r="X398">
        <v>183.14819227886301</v>
      </c>
      <c r="Y398">
        <v>181.22309505427901</v>
      </c>
      <c r="Z398">
        <v>180.135018937821</v>
      </c>
      <c r="AA398">
        <v>0</v>
      </c>
      <c r="AB398">
        <v>0</v>
      </c>
      <c r="AC398">
        <v>0</v>
      </c>
      <c r="AD398">
        <v>1</v>
      </c>
      <c r="AE398">
        <v>71</v>
      </c>
    </row>
    <row r="399" spans="2:31" x14ac:dyDescent="0.3">
      <c r="B399" t="s">
        <v>86</v>
      </c>
      <c r="C399">
        <v>0.27110009637890697</v>
      </c>
      <c r="D399">
        <v>0.14209004543577</v>
      </c>
      <c r="E399">
        <v>0</v>
      </c>
      <c r="F399">
        <v>0</v>
      </c>
      <c r="G399">
        <v>1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0</v>
      </c>
      <c r="O399">
        <v>37</v>
      </c>
      <c r="P399">
        <v>38</v>
      </c>
      <c r="Q399">
        <v>16</v>
      </c>
      <c r="R399">
        <v>20</v>
      </c>
      <c r="S399">
        <v>3.1751559250586898</v>
      </c>
      <c r="T399">
        <v>3.3746451013868102</v>
      </c>
      <c r="U399">
        <v>2.4406601457865</v>
      </c>
      <c r="V399">
        <v>2.5978393725443398</v>
      </c>
      <c r="W399">
        <v>183.11717823181999</v>
      </c>
      <c r="X399">
        <v>183.77167028014</v>
      </c>
      <c r="Y399">
        <v>180.70741517646499</v>
      </c>
      <c r="Z399">
        <v>181.22309505427901</v>
      </c>
      <c r="AA399">
        <v>0</v>
      </c>
      <c r="AB399">
        <v>0</v>
      </c>
      <c r="AC399">
        <v>0</v>
      </c>
      <c r="AD399">
        <v>1</v>
      </c>
      <c r="AE399">
        <v>170</v>
      </c>
    </row>
    <row r="400" spans="2:31" x14ac:dyDescent="0.3">
      <c r="B400" t="s">
        <v>87</v>
      </c>
      <c r="C400">
        <v>0.32190554867134802</v>
      </c>
      <c r="D400">
        <v>0.27110009637890697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37</v>
      </c>
      <c r="P400">
        <v>37</v>
      </c>
      <c r="Q400">
        <v>18</v>
      </c>
      <c r="R400">
        <v>16</v>
      </c>
      <c r="S400">
        <v>2.8801967778942998</v>
      </c>
      <c r="T400">
        <v>3.1751559250586898</v>
      </c>
      <c r="U400">
        <v>2.1330767685969301</v>
      </c>
      <c r="V400">
        <v>2.4406601457865</v>
      </c>
      <c r="W400">
        <v>182.14946449440399</v>
      </c>
      <c r="X400">
        <v>183.11717823181999</v>
      </c>
      <c r="Y400">
        <v>179.69828336153799</v>
      </c>
      <c r="Z400">
        <v>180.70741517646499</v>
      </c>
      <c r="AA400">
        <v>0</v>
      </c>
      <c r="AB400">
        <v>0</v>
      </c>
      <c r="AC400">
        <v>0</v>
      </c>
      <c r="AD400">
        <v>1</v>
      </c>
      <c r="AE400">
        <v>183</v>
      </c>
    </row>
    <row r="401" spans="2:31" x14ac:dyDescent="0.3">
      <c r="B401" t="s">
        <v>88</v>
      </c>
      <c r="C401">
        <v>9.7067327550598895E-2</v>
      </c>
      <c r="D401">
        <v>0.32190554867134802</v>
      </c>
      <c r="E401">
        <v>0</v>
      </c>
      <c r="F401">
        <v>0</v>
      </c>
      <c r="G401">
        <v>1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34</v>
      </c>
      <c r="P401">
        <v>37</v>
      </c>
      <c r="Q401">
        <v>24</v>
      </c>
      <c r="R401">
        <v>18</v>
      </c>
      <c r="S401">
        <v>3.1084807673942101</v>
      </c>
      <c r="T401">
        <v>2.8801967778942998</v>
      </c>
      <c r="U401">
        <v>2.3978259627614502</v>
      </c>
      <c r="V401">
        <v>2.1330767685969301</v>
      </c>
      <c r="W401">
        <v>182.89842771454801</v>
      </c>
      <c r="X401">
        <v>182.14946449440399</v>
      </c>
      <c r="Y401">
        <v>180.56688307992599</v>
      </c>
      <c r="Z401">
        <v>179.69828336153799</v>
      </c>
      <c r="AA401">
        <v>0</v>
      </c>
      <c r="AB401">
        <v>0</v>
      </c>
      <c r="AC401">
        <v>0</v>
      </c>
      <c r="AD401">
        <v>1</v>
      </c>
      <c r="AE401">
        <v>42</v>
      </c>
    </row>
    <row r="402" spans="2:31" s="14" customFormat="1" x14ac:dyDescent="0.3">
      <c r="B402" s="14" t="s">
        <v>89</v>
      </c>
      <c r="C402" s="14">
        <v>6.6776813988709896E-2</v>
      </c>
      <c r="D402" s="14">
        <v>9.7067327550598895E-2</v>
      </c>
      <c r="E402" s="14">
        <v>0</v>
      </c>
      <c r="F402" s="14">
        <v>0</v>
      </c>
      <c r="G402" s="14">
        <v>1</v>
      </c>
      <c r="H402" s="14">
        <v>0</v>
      </c>
      <c r="I402" s="14">
        <v>0</v>
      </c>
      <c r="J402" s="14">
        <v>1</v>
      </c>
      <c r="K402" s="14">
        <v>0</v>
      </c>
      <c r="L402" s="14">
        <v>0</v>
      </c>
      <c r="M402" s="14">
        <v>0.92</v>
      </c>
      <c r="N402" s="14">
        <v>0</v>
      </c>
      <c r="O402" s="14">
        <v>36</v>
      </c>
      <c r="P402" s="14">
        <v>34</v>
      </c>
      <c r="Q402" s="14">
        <v>21</v>
      </c>
      <c r="R402" s="14">
        <v>24</v>
      </c>
      <c r="S402" s="14">
        <v>3.4134513736994498</v>
      </c>
      <c r="T402" s="14">
        <v>3.1084807673942101</v>
      </c>
      <c r="U402" s="14">
        <v>2.7274054233023302</v>
      </c>
      <c r="V402" s="14">
        <v>2.3978259627614502</v>
      </c>
      <c r="W402" s="14">
        <v>183.89898744652101</v>
      </c>
      <c r="X402" s="14">
        <v>182.89842771454801</v>
      </c>
      <c r="Y402" s="14">
        <v>181.64818052264499</v>
      </c>
      <c r="Z402" s="14">
        <v>180.56688307992599</v>
      </c>
      <c r="AA402" s="14">
        <v>0</v>
      </c>
      <c r="AB402" s="14">
        <v>0</v>
      </c>
      <c r="AC402" s="14">
        <v>0</v>
      </c>
      <c r="AD402" s="14">
        <v>1</v>
      </c>
      <c r="AE402" s="14">
        <v>17</v>
      </c>
    </row>
    <row r="403" spans="2:31" x14ac:dyDescent="0.3">
      <c r="B403" t="s">
        <v>90</v>
      </c>
      <c r="C403">
        <v>6.0994079581440201E-2</v>
      </c>
      <c r="D403">
        <v>6.6776813988709896E-2</v>
      </c>
      <c r="E403">
        <v>0</v>
      </c>
      <c r="F403">
        <v>0</v>
      </c>
      <c r="G403">
        <v>0</v>
      </c>
      <c r="H403">
        <v>1</v>
      </c>
      <c r="I403">
        <v>0</v>
      </c>
      <c r="J403">
        <v>1</v>
      </c>
      <c r="K403">
        <v>0</v>
      </c>
      <c r="L403">
        <v>0</v>
      </c>
      <c r="M403">
        <v>0</v>
      </c>
      <c r="N403">
        <v>0.92</v>
      </c>
      <c r="O403">
        <v>36</v>
      </c>
      <c r="P403">
        <v>36</v>
      </c>
      <c r="Q403">
        <v>19</v>
      </c>
      <c r="R403">
        <v>21</v>
      </c>
      <c r="S403">
        <v>3.0770049069274301</v>
      </c>
      <c r="T403">
        <v>3.4134513736994498</v>
      </c>
      <c r="U403">
        <v>2.26033441980403</v>
      </c>
      <c r="V403">
        <v>2.7274054233023302</v>
      </c>
      <c r="W403">
        <v>182.79516045579899</v>
      </c>
      <c r="X403">
        <v>183.89898744652101</v>
      </c>
      <c r="Y403">
        <v>180.11579534056401</v>
      </c>
      <c r="Z403">
        <v>181.64818052264499</v>
      </c>
      <c r="AA403">
        <v>0</v>
      </c>
      <c r="AB403">
        <v>0</v>
      </c>
      <c r="AC403">
        <v>0</v>
      </c>
      <c r="AD403">
        <v>1</v>
      </c>
      <c r="AE403">
        <v>51</v>
      </c>
    </row>
    <row r="404" spans="2:31" x14ac:dyDescent="0.3">
      <c r="B404" t="s">
        <v>91</v>
      </c>
      <c r="C404">
        <v>0.14209004543577</v>
      </c>
      <c r="D404">
        <v>6.0994079581440201E-2</v>
      </c>
      <c r="E404">
        <v>0</v>
      </c>
      <c r="F404">
        <v>0</v>
      </c>
      <c r="G404">
        <v>1</v>
      </c>
      <c r="H404">
        <v>0</v>
      </c>
      <c r="I404">
        <v>0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37</v>
      </c>
      <c r="P404">
        <v>36</v>
      </c>
      <c r="Q404">
        <v>21</v>
      </c>
      <c r="R404">
        <v>19</v>
      </c>
      <c r="S404">
        <v>3.0263524985612902</v>
      </c>
      <c r="T404">
        <v>3.0770049069274301</v>
      </c>
      <c r="U404">
        <v>2.1558792669354001</v>
      </c>
      <c r="V404">
        <v>2.26033441980403</v>
      </c>
      <c r="W404">
        <v>182.62897801365301</v>
      </c>
      <c r="X404">
        <v>182.79516045579899</v>
      </c>
      <c r="Y404">
        <v>179.77309470779301</v>
      </c>
      <c r="Z404">
        <v>180.11579534056401</v>
      </c>
      <c r="AA404">
        <v>0</v>
      </c>
      <c r="AB404">
        <v>0</v>
      </c>
      <c r="AC404">
        <v>0</v>
      </c>
      <c r="AD404">
        <v>1</v>
      </c>
      <c r="AE404">
        <v>61</v>
      </c>
    </row>
    <row r="405" spans="2:31" x14ac:dyDescent="0.3">
      <c r="B405" t="s">
        <v>92</v>
      </c>
      <c r="C405">
        <v>0.27110009637890697</v>
      </c>
      <c r="D405">
        <v>0.14209004543577</v>
      </c>
      <c r="E405">
        <v>0</v>
      </c>
      <c r="F405">
        <v>0</v>
      </c>
      <c r="G405">
        <v>1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38</v>
      </c>
      <c r="P405">
        <v>37</v>
      </c>
      <c r="Q405">
        <v>20</v>
      </c>
      <c r="R405">
        <v>21</v>
      </c>
      <c r="S405">
        <v>3.0597423124188601</v>
      </c>
      <c r="T405">
        <v>3.0263524985612902</v>
      </c>
      <c r="U405">
        <v>2.42581642082164</v>
      </c>
      <c r="V405">
        <v>2.1558792669354001</v>
      </c>
      <c r="W405">
        <v>182.73852464704299</v>
      </c>
      <c r="X405">
        <v>182.62897801365301</v>
      </c>
      <c r="Y405">
        <v>180.65871529141</v>
      </c>
      <c r="Z405">
        <v>179.77309470779301</v>
      </c>
      <c r="AA405">
        <v>0</v>
      </c>
      <c r="AB405">
        <v>0</v>
      </c>
      <c r="AC405">
        <v>0</v>
      </c>
      <c r="AD405">
        <v>1</v>
      </c>
      <c r="AE405">
        <v>100</v>
      </c>
    </row>
    <row r="406" spans="2:31" x14ac:dyDescent="0.3">
      <c r="B406" t="s">
        <v>93</v>
      </c>
      <c r="C406">
        <v>0.32190554867134802</v>
      </c>
      <c r="D406">
        <v>0.27110009637890697</v>
      </c>
      <c r="E406">
        <v>0</v>
      </c>
      <c r="F406">
        <v>0</v>
      </c>
      <c r="G406">
        <v>1</v>
      </c>
      <c r="H406">
        <v>0</v>
      </c>
      <c r="I406">
        <v>0</v>
      </c>
      <c r="J406">
        <v>1</v>
      </c>
      <c r="K406">
        <v>0</v>
      </c>
      <c r="L406">
        <v>0</v>
      </c>
      <c r="M406">
        <v>0.48</v>
      </c>
      <c r="N406">
        <v>0</v>
      </c>
      <c r="O406">
        <v>42</v>
      </c>
      <c r="P406">
        <v>38</v>
      </c>
      <c r="Q406">
        <v>21</v>
      </c>
      <c r="R406">
        <v>20</v>
      </c>
      <c r="S406">
        <v>3.1243299815364698</v>
      </c>
      <c r="T406">
        <v>3.0597423124188601</v>
      </c>
      <c r="U406">
        <v>2.1959621091833101</v>
      </c>
      <c r="V406">
        <v>2.42581642082164</v>
      </c>
      <c r="W406">
        <v>182.95042644860999</v>
      </c>
      <c r="X406">
        <v>182.73852464704299</v>
      </c>
      <c r="Y406">
        <v>179.90460009574599</v>
      </c>
      <c r="Z406">
        <v>180.65871529141</v>
      </c>
      <c r="AA406">
        <v>0</v>
      </c>
      <c r="AB406">
        <v>0</v>
      </c>
      <c r="AC406">
        <v>0</v>
      </c>
      <c r="AD406">
        <v>1</v>
      </c>
      <c r="AE406">
        <v>207</v>
      </c>
    </row>
    <row r="407" spans="2:31" x14ac:dyDescent="0.3">
      <c r="B407" t="s">
        <v>94</v>
      </c>
      <c r="C407">
        <v>9.7067327550598895E-2</v>
      </c>
      <c r="D407">
        <v>0.32190554867134802</v>
      </c>
      <c r="E407">
        <v>0</v>
      </c>
      <c r="F407">
        <v>0</v>
      </c>
      <c r="G407">
        <v>1</v>
      </c>
      <c r="H407">
        <v>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0.48</v>
      </c>
      <c r="O407">
        <v>43</v>
      </c>
      <c r="P407">
        <v>42</v>
      </c>
      <c r="Q407">
        <v>21</v>
      </c>
      <c r="R407">
        <v>21</v>
      </c>
      <c r="S407">
        <v>3.107502596117</v>
      </c>
      <c r="T407">
        <v>3.1243299815364698</v>
      </c>
      <c r="U407">
        <v>2.0988623128691399</v>
      </c>
      <c r="V407">
        <v>2.1959621091833101</v>
      </c>
      <c r="W407">
        <v>182.895218491197</v>
      </c>
      <c r="X407">
        <v>182.95042644860999</v>
      </c>
      <c r="Y407">
        <v>179.58603121020101</v>
      </c>
      <c r="Z407">
        <v>179.90460009574599</v>
      </c>
      <c r="AA407">
        <v>0</v>
      </c>
      <c r="AB407">
        <v>0</v>
      </c>
      <c r="AC407">
        <v>0</v>
      </c>
      <c r="AD407">
        <v>1</v>
      </c>
      <c r="AE407">
        <v>58</v>
      </c>
    </row>
    <row r="408" spans="2:31" x14ac:dyDescent="0.3">
      <c r="B408" t="s">
        <v>95</v>
      </c>
      <c r="C408">
        <v>4.0066088393225903E-2</v>
      </c>
      <c r="D408">
        <v>9.7067327550598895E-2</v>
      </c>
      <c r="E408">
        <v>0</v>
      </c>
      <c r="F408">
        <v>0</v>
      </c>
      <c r="G408">
        <v>1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0.17</v>
      </c>
      <c r="N408">
        <v>0</v>
      </c>
      <c r="O408">
        <v>41</v>
      </c>
      <c r="P408">
        <v>43</v>
      </c>
      <c r="Q408">
        <v>23</v>
      </c>
      <c r="R408">
        <v>21</v>
      </c>
      <c r="S408">
        <v>3.2214090571415701</v>
      </c>
      <c r="T408">
        <v>3.107502596117</v>
      </c>
      <c r="U408">
        <v>2.0732817920457598</v>
      </c>
      <c r="V408">
        <v>2.0988623128691399</v>
      </c>
      <c r="W408">
        <v>183.26892735282701</v>
      </c>
      <c r="X408">
        <v>182.895218491197</v>
      </c>
      <c r="Y408">
        <v>179.502105616948</v>
      </c>
      <c r="Z408">
        <v>179.58603121020101</v>
      </c>
      <c r="AA408">
        <v>0</v>
      </c>
      <c r="AB408">
        <v>0</v>
      </c>
      <c r="AC408">
        <v>0</v>
      </c>
      <c r="AD408">
        <v>1</v>
      </c>
      <c r="AE408">
        <v>50</v>
      </c>
    </row>
    <row r="409" spans="2:31" x14ac:dyDescent="0.3">
      <c r="B409" t="s">
        <v>96</v>
      </c>
      <c r="C409">
        <v>6.6776813988709896E-2</v>
      </c>
      <c r="D409">
        <v>4.0066088393225903E-2</v>
      </c>
      <c r="E409">
        <v>0</v>
      </c>
      <c r="F409">
        <v>0</v>
      </c>
      <c r="G409">
        <v>1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0.17</v>
      </c>
      <c r="O409">
        <v>41</v>
      </c>
      <c r="P409">
        <v>41</v>
      </c>
      <c r="Q409">
        <v>24</v>
      </c>
      <c r="R409">
        <v>23</v>
      </c>
      <c r="S409">
        <v>3.2147276825084301</v>
      </c>
      <c r="T409">
        <v>3.2214090571415701</v>
      </c>
      <c r="U409">
        <v>2.27855597070559</v>
      </c>
      <c r="V409">
        <v>2.0732817920457598</v>
      </c>
      <c r="W409">
        <v>183.247006832377</v>
      </c>
      <c r="X409">
        <v>183.26892735282701</v>
      </c>
      <c r="Y409">
        <v>180.175577331711</v>
      </c>
      <c r="Z409">
        <v>179.502105616948</v>
      </c>
      <c r="AA409">
        <v>0</v>
      </c>
      <c r="AB409">
        <v>0</v>
      </c>
      <c r="AC409">
        <v>0</v>
      </c>
      <c r="AD409">
        <v>1</v>
      </c>
      <c r="AE409">
        <v>44</v>
      </c>
    </row>
    <row r="410" spans="2:31" x14ac:dyDescent="0.3">
      <c r="B410" t="s">
        <v>97</v>
      </c>
      <c r="C410">
        <v>6.0994079581440201E-2</v>
      </c>
      <c r="D410">
        <v>6.6776813988709896E-2</v>
      </c>
      <c r="E410">
        <v>0</v>
      </c>
      <c r="F410">
        <v>0</v>
      </c>
      <c r="G410">
        <v>1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37</v>
      </c>
      <c r="P410">
        <v>41</v>
      </c>
      <c r="Q410">
        <v>24</v>
      </c>
      <c r="R410">
        <v>24</v>
      </c>
      <c r="S410">
        <v>3.3589616578697501</v>
      </c>
      <c r="T410">
        <v>3.2147276825084301</v>
      </c>
      <c r="U410">
        <v>2.3231345282795202</v>
      </c>
      <c r="V410">
        <v>2.27855597070559</v>
      </c>
      <c r="W410">
        <v>183.720215412958</v>
      </c>
      <c r="X410">
        <v>183.247006832377</v>
      </c>
      <c r="Y410">
        <v>180.321832441862</v>
      </c>
      <c r="Z410">
        <v>180.175577331711</v>
      </c>
      <c r="AA410">
        <v>0</v>
      </c>
      <c r="AB410">
        <v>0</v>
      </c>
      <c r="AC410">
        <v>0</v>
      </c>
      <c r="AD410">
        <v>1</v>
      </c>
      <c r="AE410">
        <v>24</v>
      </c>
    </row>
    <row r="411" spans="2:31" x14ac:dyDescent="0.3">
      <c r="B411" t="s">
        <v>98</v>
      </c>
      <c r="C411">
        <v>0.14209004543577</v>
      </c>
      <c r="D411">
        <v>6.0994079581440201E-2</v>
      </c>
      <c r="E411">
        <v>0</v>
      </c>
      <c r="F411">
        <v>0</v>
      </c>
      <c r="G411">
        <v>0</v>
      </c>
      <c r="H411">
        <v>1</v>
      </c>
      <c r="I411">
        <v>0</v>
      </c>
      <c r="J411">
        <v>1</v>
      </c>
      <c r="K411">
        <v>0</v>
      </c>
      <c r="L411">
        <v>0</v>
      </c>
      <c r="M411">
        <v>0.06</v>
      </c>
      <c r="N411">
        <v>0</v>
      </c>
      <c r="O411">
        <v>37</v>
      </c>
      <c r="P411">
        <v>37</v>
      </c>
      <c r="Q411">
        <v>22</v>
      </c>
      <c r="R411">
        <v>24</v>
      </c>
      <c r="S411">
        <v>3.0746669200310301</v>
      </c>
      <c r="T411">
        <v>3.3589616578697501</v>
      </c>
      <c r="U411">
        <v>2.76231893385257</v>
      </c>
      <c r="V411">
        <v>2.3231345282795202</v>
      </c>
      <c r="W411">
        <v>182.78748989511499</v>
      </c>
      <c r="X411">
        <v>183.720215412958</v>
      </c>
      <c r="Y411">
        <v>181.76272616093399</v>
      </c>
      <c r="Z411">
        <v>180.321832441862</v>
      </c>
      <c r="AA411">
        <v>0</v>
      </c>
      <c r="AB411">
        <v>0</v>
      </c>
      <c r="AC411">
        <v>0</v>
      </c>
      <c r="AD411">
        <v>1</v>
      </c>
      <c r="AE411">
        <v>14</v>
      </c>
    </row>
    <row r="412" spans="2:31" x14ac:dyDescent="0.3">
      <c r="B412" t="s">
        <v>99</v>
      </c>
      <c r="C412">
        <v>0.27110009637890697</v>
      </c>
      <c r="D412">
        <v>0.14209004543577</v>
      </c>
      <c r="E412">
        <v>0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1</v>
      </c>
      <c r="L412">
        <v>0</v>
      </c>
      <c r="M412">
        <v>0.65</v>
      </c>
      <c r="N412">
        <v>0.06</v>
      </c>
      <c r="O412">
        <v>41</v>
      </c>
      <c r="P412">
        <v>37</v>
      </c>
      <c r="Q412">
        <v>18</v>
      </c>
      <c r="R412">
        <v>22</v>
      </c>
      <c r="S412">
        <v>2.6069177584875498</v>
      </c>
      <c r="T412">
        <v>3.0746669200310301</v>
      </c>
      <c r="U412">
        <v>2.0864869275167601</v>
      </c>
      <c r="V412">
        <v>2.76231893385257</v>
      </c>
      <c r="W412">
        <v>181.25287978506401</v>
      </c>
      <c r="X412">
        <v>182.78748989511499</v>
      </c>
      <c r="Y412">
        <v>179.54542955222001</v>
      </c>
      <c r="Z412">
        <v>181.76272616093399</v>
      </c>
      <c r="AA412">
        <v>0</v>
      </c>
      <c r="AB412">
        <v>0</v>
      </c>
      <c r="AC412">
        <v>0</v>
      </c>
      <c r="AD412">
        <v>1</v>
      </c>
      <c r="AE412">
        <v>133</v>
      </c>
    </row>
    <row r="413" spans="2:31" x14ac:dyDescent="0.3">
      <c r="B413" t="s">
        <v>100</v>
      </c>
      <c r="C413">
        <v>0.32190554867134802</v>
      </c>
      <c r="D413">
        <v>0.27110009637890697</v>
      </c>
      <c r="E413">
        <v>0</v>
      </c>
      <c r="F413">
        <v>0</v>
      </c>
      <c r="G413">
        <v>0</v>
      </c>
      <c r="H413">
        <v>1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0.65</v>
      </c>
      <c r="O413">
        <v>27</v>
      </c>
      <c r="P413">
        <v>41</v>
      </c>
      <c r="Q413">
        <v>19</v>
      </c>
      <c r="R413">
        <v>18</v>
      </c>
      <c r="S413">
        <v>2.1957630654829199</v>
      </c>
      <c r="T413">
        <v>2.6069177584875498</v>
      </c>
      <c r="U413">
        <v>1.65784787865496</v>
      </c>
      <c r="V413">
        <v>2.0864869275167601</v>
      </c>
      <c r="W413">
        <v>179.90394706523301</v>
      </c>
      <c r="X413">
        <v>181.25287978506401</v>
      </c>
      <c r="Y413">
        <v>178.139133460154</v>
      </c>
      <c r="Z413">
        <v>179.54542955222001</v>
      </c>
      <c r="AA413">
        <v>0</v>
      </c>
      <c r="AB413">
        <v>0</v>
      </c>
      <c r="AC413">
        <v>0</v>
      </c>
      <c r="AD413">
        <v>1</v>
      </c>
      <c r="AE413">
        <v>35</v>
      </c>
    </row>
    <row r="414" spans="2:31" x14ac:dyDescent="0.3">
      <c r="B414" t="s">
        <v>101</v>
      </c>
      <c r="C414">
        <v>9.7067327550598895E-2</v>
      </c>
      <c r="D414">
        <v>0.32190554867134802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0.03</v>
      </c>
      <c r="N414">
        <v>0</v>
      </c>
      <c r="O414">
        <v>40</v>
      </c>
      <c r="P414">
        <v>27</v>
      </c>
      <c r="Q414">
        <v>22</v>
      </c>
      <c r="R414">
        <v>19</v>
      </c>
      <c r="S414">
        <v>3.1856778382319302</v>
      </c>
      <c r="T414">
        <v>2.1957630654829199</v>
      </c>
      <c r="U414">
        <v>2.1220274728302302</v>
      </c>
      <c r="V414">
        <v>1.65784787865496</v>
      </c>
      <c r="W414">
        <v>183.15169894433001</v>
      </c>
      <c r="X414">
        <v>179.90394706523301</v>
      </c>
      <c r="Y414">
        <v>179.66203239117499</v>
      </c>
      <c r="Z414">
        <v>178.139133460154</v>
      </c>
      <c r="AA414">
        <v>0</v>
      </c>
      <c r="AB414">
        <v>0</v>
      </c>
      <c r="AC414">
        <v>0</v>
      </c>
      <c r="AD414">
        <v>1</v>
      </c>
      <c r="AE414">
        <v>36</v>
      </c>
    </row>
    <row r="415" spans="2:31" x14ac:dyDescent="0.3">
      <c r="B415" t="s">
        <v>102</v>
      </c>
      <c r="C415">
        <v>4.0066088393225903E-2</v>
      </c>
      <c r="D415">
        <v>9.7067327550598895E-2</v>
      </c>
      <c r="E415">
        <v>0</v>
      </c>
      <c r="F415">
        <v>0</v>
      </c>
      <c r="G415">
        <v>0</v>
      </c>
      <c r="H415">
        <v>1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0.03</v>
      </c>
      <c r="O415">
        <v>27</v>
      </c>
      <c r="P415">
        <v>40</v>
      </c>
      <c r="Q415">
        <v>27</v>
      </c>
      <c r="R415">
        <v>22</v>
      </c>
      <c r="S415">
        <v>3.4546419173882001</v>
      </c>
      <c r="T415">
        <v>3.1856778382319302</v>
      </c>
      <c r="U415">
        <v>3.4546419173882001</v>
      </c>
      <c r="V415">
        <v>2.1220274728302302</v>
      </c>
      <c r="W415">
        <v>184.03412702555201</v>
      </c>
      <c r="X415">
        <v>183.15169894433001</v>
      </c>
      <c r="Y415">
        <v>184.03412702555201</v>
      </c>
      <c r="Z415">
        <v>179.66203239117499</v>
      </c>
      <c r="AA415">
        <v>0</v>
      </c>
      <c r="AB415">
        <v>0</v>
      </c>
      <c r="AC415">
        <v>0</v>
      </c>
      <c r="AD415">
        <v>1</v>
      </c>
      <c r="AE415">
        <v>1</v>
      </c>
    </row>
    <row r="416" spans="2:31" x14ac:dyDescent="0.3">
      <c r="B416" t="s">
        <v>103</v>
      </c>
      <c r="C416">
        <v>6.6776813988709896E-2</v>
      </c>
      <c r="D416">
        <v>4.0066088393225903E-2</v>
      </c>
      <c r="E416">
        <v>0</v>
      </c>
      <c r="F416">
        <v>0</v>
      </c>
      <c r="G416">
        <v>1</v>
      </c>
      <c r="H416">
        <v>0</v>
      </c>
      <c r="I416">
        <v>0</v>
      </c>
      <c r="J416">
        <v>0</v>
      </c>
      <c r="K416">
        <v>1</v>
      </c>
      <c r="L416">
        <v>0</v>
      </c>
      <c r="M416">
        <v>1.59</v>
      </c>
      <c r="N416">
        <v>0</v>
      </c>
      <c r="O416">
        <v>36</v>
      </c>
      <c r="P416">
        <v>27</v>
      </c>
      <c r="Q416">
        <v>23</v>
      </c>
      <c r="R416">
        <v>27</v>
      </c>
      <c r="S416">
        <v>3.2986207735725102</v>
      </c>
      <c r="T416">
        <v>3.4546419173882001</v>
      </c>
      <c r="U416">
        <v>2.4959404580259301</v>
      </c>
      <c r="V416">
        <v>3.4546419173882001</v>
      </c>
      <c r="W416">
        <v>183.52224663245599</v>
      </c>
      <c r="X416">
        <v>184.03412702555201</v>
      </c>
      <c r="Y416">
        <v>180.888781030269</v>
      </c>
      <c r="Z416">
        <v>184.03412702555201</v>
      </c>
      <c r="AA416">
        <v>0</v>
      </c>
      <c r="AB416">
        <v>0</v>
      </c>
      <c r="AC416">
        <v>0</v>
      </c>
      <c r="AD416">
        <v>1</v>
      </c>
      <c r="AE416">
        <v>24</v>
      </c>
    </row>
    <row r="417" spans="2:31" x14ac:dyDescent="0.3">
      <c r="B417" t="s">
        <v>104</v>
      </c>
      <c r="C417">
        <v>6.0994079581440201E-2</v>
      </c>
      <c r="D417">
        <v>6.6776813988709896E-2</v>
      </c>
      <c r="E417">
        <v>0</v>
      </c>
      <c r="F417">
        <v>0</v>
      </c>
      <c r="G417">
        <v>1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1.59</v>
      </c>
      <c r="O417">
        <v>32</v>
      </c>
      <c r="P417">
        <v>36</v>
      </c>
      <c r="Q417">
        <v>23</v>
      </c>
      <c r="R417">
        <v>23</v>
      </c>
      <c r="S417">
        <v>3.0387981941826201</v>
      </c>
      <c r="T417">
        <v>3.2986207735725102</v>
      </c>
      <c r="U417">
        <v>2.6707993547349802</v>
      </c>
      <c r="V417">
        <v>2.4959404580259301</v>
      </c>
      <c r="W417">
        <v>182.669810348368</v>
      </c>
      <c r="X417">
        <v>183.52224663245599</v>
      </c>
      <c r="Y417">
        <v>181.46246507459</v>
      </c>
      <c r="Z417">
        <v>180.888781030269</v>
      </c>
      <c r="AA417">
        <v>0</v>
      </c>
      <c r="AB417">
        <v>0</v>
      </c>
      <c r="AC417">
        <v>0</v>
      </c>
      <c r="AD417">
        <v>1</v>
      </c>
      <c r="AE417">
        <v>17</v>
      </c>
    </row>
    <row r="418" spans="2:31" x14ac:dyDescent="0.3">
      <c r="B418" t="s">
        <v>105</v>
      </c>
      <c r="C418">
        <v>0.14209004543577</v>
      </c>
      <c r="D418">
        <v>6.0994079581440201E-2</v>
      </c>
      <c r="E418">
        <v>0</v>
      </c>
      <c r="F418">
        <v>0</v>
      </c>
      <c r="G418">
        <v>1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0</v>
      </c>
      <c r="O418">
        <v>37</v>
      </c>
      <c r="P418">
        <v>32</v>
      </c>
      <c r="Q418">
        <v>17</v>
      </c>
      <c r="R418">
        <v>23</v>
      </c>
      <c r="S418">
        <v>2.7899076627286301</v>
      </c>
      <c r="T418">
        <v>3.0387981941826201</v>
      </c>
      <c r="U418">
        <v>2.5444777960045899</v>
      </c>
      <c r="V418">
        <v>2.6707993547349802</v>
      </c>
      <c r="W418">
        <v>181.85324036328299</v>
      </c>
      <c r="X418">
        <v>182.669810348368</v>
      </c>
      <c r="Y418">
        <v>181.04802426510699</v>
      </c>
      <c r="Z418">
        <v>181.46246507459</v>
      </c>
      <c r="AA418">
        <v>0</v>
      </c>
      <c r="AB418">
        <v>0</v>
      </c>
      <c r="AC418">
        <v>0</v>
      </c>
      <c r="AD418">
        <v>1</v>
      </c>
      <c r="AE418">
        <v>64</v>
      </c>
    </row>
    <row r="419" spans="2:31" x14ac:dyDescent="0.3">
      <c r="B419" t="s">
        <v>106</v>
      </c>
      <c r="C419">
        <v>0.27110009637890697</v>
      </c>
      <c r="D419">
        <v>0.14209004543577</v>
      </c>
      <c r="E419">
        <v>0</v>
      </c>
      <c r="F419">
        <v>0</v>
      </c>
      <c r="G419">
        <v>1</v>
      </c>
      <c r="H419">
        <v>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35</v>
      </c>
      <c r="P419">
        <v>37</v>
      </c>
      <c r="Q419">
        <v>17</v>
      </c>
      <c r="R419">
        <v>17</v>
      </c>
      <c r="S419">
        <v>2.9285489300107499</v>
      </c>
      <c r="T419">
        <v>2.7899076627286301</v>
      </c>
      <c r="U419">
        <v>2.66103720796331</v>
      </c>
      <c r="V419">
        <v>2.5444777960045899</v>
      </c>
      <c r="W419">
        <v>182.30810016407699</v>
      </c>
      <c r="X419">
        <v>181.85324036328299</v>
      </c>
      <c r="Y419">
        <v>181.43043703399999</v>
      </c>
      <c r="Z419">
        <v>181.04802426510699</v>
      </c>
      <c r="AA419">
        <v>0</v>
      </c>
      <c r="AB419">
        <v>0</v>
      </c>
      <c r="AC419">
        <v>0</v>
      </c>
      <c r="AD419">
        <v>1</v>
      </c>
      <c r="AE419">
        <v>143</v>
      </c>
    </row>
    <row r="420" spans="2:31" x14ac:dyDescent="0.3">
      <c r="B420" t="s">
        <v>107</v>
      </c>
      <c r="C420">
        <v>0.32190554867134802</v>
      </c>
      <c r="D420">
        <v>0.27110009637890697</v>
      </c>
      <c r="E420">
        <v>0</v>
      </c>
      <c r="F420">
        <v>0</v>
      </c>
      <c r="G420">
        <v>1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35</v>
      </c>
      <c r="P420">
        <v>35</v>
      </c>
      <c r="Q420">
        <v>19</v>
      </c>
      <c r="R420">
        <v>17</v>
      </c>
      <c r="S420">
        <v>3.3738036636329198</v>
      </c>
      <c r="T420">
        <v>2.9285489300107499</v>
      </c>
      <c r="U420">
        <v>2.6665689565537001</v>
      </c>
      <c r="V420">
        <v>2.66103720796331</v>
      </c>
      <c r="W420">
        <v>183.76890965758801</v>
      </c>
      <c r="X420">
        <v>182.30810016407699</v>
      </c>
      <c r="Y420">
        <v>181.44858581546501</v>
      </c>
      <c r="Z420">
        <v>181.43043703399999</v>
      </c>
      <c r="AA420">
        <v>0</v>
      </c>
      <c r="AB420">
        <v>0</v>
      </c>
      <c r="AC420">
        <v>0</v>
      </c>
      <c r="AD420">
        <v>1</v>
      </c>
      <c r="AE420">
        <v>204</v>
      </c>
    </row>
    <row r="421" spans="2:31" x14ac:dyDescent="0.3">
      <c r="B421" t="s">
        <v>108</v>
      </c>
      <c r="C421">
        <v>9.7067327550598895E-2</v>
      </c>
      <c r="D421">
        <v>0.32190554867134802</v>
      </c>
      <c r="E421">
        <v>0</v>
      </c>
      <c r="F421">
        <v>0</v>
      </c>
      <c r="G421">
        <v>1</v>
      </c>
      <c r="H421">
        <v>0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0</v>
      </c>
      <c r="O421">
        <v>38</v>
      </c>
      <c r="P421">
        <v>35</v>
      </c>
      <c r="Q421">
        <v>23</v>
      </c>
      <c r="R421">
        <v>19</v>
      </c>
      <c r="S421">
        <v>3.0412324180523398</v>
      </c>
      <c r="T421">
        <v>3.3738036636329198</v>
      </c>
      <c r="U421">
        <v>2.5168834119433399</v>
      </c>
      <c r="V421">
        <v>2.6665689565537001</v>
      </c>
      <c r="W421">
        <v>182.677796647153</v>
      </c>
      <c r="X421">
        <v>183.76890965758801</v>
      </c>
      <c r="Y421">
        <v>180.95749150899999</v>
      </c>
      <c r="Z421">
        <v>181.44858581546501</v>
      </c>
      <c r="AA421">
        <v>0</v>
      </c>
      <c r="AB421">
        <v>0</v>
      </c>
      <c r="AC421">
        <v>0</v>
      </c>
      <c r="AD421">
        <v>1</v>
      </c>
      <c r="AE421">
        <v>45</v>
      </c>
    </row>
    <row r="422" spans="2:31" x14ac:dyDescent="0.3">
      <c r="B422" t="s">
        <v>109</v>
      </c>
      <c r="C422">
        <v>4.0066088393225903E-2</v>
      </c>
      <c r="D422">
        <v>9.7067327550598895E-2</v>
      </c>
      <c r="E422">
        <v>0</v>
      </c>
      <c r="F422">
        <v>0</v>
      </c>
      <c r="G422">
        <v>1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41</v>
      </c>
      <c r="P422">
        <v>38</v>
      </c>
      <c r="Q422">
        <v>19</v>
      </c>
      <c r="R422">
        <v>23</v>
      </c>
      <c r="S422">
        <v>3.01213519800582</v>
      </c>
      <c r="T422">
        <v>3.0412324180523398</v>
      </c>
      <c r="U422">
        <v>2.2077857991169201</v>
      </c>
      <c r="V422">
        <v>2.5168834119433399</v>
      </c>
      <c r="W422">
        <v>182.582333326791</v>
      </c>
      <c r="X422">
        <v>182.677796647153</v>
      </c>
      <c r="Y422">
        <v>179.94339172938601</v>
      </c>
      <c r="Z422">
        <v>180.95749150899999</v>
      </c>
      <c r="AA422">
        <v>0</v>
      </c>
      <c r="AB422">
        <v>0</v>
      </c>
      <c r="AC422">
        <v>0</v>
      </c>
      <c r="AD422">
        <v>1</v>
      </c>
      <c r="AE422">
        <v>47</v>
      </c>
    </row>
    <row r="423" spans="2:31" x14ac:dyDescent="0.3">
      <c r="B423" t="s">
        <v>110</v>
      </c>
      <c r="C423">
        <v>6.6776813988709896E-2</v>
      </c>
      <c r="D423">
        <v>4.0066088393225903E-2</v>
      </c>
      <c r="E423">
        <v>0</v>
      </c>
      <c r="F423">
        <v>0</v>
      </c>
      <c r="G423">
        <v>1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41</v>
      </c>
      <c r="P423">
        <v>41</v>
      </c>
      <c r="Q423">
        <v>22</v>
      </c>
      <c r="R423">
        <v>19</v>
      </c>
      <c r="S423">
        <v>2.8894556535309301</v>
      </c>
      <c r="T423">
        <v>3.01213519800582</v>
      </c>
      <c r="U423">
        <v>2.6223230768571799</v>
      </c>
      <c r="V423">
        <v>2.2077857991169201</v>
      </c>
      <c r="W423">
        <v>182.17984138297501</v>
      </c>
      <c r="X423">
        <v>182.582333326791</v>
      </c>
      <c r="Y423">
        <v>181.303422168167</v>
      </c>
      <c r="Z423">
        <v>179.94339172938601</v>
      </c>
      <c r="AA423">
        <v>0</v>
      </c>
      <c r="AB423">
        <v>0</v>
      </c>
      <c r="AC423">
        <v>0</v>
      </c>
      <c r="AD423">
        <v>1</v>
      </c>
      <c r="AE423">
        <v>43</v>
      </c>
    </row>
    <row r="424" spans="2:31" x14ac:dyDescent="0.3">
      <c r="B424" t="s">
        <v>111</v>
      </c>
      <c r="C424">
        <v>6.0994079581440201E-2</v>
      </c>
      <c r="D424">
        <v>6.6776813988709896E-2</v>
      </c>
      <c r="E424">
        <v>0</v>
      </c>
      <c r="F424">
        <v>0</v>
      </c>
      <c r="G424">
        <v>1</v>
      </c>
      <c r="H424">
        <v>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39</v>
      </c>
      <c r="P424">
        <v>41</v>
      </c>
      <c r="Q424">
        <v>22</v>
      </c>
      <c r="R424">
        <v>22</v>
      </c>
      <c r="S424">
        <v>3.2235886745676101</v>
      </c>
      <c r="T424">
        <v>2.8894556535309301</v>
      </c>
      <c r="U424">
        <v>2.5153210469134</v>
      </c>
      <c r="V424">
        <v>2.6223230768571799</v>
      </c>
      <c r="W424">
        <v>183.27607832863399</v>
      </c>
      <c r="X424">
        <v>182.17984138297501</v>
      </c>
      <c r="Y424">
        <v>180.95236563948001</v>
      </c>
      <c r="Z424">
        <v>181.303422168167</v>
      </c>
      <c r="AA424">
        <v>0</v>
      </c>
      <c r="AB424">
        <v>0</v>
      </c>
      <c r="AC424">
        <v>0</v>
      </c>
      <c r="AD424">
        <v>1</v>
      </c>
      <c r="AE424">
        <v>21</v>
      </c>
    </row>
    <row r="425" spans="2:31" x14ac:dyDescent="0.3">
      <c r="B425" t="s">
        <v>112</v>
      </c>
      <c r="C425">
        <v>0.14209004543577</v>
      </c>
      <c r="D425">
        <v>6.0994079581440201E-2</v>
      </c>
      <c r="E425">
        <v>0</v>
      </c>
      <c r="F425">
        <v>0</v>
      </c>
      <c r="G425">
        <v>1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0</v>
      </c>
      <c r="O425">
        <v>38</v>
      </c>
      <c r="P425">
        <v>39</v>
      </c>
      <c r="Q425">
        <v>21</v>
      </c>
      <c r="R425">
        <v>22</v>
      </c>
      <c r="S425">
        <v>3.12119998222005</v>
      </c>
      <c r="T425">
        <v>3.2235886745676101</v>
      </c>
      <c r="U425">
        <v>2.8077759088861298</v>
      </c>
      <c r="V425">
        <v>2.5153210469134</v>
      </c>
      <c r="W425">
        <v>182.94015742198201</v>
      </c>
      <c r="X425">
        <v>183.27607832863399</v>
      </c>
      <c r="Y425">
        <v>181.91186321813001</v>
      </c>
      <c r="Z425">
        <v>180.95236563948001</v>
      </c>
      <c r="AA425">
        <v>0</v>
      </c>
      <c r="AB425">
        <v>0</v>
      </c>
      <c r="AC425">
        <v>0</v>
      </c>
      <c r="AD425">
        <v>1</v>
      </c>
      <c r="AE425">
        <v>51</v>
      </c>
    </row>
    <row r="426" spans="2:31" x14ac:dyDescent="0.3">
      <c r="B426" t="s">
        <v>113</v>
      </c>
      <c r="C426">
        <v>0.27110009637890697</v>
      </c>
      <c r="D426">
        <v>0.14209004543577</v>
      </c>
      <c r="E426">
        <v>0</v>
      </c>
      <c r="F426">
        <v>0</v>
      </c>
      <c r="G426">
        <v>1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40</v>
      </c>
      <c r="P426">
        <v>38</v>
      </c>
      <c r="Q426">
        <v>16</v>
      </c>
      <c r="R426">
        <v>21</v>
      </c>
      <c r="S426">
        <v>2.7995778075892899</v>
      </c>
      <c r="T426">
        <v>3.12119998222005</v>
      </c>
      <c r="U426">
        <v>2.2161309791474801</v>
      </c>
      <c r="V426">
        <v>2.8077759088861298</v>
      </c>
      <c r="W426">
        <v>181.884966560332</v>
      </c>
      <c r="X426">
        <v>182.94015742198201</v>
      </c>
      <c r="Y426">
        <v>179.970770928962</v>
      </c>
      <c r="Z426">
        <v>181.91186321813001</v>
      </c>
      <c r="AA426">
        <v>0</v>
      </c>
      <c r="AB426">
        <v>0</v>
      </c>
      <c r="AC426">
        <v>0</v>
      </c>
      <c r="AD426">
        <v>1</v>
      </c>
      <c r="AE426">
        <v>192</v>
      </c>
    </row>
    <row r="427" spans="2:31" x14ac:dyDescent="0.3">
      <c r="B427" t="s">
        <v>114</v>
      </c>
      <c r="C427">
        <v>0.32190554867134802</v>
      </c>
      <c r="D427">
        <v>0.27110009637890697</v>
      </c>
      <c r="E427">
        <v>0</v>
      </c>
      <c r="F427">
        <v>0</v>
      </c>
      <c r="G427">
        <v>1</v>
      </c>
      <c r="H427">
        <v>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42</v>
      </c>
      <c r="P427">
        <v>40</v>
      </c>
      <c r="Q427">
        <v>18</v>
      </c>
      <c r="R427">
        <v>16</v>
      </c>
      <c r="S427">
        <v>2.88931643913322</v>
      </c>
      <c r="T427">
        <v>2.7995778075892899</v>
      </c>
      <c r="U427">
        <v>2.0859291551005099</v>
      </c>
      <c r="V427">
        <v>2.2161309791474801</v>
      </c>
      <c r="W427">
        <v>182.17938464282599</v>
      </c>
      <c r="X427">
        <v>181.884966560332</v>
      </c>
      <c r="Y427">
        <v>179.543599590225</v>
      </c>
      <c r="Z427">
        <v>179.970770928962</v>
      </c>
      <c r="AA427">
        <v>0</v>
      </c>
      <c r="AB427">
        <v>0</v>
      </c>
      <c r="AC427">
        <v>0</v>
      </c>
      <c r="AD427">
        <v>1</v>
      </c>
      <c r="AE427">
        <v>203</v>
      </c>
    </row>
    <row r="428" spans="2:31" x14ac:dyDescent="0.3">
      <c r="B428" t="s">
        <v>115</v>
      </c>
      <c r="C428">
        <v>9.7067327550598895E-2</v>
      </c>
      <c r="D428">
        <v>0.32190554867134802</v>
      </c>
      <c r="E428">
        <v>1</v>
      </c>
      <c r="F428">
        <v>0</v>
      </c>
      <c r="G428">
        <v>1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0</v>
      </c>
      <c r="N428">
        <v>0</v>
      </c>
      <c r="O428">
        <v>43</v>
      </c>
      <c r="P428">
        <v>42</v>
      </c>
      <c r="Q428">
        <v>18</v>
      </c>
      <c r="R428">
        <v>18</v>
      </c>
      <c r="S428">
        <v>2.7871757441615301</v>
      </c>
      <c r="T428">
        <v>2.88931643913322</v>
      </c>
      <c r="U428">
        <v>1.8338352820227899</v>
      </c>
      <c r="V428">
        <v>2.0859291551005099</v>
      </c>
      <c r="W428">
        <v>181.84427737585801</v>
      </c>
      <c r="X428">
        <v>182.17938464282599</v>
      </c>
      <c r="Y428">
        <v>178.716519954143</v>
      </c>
      <c r="Z428">
        <v>179.543599590225</v>
      </c>
      <c r="AA428">
        <v>0</v>
      </c>
      <c r="AB428">
        <v>0</v>
      </c>
      <c r="AC428">
        <v>0</v>
      </c>
      <c r="AD428">
        <v>1</v>
      </c>
      <c r="AE428">
        <v>202</v>
      </c>
    </row>
    <row r="429" spans="2:31" x14ac:dyDescent="0.3">
      <c r="B429" t="s">
        <v>116</v>
      </c>
      <c r="C429">
        <v>4.0066088393225903E-2</v>
      </c>
      <c r="D429">
        <v>9.7067327550598895E-2</v>
      </c>
      <c r="E429">
        <v>0</v>
      </c>
      <c r="F429">
        <v>1</v>
      </c>
      <c r="G429">
        <v>1</v>
      </c>
      <c r="H429">
        <v>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43</v>
      </c>
      <c r="P429">
        <v>43</v>
      </c>
      <c r="Q429">
        <v>24</v>
      </c>
      <c r="R429">
        <v>18</v>
      </c>
      <c r="S429">
        <v>3.3064218826999001</v>
      </c>
      <c r="T429">
        <v>2.7871757441615301</v>
      </c>
      <c r="U429">
        <v>2.1448170129117701</v>
      </c>
      <c r="V429">
        <v>1.8338352820227899</v>
      </c>
      <c r="W429">
        <v>183.547840822506</v>
      </c>
      <c r="X429">
        <v>181.84427737585801</v>
      </c>
      <c r="Y429">
        <v>179.736801223464</v>
      </c>
      <c r="Z429">
        <v>178.716519954143</v>
      </c>
      <c r="AA429">
        <v>0</v>
      </c>
      <c r="AB429">
        <v>0</v>
      </c>
      <c r="AC429">
        <v>0</v>
      </c>
      <c r="AD429">
        <v>1</v>
      </c>
      <c r="AE429">
        <v>36</v>
      </c>
    </row>
    <row r="430" spans="2:31" x14ac:dyDescent="0.3">
      <c r="B430" t="s">
        <v>117</v>
      </c>
      <c r="C430">
        <v>6.6776813988709896E-2</v>
      </c>
      <c r="D430">
        <v>4.0066088393225903E-2</v>
      </c>
      <c r="E430">
        <v>0</v>
      </c>
      <c r="F430">
        <v>0</v>
      </c>
      <c r="G430">
        <v>1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39</v>
      </c>
      <c r="P430">
        <v>43</v>
      </c>
      <c r="Q430">
        <v>22</v>
      </c>
      <c r="R430">
        <v>24</v>
      </c>
      <c r="S430">
        <v>3.3074010264487201</v>
      </c>
      <c r="T430">
        <v>3.3064218826999001</v>
      </c>
      <c r="U430">
        <v>2.4574281061104002</v>
      </c>
      <c r="V430">
        <v>2.1448170129117701</v>
      </c>
      <c r="W430">
        <v>183.55105323638</v>
      </c>
      <c r="X430">
        <v>183.547840822506</v>
      </c>
      <c r="Y430">
        <v>180.76242816965399</v>
      </c>
      <c r="Z430">
        <v>179.736801223464</v>
      </c>
      <c r="AA430">
        <v>0</v>
      </c>
      <c r="AB430">
        <v>0</v>
      </c>
      <c r="AC430">
        <v>0</v>
      </c>
      <c r="AD430">
        <v>1</v>
      </c>
      <c r="AE430">
        <v>46</v>
      </c>
    </row>
    <row r="431" spans="2:31" x14ac:dyDescent="0.3">
      <c r="B431" t="s">
        <v>118</v>
      </c>
      <c r="C431">
        <v>6.0994079581440201E-2</v>
      </c>
      <c r="D431">
        <v>6.6776813988709896E-2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0.78</v>
      </c>
      <c r="N431">
        <v>0</v>
      </c>
      <c r="O431">
        <v>27</v>
      </c>
      <c r="P431">
        <v>39</v>
      </c>
      <c r="Q431">
        <v>24</v>
      </c>
      <c r="R431">
        <v>22</v>
      </c>
      <c r="S431">
        <v>2.9675731681712301</v>
      </c>
      <c r="T431">
        <v>3.3074010264487201</v>
      </c>
      <c r="U431">
        <v>2.80688720553725</v>
      </c>
      <c r="V431">
        <v>2.4574281061104002</v>
      </c>
      <c r="W431">
        <v>182.436132441507</v>
      </c>
      <c r="X431">
        <v>183.55105323638</v>
      </c>
      <c r="Y431">
        <v>181.908947524729</v>
      </c>
      <c r="Z431">
        <v>180.76242816965399</v>
      </c>
      <c r="AA431">
        <v>0</v>
      </c>
      <c r="AB431">
        <v>0</v>
      </c>
      <c r="AC431">
        <v>0</v>
      </c>
      <c r="AD431">
        <v>1</v>
      </c>
      <c r="AE431">
        <v>5</v>
      </c>
    </row>
    <row r="432" spans="2:31" x14ac:dyDescent="0.3">
      <c r="B432" t="s">
        <v>119</v>
      </c>
      <c r="C432">
        <v>0.14209004543577</v>
      </c>
      <c r="D432">
        <v>6.0994079581440201E-2</v>
      </c>
      <c r="E432">
        <v>0</v>
      </c>
      <c r="F432">
        <v>0</v>
      </c>
      <c r="G432">
        <v>1</v>
      </c>
      <c r="H432">
        <v>0</v>
      </c>
      <c r="I432">
        <v>0</v>
      </c>
      <c r="J432">
        <v>1</v>
      </c>
      <c r="K432">
        <v>0</v>
      </c>
      <c r="L432">
        <v>0</v>
      </c>
      <c r="M432">
        <v>0.68</v>
      </c>
      <c r="N432">
        <v>0.78</v>
      </c>
      <c r="O432">
        <v>36</v>
      </c>
      <c r="P432">
        <v>27</v>
      </c>
      <c r="Q432">
        <v>18</v>
      </c>
      <c r="R432">
        <v>24</v>
      </c>
      <c r="S432">
        <v>3.1729569543979999</v>
      </c>
      <c r="T432">
        <v>2.9675731681712301</v>
      </c>
      <c r="U432">
        <v>2.6904742287645398</v>
      </c>
      <c r="V432">
        <v>2.80688720553725</v>
      </c>
      <c r="W432">
        <v>183.10996376114801</v>
      </c>
      <c r="X432">
        <v>182.436132441507</v>
      </c>
      <c r="Y432">
        <v>181.52701518623499</v>
      </c>
      <c r="Z432">
        <v>181.908947524729</v>
      </c>
      <c r="AA432">
        <v>0</v>
      </c>
      <c r="AB432">
        <v>0</v>
      </c>
      <c r="AC432">
        <v>0</v>
      </c>
      <c r="AD432">
        <v>1</v>
      </c>
      <c r="AE432">
        <v>21</v>
      </c>
    </row>
    <row r="433" spans="2:31" x14ac:dyDescent="0.3">
      <c r="B433" t="s">
        <v>120</v>
      </c>
      <c r="C433">
        <v>0.27110009637890697</v>
      </c>
      <c r="D433">
        <v>0.14209004543577</v>
      </c>
      <c r="E433">
        <v>0</v>
      </c>
      <c r="F433">
        <v>0</v>
      </c>
      <c r="G433">
        <v>1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0.05</v>
      </c>
      <c r="N433">
        <v>0.68</v>
      </c>
      <c r="O433">
        <v>35</v>
      </c>
      <c r="P433">
        <v>36</v>
      </c>
      <c r="Q433">
        <v>16</v>
      </c>
      <c r="R433">
        <v>18</v>
      </c>
      <c r="S433">
        <v>3.1163345303513199</v>
      </c>
      <c r="T433">
        <v>3.1729569543979999</v>
      </c>
      <c r="U433">
        <v>2.2839516361177901</v>
      </c>
      <c r="V433">
        <v>2.6904742287645398</v>
      </c>
      <c r="W433">
        <v>182.92419465338401</v>
      </c>
      <c r="X433">
        <v>183.10996376114801</v>
      </c>
      <c r="Y433">
        <v>180.193279646056</v>
      </c>
      <c r="Z433">
        <v>181.52701518623499</v>
      </c>
      <c r="AA433">
        <v>0</v>
      </c>
      <c r="AB433">
        <v>0</v>
      </c>
      <c r="AC433">
        <v>0</v>
      </c>
      <c r="AD433">
        <v>1</v>
      </c>
      <c r="AE433">
        <v>86</v>
      </c>
    </row>
    <row r="434" spans="2:31" x14ac:dyDescent="0.3">
      <c r="B434" t="s">
        <v>121</v>
      </c>
      <c r="C434">
        <v>0.32190554867134802</v>
      </c>
      <c r="D434">
        <v>0.27110009637890697</v>
      </c>
      <c r="E434">
        <v>0</v>
      </c>
      <c r="F434">
        <v>0</v>
      </c>
      <c r="G434">
        <v>0</v>
      </c>
      <c r="H434">
        <v>1</v>
      </c>
      <c r="I434">
        <v>0</v>
      </c>
      <c r="J434">
        <v>1</v>
      </c>
      <c r="K434">
        <v>0</v>
      </c>
      <c r="L434">
        <v>0</v>
      </c>
      <c r="M434">
        <v>0.16</v>
      </c>
      <c r="N434">
        <v>0.05</v>
      </c>
      <c r="O434">
        <v>24</v>
      </c>
      <c r="P434">
        <v>35</v>
      </c>
      <c r="Q434">
        <v>19</v>
      </c>
      <c r="R434">
        <v>16</v>
      </c>
      <c r="S434">
        <v>2.8980036154421902</v>
      </c>
      <c r="T434">
        <v>3.1163345303513199</v>
      </c>
      <c r="U434">
        <v>2.7177850454084802</v>
      </c>
      <c r="V434">
        <v>2.2839516361177901</v>
      </c>
      <c r="W434">
        <v>182.20788587743499</v>
      </c>
      <c r="X434">
        <v>182.92419465338401</v>
      </c>
      <c r="Y434">
        <v>181.616617603046</v>
      </c>
      <c r="Z434">
        <v>180.193279646056</v>
      </c>
      <c r="AA434">
        <v>0</v>
      </c>
      <c r="AB434">
        <v>0</v>
      </c>
      <c r="AC434">
        <v>0</v>
      </c>
      <c r="AD434">
        <v>1</v>
      </c>
      <c r="AE434">
        <v>8</v>
      </c>
    </row>
    <row r="435" spans="2:31" x14ac:dyDescent="0.3">
      <c r="B435" t="s">
        <v>122</v>
      </c>
      <c r="C435">
        <v>9.7067327550598895E-2</v>
      </c>
      <c r="D435">
        <v>0.32190554867134802</v>
      </c>
      <c r="E435">
        <v>0</v>
      </c>
      <c r="F435">
        <v>0</v>
      </c>
      <c r="G435">
        <v>0</v>
      </c>
      <c r="H435">
        <v>0</v>
      </c>
      <c r="I435">
        <v>1</v>
      </c>
      <c r="J435">
        <v>0</v>
      </c>
      <c r="K435">
        <v>1</v>
      </c>
      <c r="L435">
        <v>0</v>
      </c>
      <c r="M435">
        <v>0.72</v>
      </c>
      <c r="N435">
        <v>0.16</v>
      </c>
      <c r="O435">
        <v>24</v>
      </c>
      <c r="P435">
        <v>24</v>
      </c>
      <c r="Q435">
        <v>19</v>
      </c>
      <c r="R435">
        <v>19</v>
      </c>
      <c r="S435">
        <v>2.8910133662297901</v>
      </c>
      <c r="T435">
        <v>2.8980036154421902</v>
      </c>
      <c r="U435">
        <v>2.8465471454898799</v>
      </c>
      <c r="V435">
        <v>2.7177850454084802</v>
      </c>
      <c r="W435">
        <v>182.184951988943</v>
      </c>
      <c r="X435">
        <v>182.20788587743499</v>
      </c>
      <c r="Y435">
        <v>182.03906543795901</v>
      </c>
      <c r="Z435">
        <v>181.616617603046</v>
      </c>
      <c r="AA435">
        <v>0</v>
      </c>
      <c r="AB435">
        <v>0</v>
      </c>
      <c r="AC435">
        <v>0</v>
      </c>
      <c r="AD435">
        <v>1</v>
      </c>
      <c r="AE435">
        <v>3</v>
      </c>
    </row>
    <row r="734" spans="2:2" x14ac:dyDescent="0.3">
      <c r="B734" s="26"/>
    </row>
  </sheetData>
  <mergeCells count="3">
    <mergeCell ref="G1:I1"/>
    <mergeCell ref="AA1:AD1"/>
    <mergeCell ref="J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4002"/>
  <sheetViews>
    <sheetView topLeftCell="S1" workbookViewId="0">
      <pane ySplit="1" topLeftCell="A379" activePane="bottomLeft" state="frozen"/>
      <selection pane="bottomLeft" activeCell="B2" sqref="B2:AF417"/>
    </sheetView>
  </sheetViews>
  <sheetFormatPr defaultRowHeight="14.4" x14ac:dyDescent="0.3"/>
  <cols>
    <col min="1" max="1" width="13.109375" bestFit="1" customWidth="1"/>
    <col min="2" max="2" width="6.44140625" bestFit="1" customWidth="1"/>
    <col min="3" max="3" width="20" bestFit="1" customWidth="1"/>
    <col min="4" max="4" width="12" bestFit="1" customWidth="1"/>
    <col min="5" max="5" width="23.109375" bestFit="1" customWidth="1"/>
    <col min="6" max="6" width="14.33203125" bestFit="1" customWidth="1"/>
    <col min="7" max="7" width="6.44140625" bestFit="1" customWidth="1"/>
    <col min="8" max="8" width="5.44140625" bestFit="1" customWidth="1"/>
    <col min="9" max="9" width="7" bestFit="1" customWidth="1"/>
    <col min="10" max="10" width="11.88671875" bestFit="1" customWidth="1"/>
    <col min="11" max="11" width="10.88671875" bestFit="1" customWidth="1"/>
    <col min="12" max="12" width="12.44140625" bestFit="1" customWidth="1"/>
    <col min="13" max="13" width="7" bestFit="1" customWidth="1"/>
    <col min="14" max="14" width="11" bestFit="1" customWidth="1"/>
    <col min="15" max="15" width="12" bestFit="1" customWidth="1"/>
    <col min="16" max="16" width="15.5546875" bestFit="1" customWidth="1"/>
    <col min="17" max="17" width="12.6640625" bestFit="1" customWidth="1"/>
    <col min="18" max="18" width="15.33203125" bestFit="1" customWidth="1"/>
    <col min="19" max="19" width="17.88671875" bestFit="1" customWidth="1"/>
    <col min="20" max="20" width="13.88671875" bestFit="1" customWidth="1"/>
    <col min="21" max="21" width="17.5546875" bestFit="1" customWidth="1"/>
    <col min="22" max="22" width="13.5546875" bestFit="1" customWidth="1"/>
    <col min="23" max="23" width="16.44140625" bestFit="1" customWidth="1"/>
    <col min="24" max="24" width="12.6640625" bestFit="1" customWidth="1"/>
    <col min="25" max="25" width="16.109375" bestFit="1" customWidth="1"/>
    <col min="26" max="26" width="12.44140625" bestFit="1" customWidth="1"/>
    <col min="27" max="27" width="8.109375" bestFit="1" customWidth="1"/>
    <col min="28" max="30" width="5.5546875" bestFit="1" customWidth="1"/>
    <col min="31" max="31" width="12" bestFit="1" customWidth="1"/>
    <col min="32" max="32" width="5.44140625" bestFit="1" customWidth="1"/>
  </cols>
  <sheetData>
    <row r="1" spans="1:32" x14ac:dyDescent="0.3">
      <c r="A1" t="s">
        <v>4</v>
      </c>
      <c r="B1" t="s">
        <v>172</v>
      </c>
      <c r="C1" t="s">
        <v>171</v>
      </c>
      <c r="D1" t="s">
        <v>201</v>
      </c>
      <c r="E1" t="s">
        <v>126</v>
      </c>
      <c r="F1" t="s">
        <v>202</v>
      </c>
      <c r="G1" t="s">
        <v>1</v>
      </c>
      <c r="H1" t="s">
        <v>2</v>
      </c>
      <c r="I1" t="s">
        <v>3</v>
      </c>
      <c r="J1" t="s">
        <v>196</v>
      </c>
      <c r="K1" t="s">
        <v>197</v>
      </c>
      <c r="L1" t="s">
        <v>198</v>
      </c>
      <c r="M1" t="s">
        <v>166</v>
      </c>
      <c r="N1" t="s">
        <v>189</v>
      </c>
      <c r="O1" t="s">
        <v>181</v>
      </c>
      <c r="P1" t="s">
        <v>195</v>
      </c>
      <c r="Q1" t="s">
        <v>180</v>
      </c>
      <c r="R1" t="s">
        <v>194</v>
      </c>
      <c r="S1" t="s">
        <v>182</v>
      </c>
      <c r="T1" t="s">
        <v>193</v>
      </c>
      <c r="U1" t="s">
        <v>183</v>
      </c>
      <c r="V1" t="s">
        <v>192</v>
      </c>
      <c r="W1" t="s">
        <v>184</v>
      </c>
      <c r="X1" t="s">
        <v>191</v>
      </c>
      <c r="Y1" t="s">
        <v>185</v>
      </c>
      <c r="Z1" t="s">
        <v>190</v>
      </c>
      <c r="AA1" t="s">
        <v>167</v>
      </c>
      <c r="AB1" t="s">
        <v>168</v>
      </c>
      <c r="AC1" t="s">
        <v>169</v>
      </c>
      <c r="AD1" t="s">
        <v>170</v>
      </c>
      <c r="AE1" t="s">
        <v>123</v>
      </c>
      <c r="AF1" t="s">
        <v>136</v>
      </c>
    </row>
    <row r="2" spans="1:32" x14ac:dyDescent="0.3">
      <c r="A2" t="s">
        <v>9</v>
      </c>
      <c r="B2">
        <v>1</v>
      </c>
      <c r="C2">
        <v>7.6601671309192196E-2</v>
      </c>
      <c r="D2">
        <v>7.6601671309192196E-2</v>
      </c>
      <c r="E2">
        <v>0</v>
      </c>
      <c r="F2">
        <v>0</v>
      </c>
      <c r="G2">
        <v>1</v>
      </c>
      <c r="H2">
        <v>0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25</v>
      </c>
      <c r="P2">
        <v>25</v>
      </c>
      <c r="Q2">
        <v>15</v>
      </c>
      <c r="R2">
        <v>15</v>
      </c>
      <c r="S2">
        <v>1.46109776387834</v>
      </c>
      <c r="T2">
        <v>1.46109776387834</v>
      </c>
      <c r="U2">
        <v>1.10867440613719</v>
      </c>
      <c r="V2">
        <v>1.10867440613719</v>
      </c>
      <c r="W2">
        <v>183.903627834247</v>
      </c>
      <c r="X2">
        <v>183.903627834247</v>
      </c>
      <c r="Y2">
        <v>182.74738322223499</v>
      </c>
      <c r="Z2">
        <v>182.74738322223499</v>
      </c>
      <c r="AA2">
        <v>1</v>
      </c>
      <c r="AB2">
        <v>0</v>
      </c>
      <c r="AC2">
        <v>0</v>
      </c>
      <c r="AD2">
        <v>0</v>
      </c>
      <c r="AE2">
        <v>2</v>
      </c>
      <c r="AF2">
        <v>1</v>
      </c>
    </row>
    <row r="3" spans="1:32" x14ac:dyDescent="0.3">
      <c r="A3" t="s">
        <v>11</v>
      </c>
      <c r="B3">
        <v>3</v>
      </c>
      <c r="C3">
        <v>0.24001857010213601</v>
      </c>
      <c r="D3">
        <v>0.16573816155988899</v>
      </c>
      <c r="E3">
        <v>0</v>
      </c>
      <c r="F3">
        <v>0</v>
      </c>
      <c r="G3">
        <v>1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27</v>
      </c>
      <c r="P3">
        <v>26</v>
      </c>
      <c r="Q3">
        <v>5</v>
      </c>
      <c r="R3">
        <v>12</v>
      </c>
      <c r="S3">
        <v>1.1302414586262799</v>
      </c>
      <c r="T3">
        <v>1.4330244944378401</v>
      </c>
      <c r="U3">
        <v>0.83694376931608205</v>
      </c>
      <c r="V3">
        <v>0.60717462934008104</v>
      </c>
      <c r="W3">
        <v>182.81814126845899</v>
      </c>
      <c r="X3">
        <v>183.81152393188299</v>
      </c>
      <c r="Y3">
        <v>181.85587850825499</v>
      </c>
      <c r="Z3">
        <v>181.10204274717901</v>
      </c>
      <c r="AA3">
        <v>1</v>
      </c>
      <c r="AB3">
        <v>0</v>
      </c>
      <c r="AC3">
        <v>0</v>
      </c>
      <c r="AD3">
        <v>0</v>
      </c>
      <c r="AE3">
        <v>19</v>
      </c>
      <c r="AF3">
        <v>1</v>
      </c>
    </row>
    <row r="4" spans="1:32" x14ac:dyDescent="0.3">
      <c r="A4" t="s">
        <v>13</v>
      </c>
      <c r="B4">
        <v>5</v>
      </c>
      <c r="C4">
        <v>7.7994428969359306E-2</v>
      </c>
      <c r="D4">
        <v>0.33658310120705698</v>
      </c>
      <c r="E4">
        <v>1</v>
      </c>
      <c r="F4">
        <v>0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35</v>
      </c>
      <c r="P4">
        <v>34</v>
      </c>
      <c r="Q4">
        <v>13</v>
      </c>
      <c r="R4">
        <v>11</v>
      </c>
      <c r="S4">
        <v>1.0997634732338599</v>
      </c>
      <c r="T4">
        <v>0.88979821628513101</v>
      </c>
      <c r="U4">
        <v>0.90591695721156695</v>
      </c>
      <c r="V4">
        <v>0.22739874834516699</v>
      </c>
      <c r="W4">
        <v>182.718147878064</v>
      </c>
      <c r="X4">
        <v>182.02928548649999</v>
      </c>
      <c r="Y4">
        <v>182.08216849478899</v>
      </c>
      <c r="Z4">
        <v>179.856058885647</v>
      </c>
      <c r="AA4">
        <v>1</v>
      </c>
      <c r="AB4">
        <v>0</v>
      </c>
      <c r="AC4">
        <v>0</v>
      </c>
      <c r="AD4">
        <v>0</v>
      </c>
      <c r="AE4">
        <v>32</v>
      </c>
      <c r="AF4">
        <v>1</v>
      </c>
    </row>
    <row r="5" spans="1:32" x14ac:dyDescent="0.3">
      <c r="A5" t="s">
        <v>15</v>
      </c>
      <c r="B5">
        <v>7</v>
      </c>
      <c r="C5">
        <v>6.9637883008356605E-2</v>
      </c>
      <c r="D5">
        <v>3.3426183844011102E-2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34</v>
      </c>
      <c r="P5">
        <v>28</v>
      </c>
      <c r="Q5">
        <v>20</v>
      </c>
      <c r="R5">
        <v>21</v>
      </c>
      <c r="S5">
        <v>1.00341565307527</v>
      </c>
      <c r="T5">
        <v>1.11544632991407</v>
      </c>
      <c r="U5">
        <v>5.16141025679255E-2</v>
      </c>
      <c r="V5">
        <v>0.66619292727184498</v>
      </c>
      <c r="W5">
        <v>182.40204610589001</v>
      </c>
      <c r="X5">
        <v>182.769600819928</v>
      </c>
      <c r="Y5">
        <v>179.27933760684999</v>
      </c>
      <c r="Z5">
        <v>181.295672333569</v>
      </c>
      <c r="AA5">
        <v>1</v>
      </c>
      <c r="AB5">
        <v>0</v>
      </c>
      <c r="AC5">
        <v>0</v>
      </c>
      <c r="AD5">
        <v>0</v>
      </c>
      <c r="AE5">
        <v>9</v>
      </c>
      <c r="AF5">
        <v>1</v>
      </c>
    </row>
    <row r="6" spans="1:32" x14ac:dyDescent="0.3">
      <c r="A6" t="s">
        <v>17</v>
      </c>
      <c r="B6">
        <v>9</v>
      </c>
      <c r="C6">
        <v>0.16573816155988899</v>
      </c>
      <c r="D6">
        <v>7.6601671309192196E-2</v>
      </c>
      <c r="E6">
        <v>0</v>
      </c>
      <c r="F6">
        <v>0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9.8000000000000004E-2</v>
      </c>
      <c r="N6">
        <v>0.34649999999999997</v>
      </c>
      <c r="O6">
        <v>35</v>
      </c>
      <c r="P6">
        <v>33</v>
      </c>
      <c r="Q6">
        <v>17</v>
      </c>
      <c r="R6">
        <v>25</v>
      </c>
      <c r="S6">
        <v>1.58057554479587</v>
      </c>
      <c r="T6">
        <v>1.2347750146826599</v>
      </c>
      <c r="U6">
        <v>0.48919333558950301</v>
      </c>
      <c r="V6">
        <v>0.189081967370964</v>
      </c>
      <c r="W6">
        <v>184.29561530444801</v>
      </c>
      <c r="X6">
        <v>183.16109912953601</v>
      </c>
      <c r="Y6">
        <v>180.714965011777</v>
      </c>
      <c r="Z6">
        <v>179.73034766197799</v>
      </c>
      <c r="AA6">
        <v>1</v>
      </c>
      <c r="AB6">
        <v>0</v>
      </c>
      <c r="AC6">
        <v>0</v>
      </c>
      <c r="AD6">
        <v>0</v>
      </c>
      <c r="AE6">
        <v>24</v>
      </c>
      <c r="AF6">
        <v>1</v>
      </c>
    </row>
    <row r="7" spans="1:32" x14ac:dyDescent="0.3">
      <c r="A7" t="s">
        <v>19</v>
      </c>
      <c r="B7">
        <v>11</v>
      </c>
      <c r="C7">
        <v>0.33658310120705698</v>
      </c>
      <c r="D7">
        <v>0.24001857010213601</v>
      </c>
      <c r="E7">
        <v>0</v>
      </c>
      <c r="F7">
        <v>0</v>
      </c>
      <c r="G7">
        <v>0</v>
      </c>
      <c r="H7">
        <v>1</v>
      </c>
      <c r="I7">
        <v>0</v>
      </c>
      <c r="J7">
        <v>1</v>
      </c>
      <c r="K7">
        <v>0</v>
      </c>
      <c r="L7">
        <v>0</v>
      </c>
      <c r="M7">
        <v>1.0500000000000001E-2</v>
      </c>
      <c r="N7">
        <v>0</v>
      </c>
      <c r="O7">
        <v>21</v>
      </c>
      <c r="P7">
        <v>34</v>
      </c>
      <c r="Q7">
        <v>19</v>
      </c>
      <c r="R7">
        <v>16</v>
      </c>
      <c r="S7">
        <v>0.53789708941633896</v>
      </c>
      <c r="T7">
        <v>1.35088379284124</v>
      </c>
      <c r="U7">
        <v>0.41650190461176601</v>
      </c>
      <c r="V7">
        <v>0.42943140815138697</v>
      </c>
      <c r="W7">
        <v>180.87475423036901</v>
      </c>
      <c r="X7">
        <v>183.54203344108001</v>
      </c>
      <c r="Y7">
        <v>180.47647606499899</v>
      </c>
      <c r="Z7">
        <v>180.518895696035</v>
      </c>
      <c r="AA7">
        <v>1</v>
      </c>
      <c r="AB7">
        <v>0</v>
      </c>
      <c r="AC7">
        <v>0</v>
      </c>
      <c r="AD7">
        <v>0</v>
      </c>
      <c r="AE7">
        <v>7</v>
      </c>
      <c r="AF7">
        <v>1</v>
      </c>
    </row>
    <row r="8" spans="1:32" x14ac:dyDescent="0.3">
      <c r="A8" t="s">
        <v>23</v>
      </c>
      <c r="B8">
        <v>13</v>
      </c>
      <c r="C8">
        <v>7.6601671309192196E-2</v>
      </c>
      <c r="D8">
        <v>6.9637883008356605E-2</v>
      </c>
      <c r="E8">
        <v>0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1.7500000000000002E-2</v>
      </c>
      <c r="O8">
        <v>31</v>
      </c>
      <c r="P8">
        <v>32</v>
      </c>
      <c r="Q8">
        <v>14</v>
      </c>
      <c r="R8">
        <v>32</v>
      </c>
      <c r="S8">
        <v>1.6152438725357301</v>
      </c>
      <c r="T8">
        <v>1.78705683578839</v>
      </c>
      <c r="U8">
        <v>1.1609038556325799</v>
      </c>
      <c r="V8">
        <v>1.78705683578839</v>
      </c>
      <c r="W8">
        <v>184.409356537191</v>
      </c>
      <c r="X8">
        <v>184.97304736151</v>
      </c>
      <c r="Y8">
        <v>182.91873968383399</v>
      </c>
      <c r="Z8">
        <v>184.97304736151</v>
      </c>
      <c r="AA8">
        <v>1</v>
      </c>
      <c r="AB8">
        <v>0</v>
      </c>
      <c r="AC8">
        <v>0</v>
      </c>
      <c r="AD8">
        <v>0</v>
      </c>
      <c r="AE8">
        <v>6</v>
      </c>
      <c r="AF8">
        <v>1</v>
      </c>
    </row>
    <row r="9" spans="1:32" x14ac:dyDescent="0.3">
      <c r="A9" t="s">
        <v>25</v>
      </c>
      <c r="B9">
        <v>15</v>
      </c>
      <c r="C9">
        <v>0.24001857010213601</v>
      </c>
      <c r="D9">
        <v>0.16573816155988899</v>
      </c>
      <c r="E9">
        <v>0</v>
      </c>
      <c r="F9">
        <v>0</v>
      </c>
      <c r="G9">
        <v>1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32</v>
      </c>
      <c r="P9">
        <v>29</v>
      </c>
      <c r="Q9">
        <v>16</v>
      </c>
      <c r="R9">
        <v>13</v>
      </c>
      <c r="S9">
        <v>1.5850013074045799</v>
      </c>
      <c r="T9">
        <v>1.45281076829636</v>
      </c>
      <c r="U9">
        <v>1.08223480540075</v>
      </c>
      <c r="V9">
        <v>0.99969079094447399</v>
      </c>
      <c r="W9">
        <v>184.310135522981</v>
      </c>
      <c r="X9">
        <v>183.87643952853099</v>
      </c>
      <c r="Y9">
        <v>182.66063912533099</v>
      </c>
      <c r="Z9">
        <v>182.38982542960801</v>
      </c>
      <c r="AA9">
        <v>1</v>
      </c>
      <c r="AB9">
        <v>0</v>
      </c>
      <c r="AC9">
        <v>0</v>
      </c>
      <c r="AD9">
        <v>0</v>
      </c>
      <c r="AE9">
        <v>12</v>
      </c>
      <c r="AF9">
        <v>1</v>
      </c>
    </row>
    <row r="10" spans="1:32" x14ac:dyDescent="0.3">
      <c r="A10" t="s">
        <v>27</v>
      </c>
      <c r="B10">
        <v>17</v>
      </c>
      <c r="C10">
        <v>7.7994428969359306E-2</v>
      </c>
      <c r="D10">
        <v>0.33658310120705698</v>
      </c>
      <c r="E10">
        <v>0</v>
      </c>
      <c r="F10">
        <v>0</v>
      </c>
      <c r="G10">
        <v>1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24</v>
      </c>
      <c r="P10">
        <v>31</v>
      </c>
      <c r="Q10">
        <v>17</v>
      </c>
      <c r="R10">
        <v>12</v>
      </c>
      <c r="S10">
        <v>1.4435272017534599</v>
      </c>
      <c r="T10">
        <v>1.1858058261714199</v>
      </c>
      <c r="U10">
        <v>1.02429143850154</v>
      </c>
      <c r="V10">
        <v>0.98405613022083605</v>
      </c>
      <c r="W10">
        <v>183.84598163304901</v>
      </c>
      <c r="X10">
        <v>183.00043906224201</v>
      </c>
      <c r="Y10">
        <v>182.470536215556</v>
      </c>
      <c r="Z10">
        <v>182.33853061096099</v>
      </c>
      <c r="AA10">
        <v>1</v>
      </c>
      <c r="AB10">
        <v>0</v>
      </c>
      <c r="AC10">
        <v>0</v>
      </c>
      <c r="AD10">
        <v>0</v>
      </c>
      <c r="AE10">
        <v>7</v>
      </c>
      <c r="AF10">
        <v>1</v>
      </c>
    </row>
    <row r="11" spans="1:32" x14ac:dyDescent="0.3">
      <c r="A11" t="s">
        <v>29</v>
      </c>
      <c r="B11">
        <v>19</v>
      </c>
      <c r="C11">
        <v>6.9637883008356605E-2</v>
      </c>
      <c r="D11">
        <v>3.3426183844011102E-2</v>
      </c>
      <c r="E11">
        <v>0</v>
      </c>
      <c r="F11">
        <v>0</v>
      </c>
      <c r="G11">
        <v>1</v>
      </c>
      <c r="H11">
        <v>0</v>
      </c>
      <c r="I11">
        <v>0</v>
      </c>
      <c r="J11">
        <v>1</v>
      </c>
      <c r="K11">
        <v>0</v>
      </c>
      <c r="L11">
        <v>0</v>
      </c>
      <c r="M11">
        <v>0.11550000000000001</v>
      </c>
      <c r="N11">
        <v>0.434</v>
      </c>
      <c r="O11">
        <v>32</v>
      </c>
      <c r="P11">
        <v>26</v>
      </c>
      <c r="Q11">
        <v>16</v>
      </c>
      <c r="R11">
        <v>17</v>
      </c>
      <c r="S11">
        <v>1.5876813093109601</v>
      </c>
      <c r="T11">
        <v>1.1898860902813</v>
      </c>
      <c r="U11">
        <v>0.78288819777123997</v>
      </c>
      <c r="V11">
        <v>0.56560091923872602</v>
      </c>
      <c r="W11">
        <v>184.31892818015399</v>
      </c>
      <c r="X11">
        <v>183.013825755516</v>
      </c>
      <c r="Y11">
        <v>181.67853083258299</v>
      </c>
      <c r="Z11">
        <v>180.965646060495</v>
      </c>
      <c r="AA11">
        <v>1</v>
      </c>
      <c r="AB11">
        <v>0</v>
      </c>
      <c r="AC11">
        <v>0</v>
      </c>
      <c r="AD11">
        <v>0</v>
      </c>
      <c r="AE11">
        <v>30</v>
      </c>
      <c r="AF11">
        <v>1</v>
      </c>
    </row>
    <row r="12" spans="1:32" x14ac:dyDescent="0.3">
      <c r="A12" t="s">
        <v>31</v>
      </c>
      <c r="B12">
        <v>21</v>
      </c>
      <c r="C12">
        <v>0.16573816155988899</v>
      </c>
      <c r="D12">
        <v>7.6601671309192196E-2</v>
      </c>
      <c r="E12">
        <v>0</v>
      </c>
      <c r="F12">
        <v>0</v>
      </c>
      <c r="G12">
        <v>1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36</v>
      </c>
      <c r="P12">
        <v>33</v>
      </c>
      <c r="Q12">
        <v>17</v>
      </c>
      <c r="R12">
        <v>20</v>
      </c>
      <c r="S12">
        <v>1.6033024944065599</v>
      </c>
      <c r="T12">
        <v>1.8073556344474</v>
      </c>
      <c r="U12">
        <v>1.12826314570643</v>
      </c>
      <c r="V12">
        <v>1.48466663438573</v>
      </c>
      <c r="W12">
        <v>184.37017878742299</v>
      </c>
      <c r="X12">
        <v>185.03964446997199</v>
      </c>
      <c r="Y12">
        <v>182.81165074050699</v>
      </c>
      <c r="Z12">
        <v>183.98095352488801</v>
      </c>
      <c r="AA12">
        <v>1</v>
      </c>
      <c r="AB12">
        <v>0</v>
      </c>
      <c r="AC12">
        <v>0</v>
      </c>
      <c r="AD12">
        <v>0</v>
      </c>
      <c r="AE12">
        <v>15</v>
      </c>
      <c r="AF12">
        <v>1</v>
      </c>
    </row>
    <row r="13" spans="1:32" x14ac:dyDescent="0.3">
      <c r="A13" t="s">
        <v>33</v>
      </c>
      <c r="B13">
        <v>23</v>
      </c>
      <c r="C13">
        <v>0.33658310120705698</v>
      </c>
      <c r="D13">
        <v>0.24001857010213601</v>
      </c>
      <c r="E13">
        <v>0</v>
      </c>
      <c r="F13">
        <v>0</v>
      </c>
      <c r="G13">
        <v>1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0.27650000000000002</v>
      </c>
      <c r="O13">
        <v>37</v>
      </c>
      <c r="P13">
        <v>40</v>
      </c>
      <c r="Q13">
        <v>14</v>
      </c>
      <c r="R13">
        <v>20</v>
      </c>
      <c r="S13">
        <v>1.8383293786799899</v>
      </c>
      <c r="T13">
        <v>1.2701376382113101</v>
      </c>
      <c r="U13">
        <v>0.93873543150711702</v>
      </c>
      <c r="V13">
        <v>1.0655359495032599</v>
      </c>
      <c r="W13">
        <v>185.14126436574799</v>
      </c>
      <c r="X13">
        <v>183.27711823560099</v>
      </c>
      <c r="Y13">
        <v>182.18984065455101</v>
      </c>
      <c r="Z13">
        <v>182.60585285270099</v>
      </c>
      <c r="AA13">
        <v>1</v>
      </c>
      <c r="AB13">
        <v>0</v>
      </c>
      <c r="AC13">
        <v>0</v>
      </c>
      <c r="AD13">
        <v>0</v>
      </c>
      <c r="AE13">
        <v>50</v>
      </c>
      <c r="AF13">
        <v>1</v>
      </c>
    </row>
    <row r="14" spans="1:32" x14ac:dyDescent="0.3">
      <c r="A14" t="s">
        <v>34</v>
      </c>
      <c r="B14">
        <v>25</v>
      </c>
      <c r="C14">
        <v>3.3426183844011102E-2</v>
      </c>
      <c r="D14">
        <v>7.7994428969359306E-2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1</v>
      </c>
      <c r="L14">
        <v>0</v>
      </c>
      <c r="M14">
        <v>0.47249999999999998</v>
      </c>
      <c r="N14">
        <v>0.87150000000000005</v>
      </c>
      <c r="O14">
        <v>20</v>
      </c>
      <c r="P14">
        <v>19</v>
      </c>
      <c r="Q14">
        <v>20</v>
      </c>
      <c r="R14">
        <v>17</v>
      </c>
      <c r="S14">
        <v>1.36011053945192</v>
      </c>
      <c r="T14">
        <v>1.6294050586726301</v>
      </c>
      <c r="U14">
        <v>1.3600918907884101</v>
      </c>
      <c r="V14">
        <v>1.5368777304486001</v>
      </c>
      <c r="W14">
        <v>183.572304919462</v>
      </c>
      <c r="X14">
        <v>184.455817121629</v>
      </c>
      <c r="Y14">
        <v>183.572243736182</v>
      </c>
      <c r="Z14">
        <v>184.15224977181299</v>
      </c>
      <c r="AA14">
        <v>1</v>
      </c>
      <c r="AB14">
        <v>0</v>
      </c>
      <c r="AC14">
        <v>0</v>
      </c>
      <c r="AD14">
        <v>0</v>
      </c>
      <c r="AE14">
        <v>2</v>
      </c>
      <c r="AF14">
        <v>1</v>
      </c>
    </row>
    <row r="15" spans="1:32" x14ac:dyDescent="0.3">
      <c r="A15" t="s">
        <v>36</v>
      </c>
      <c r="B15">
        <v>27</v>
      </c>
      <c r="C15">
        <v>7.6601671309192196E-2</v>
      </c>
      <c r="D15">
        <v>6.9637883008356605E-2</v>
      </c>
      <c r="E15">
        <v>0</v>
      </c>
      <c r="F15">
        <v>0</v>
      </c>
      <c r="G15">
        <v>1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26</v>
      </c>
      <c r="P15">
        <v>30</v>
      </c>
      <c r="Q15">
        <v>19</v>
      </c>
      <c r="R15">
        <v>15</v>
      </c>
      <c r="S15">
        <v>1.3218717495663099</v>
      </c>
      <c r="T15">
        <v>1.1164949957674</v>
      </c>
      <c r="U15">
        <v>0.79105369734494602</v>
      </c>
      <c r="V15">
        <v>0.91132237164234797</v>
      </c>
      <c r="W15">
        <v>183.446849572068</v>
      </c>
      <c r="X15">
        <v>182.77304132469601</v>
      </c>
      <c r="Y15">
        <v>181.70532052934701</v>
      </c>
      <c r="Z15">
        <v>182.09990279410201</v>
      </c>
      <c r="AA15">
        <v>1</v>
      </c>
      <c r="AB15">
        <v>0</v>
      </c>
      <c r="AC15">
        <v>0</v>
      </c>
      <c r="AD15">
        <v>0</v>
      </c>
      <c r="AE15">
        <v>9</v>
      </c>
      <c r="AF15">
        <v>1</v>
      </c>
    </row>
    <row r="16" spans="1:32" x14ac:dyDescent="0.3">
      <c r="A16" t="s">
        <v>38</v>
      </c>
      <c r="B16">
        <v>29</v>
      </c>
      <c r="C16">
        <v>0.24001857010213601</v>
      </c>
      <c r="D16">
        <v>0.16573816155988899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30</v>
      </c>
      <c r="P16">
        <v>36</v>
      </c>
      <c r="Q16">
        <v>9</v>
      </c>
      <c r="R16">
        <v>21</v>
      </c>
      <c r="S16">
        <v>1.0005204335343401</v>
      </c>
      <c r="T16">
        <v>1.3941054796604699</v>
      </c>
      <c r="U16">
        <v>0.54651804076210198</v>
      </c>
      <c r="V16">
        <v>1.1843125230881799</v>
      </c>
      <c r="W16">
        <v>182.39254735411501</v>
      </c>
      <c r="X16">
        <v>183.683836875526</v>
      </c>
      <c r="Y16">
        <v>180.90303819147701</v>
      </c>
      <c r="Z16">
        <v>182.99553977391099</v>
      </c>
      <c r="AA16">
        <v>1</v>
      </c>
      <c r="AB16">
        <v>0</v>
      </c>
      <c r="AC16">
        <v>0</v>
      </c>
      <c r="AD16">
        <v>0</v>
      </c>
      <c r="AE16">
        <v>30</v>
      </c>
      <c r="AF16">
        <v>1</v>
      </c>
    </row>
    <row r="17" spans="1:32" x14ac:dyDescent="0.3">
      <c r="A17" t="s">
        <v>40</v>
      </c>
      <c r="B17">
        <v>31</v>
      </c>
      <c r="C17">
        <v>7.7994428969359306E-2</v>
      </c>
      <c r="D17">
        <v>0.33658310120705698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1</v>
      </c>
      <c r="L17">
        <v>0</v>
      </c>
      <c r="M17">
        <v>0.49</v>
      </c>
      <c r="N17">
        <v>0.44450000000000001</v>
      </c>
      <c r="O17">
        <v>37</v>
      </c>
      <c r="P17">
        <v>38</v>
      </c>
      <c r="Q17">
        <v>19</v>
      </c>
      <c r="R17">
        <v>21</v>
      </c>
      <c r="S17">
        <v>1.8616952674513101</v>
      </c>
      <c r="T17">
        <v>1.4518828598565701</v>
      </c>
      <c r="U17">
        <v>1.0396119597326601</v>
      </c>
      <c r="V17">
        <v>0.90571434559014397</v>
      </c>
      <c r="W17">
        <v>185.21792410581099</v>
      </c>
      <c r="X17">
        <v>183.873395209503</v>
      </c>
      <c r="Y17">
        <v>182.52080039282399</v>
      </c>
      <c r="Z17">
        <v>182.081503758498</v>
      </c>
      <c r="AA17">
        <v>1</v>
      </c>
      <c r="AB17">
        <v>0</v>
      </c>
      <c r="AC17">
        <v>0</v>
      </c>
      <c r="AD17">
        <v>0</v>
      </c>
      <c r="AE17">
        <v>14</v>
      </c>
      <c r="AF17">
        <v>1</v>
      </c>
    </row>
    <row r="18" spans="1:32" x14ac:dyDescent="0.3">
      <c r="A18" t="s">
        <v>44</v>
      </c>
      <c r="B18">
        <v>33</v>
      </c>
      <c r="C18">
        <v>0.16573816155988899</v>
      </c>
      <c r="D18">
        <v>7.6601671309192196E-2</v>
      </c>
      <c r="E18">
        <v>0</v>
      </c>
      <c r="F18">
        <v>0</v>
      </c>
      <c r="G18">
        <v>0</v>
      </c>
      <c r="H18">
        <v>1</v>
      </c>
      <c r="I18">
        <v>0</v>
      </c>
      <c r="J18">
        <v>1</v>
      </c>
      <c r="K18">
        <v>0</v>
      </c>
      <c r="L18">
        <v>0</v>
      </c>
      <c r="M18">
        <v>3.5000000000000003E-2</v>
      </c>
      <c r="N18">
        <v>0</v>
      </c>
      <c r="O18">
        <v>37</v>
      </c>
      <c r="P18">
        <v>31</v>
      </c>
      <c r="Q18">
        <v>16</v>
      </c>
      <c r="R18">
        <v>20</v>
      </c>
      <c r="S18">
        <v>1.8541982139275299</v>
      </c>
      <c r="T18">
        <v>1.9999842893618001</v>
      </c>
      <c r="U18">
        <v>1.3700134820286101</v>
      </c>
      <c r="V18">
        <v>1.8730662611051201</v>
      </c>
      <c r="W18">
        <v>185.19332747351601</v>
      </c>
      <c r="X18">
        <v>185.671628245938</v>
      </c>
      <c r="Y18">
        <v>183.604794888545</v>
      </c>
      <c r="Z18">
        <v>185.25523051543701</v>
      </c>
      <c r="AA18">
        <v>1</v>
      </c>
      <c r="AB18">
        <v>0</v>
      </c>
      <c r="AC18">
        <v>0</v>
      </c>
      <c r="AD18">
        <v>0</v>
      </c>
      <c r="AE18">
        <v>23</v>
      </c>
      <c r="AF18">
        <v>1</v>
      </c>
    </row>
    <row r="19" spans="1:32" x14ac:dyDescent="0.3">
      <c r="A19" t="s">
        <v>48</v>
      </c>
      <c r="B19">
        <v>35</v>
      </c>
      <c r="C19">
        <v>3.3426183844011102E-2</v>
      </c>
      <c r="D19">
        <v>7.7994428969359306E-2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0</v>
      </c>
      <c r="L19">
        <v>1</v>
      </c>
      <c r="M19">
        <v>0</v>
      </c>
      <c r="N19">
        <v>0.17849999999999999</v>
      </c>
      <c r="O19">
        <v>30</v>
      </c>
      <c r="P19">
        <v>26</v>
      </c>
      <c r="Q19">
        <v>17</v>
      </c>
      <c r="R19">
        <v>17</v>
      </c>
      <c r="S19">
        <v>1.73928568149942</v>
      </c>
      <c r="T19">
        <v>1.9946346363607601</v>
      </c>
      <c r="U19">
        <v>1.55371550596091</v>
      </c>
      <c r="V19">
        <v>1.9551520810888801</v>
      </c>
      <c r="W19">
        <v>184.816317852688</v>
      </c>
      <c r="X19">
        <v>185.65407689094701</v>
      </c>
      <c r="Y19">
        <v>184.207491817457</v>
      </c>
      <c r="Z19">
        <v>185.52454094845399</v>
      </c>
      <c r="AA19">
        <v>1</v>
      </c>
      <c r="AB19">
        <v>0</v>
      </c>
      <c r="AC19">
        <v>0</v>
      </c>
      <c r="AD19">
        <v>0</v>
      </c>
      <c r="AE19">
        <v>9</v>
      </c>
      <c r="AF19">
        <v>1</v>
      </c>
    </row>
    <row r="20" spans="1:32" x14ac:dyDescent="0.3">
      <c r="A20" t="s">
        <v>50</v>
      </c>
      <c r="B20">
        <v>37</v>
      </c>
      <c r="C20">
        <v>7.6601671309192196E-2</v>
      </c>
      <c r="D20">
        <v>6.9637883008356605E-2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1</v>
      </c>
      <c r="L20">
        <v>0</v>
      </c>
      <c r="M20">
        <v>0.38150000000000001</v>
      </c>
      <c r="N20">
        <v>0.60550000000000004</v>
      </c>
      <c r="O20">
        <v>32</v>
      </c>
      <c r="P20">
        <v>25</v>
      </c>
      <c r="Q20">
        <v>26</v>
      </c>
      <c r="R20">
        <v>22</v>
      </c>
      <c r="S20">
        <v>1.9229529958736</v>
      </c>
      <c r="T20">
        <v>1.9868774291325899</v>
      </c>
      <c r="U20">
        <v>1.7865930255187901</v>
      </c>
      <c r="V20">
        <v>1.6189689837985599</v>
      </c>
      <c r="W20">
        <v>185.41890090509699</v>
      </c>
      <c r="X20">
        <v>185.62862673599901</v>
      </c>
      <c r="Y20">
        <v>184.97152567427401</v>
      </c>
      <c r="Z20">
        <v>184.42157803083501</v>
      </c>
      <c r="AA20">
        <v>1</v>
      </c>
      <c r="AB20">
        <v>0</v>
      </c>
      <c r="AC20">
        <v>0</v>
      </c>
      <c r="AD20">
        <v>0</v>
      </c>
      <c r="AE20">
        <v>11</v>
      </c>
      <c r="AF20">
        <v>1</v>
      </c>
    </row>
    <row r="21" spans="1:32" x14ac:dyDescent="0.3">
      <c r="A21" t="s">
        <v>52</v>
      </c>
      <c r="B21">
        <v>39</v>
      </c>
      <c r="C21">
        <v>0.24001857010213601</v>
      </c>
      <c r="D21">
        <v>0.16573816155988899</v>
      </c>
      <c r="E21">
        <v>1</v>
      </c>
      <c r="F21">
        <v>0</v>
      </c>
      <c r="G21">
        <v>0</v>
      </c>
      <c r="H21">
        <v>1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24</v>
      </c>
      <c r="P21">
        <v>37</v>
      </c>
      <c r="Q21">
        <v>18</v>
      </c>
      <c r="R21">
        <v>18</v>
      </c>
      <c r="S21">
        <v>1.43112524802424</v>
      </c>
      <c r="T21">
        <v>1.7758684444796899</v>
      </c>
      <c r="U21">
        <v>1.11915530747697</v>
      </c>
      <c r="V21">
        <v>1.6295260162221601</v>
      </c>
      <c r="W21">
        <v>183.80529280847901</v>
      </c>
      <c r="X21">
        <v>184.936340040944</v>
      </c>
      <c r="Y21">
        <v>182.78176938148599</v>
      </c>
      <c r="Z21">
        <v>184.456213963984</v>
      </c>
      <c r="AA21">
        <v>1</v>
      </c>
      <c r="AB21">
        <v>0</v>
      </c>
      <c r="AC21">
        <v>0</v>
      </c>
      <c r="AD21">
        <v>0</v>
      </c>
      <c r="AE21">
        <v>12</v>
      </c>
      <c r="AF21">
        <v>1</v>
      </c>
    </row>
    <row r="22" spans="1:32" x14ac:dyDescent="0.3">
      <c r="A22" t="s">
        <v>54</v>
      </c>
      <c r="B22">
        <v>41</v>
      </c>
      <c r="C22">
        <v>7.7994428969359306E-2</v>
      </c>
      <c r="D22">
        <v>0.33658310120705698</v>
      </c>
      <c r="E22">
        <v>0</v>
      </c>
      <c r="F22">
        <v>0</v>
      </c>
      <c r="G22">
        <v>1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0.13300000000000001</v>
      </c>
      <c r="O22">
        <v>36</v>
      </c>
      <c r="P22">
        <v>36</v>
      </c>
      <c r="Q22">
        <v>16</v>
      </c>
      <c r="R22">
        <v>16</v>
      </c>
      <c r="S22">
        <v>1.7270687225079899</v>
      </c>
      <c r="T22">
        <v>1.6083595400789299</v>
      </c>
      <c r="U22">
        <v>0.67802143162939998</v>
      </c>
      <c r="V22">
        <v>1.0112719800643799</v>
      </c>
      <c r="W22">
        <v>184.776235966234</v>
      </c>
      <c r="X22">
        <v>184.38677014461601</v>
      </c>
      <c r="Y22">
        <v>181.334479762564</v>
      </c>
      <c r="Z22">
        <v>182.42782145690401</v>
      </c>
      <c r="AA22">
        <v>1</v>
      </c>
      <c r="AB22">
        <v>0</v>
      </c>
      <c r="AC22">
        <v>0</v>
      </c>
      <c r="AD22">
        <v>0</v>
      </c>
      <c r="AE22">
        <v>22</v>
      </c>
      <c r="AF22">
        <v>1</v>
      </c>
    </row>
    <row r="23" spans="1:32" x14ac:dyDescent="0.3">
      <c r="A23" t="s">
        <v>56</v>
      </c>
      <c r="B23">
        <v>43</v>
      </c>
      <c r="C23">
        <v>6.9637883008356605E-2</v>
      </c>
      <c r="D23">
        <v>3.3426183844011102E-2</v>
      </c>
      <c r="E23">
        <v>0</v>
      </c>
      <c r="F23">
        <v>0</v>
      </c>
      <c r="G23">
        <v>0</v>
      </c>
      <c r="H23">
        <v>0</v>
      </c>
      <c r="I23">
        <v>1</v>
      </c>
      <c r="J23">
        <v>1</v>
      </c>
      <c r="K23">
        <v>0</v>
      </c>
      <c r="L23">
        <v>0</v>
      </c>
      <c r="M23">
        <v>0.85399999999999998</v>
      </c>
      <c r="N23">
        <v>0</v>
      </c>
      <c r="O23">
        <v>32</v>
      </c>
      <c r="P23">
        <v>29</v>
      </c>
      <c r="Q23">
        <v>32</v>
      </c>
      <c r="R23">
        <v>24</v>
      </c>
      <c r="S23">
        <v>0.58658599090475205</v>
      </c>
      <c r="T23">
        <v>1.06570678728322</v>
      </c>
      <c r="U23">
        <v>0.58658599090475205</v>
      </c>
      <c r="V23">
        <v>0.653831153290925</v>
      </c>
      <c r="W23">
        <v>181.03449472081601</v>
      </c>
      <c r="X23">
        <v>182.60641334410499</v>
      </c>
      <c r="Y23">
        <v>181.03449472081601</v>
      </c>
      <c r="Z23">
        <v>181.25511533231901</v>
      </c>
      <c r="AA23">
        <v>1</v>
      </c>
      <c r="AB23">
        <v>0</v>
      </c>
      <c r="AC23">
        <v>0</v>
      </c>
      <c r="AD23">
        <v>0</v>
      </c>
      <c r="AE23">
        <v>1</v>
      </c>
      <c r="AF23">
        <v>1</v>
      </c>
    </row>
    <row r="24" spans="1:32" x14ac:dyDescent="0.3">
      <c r="A24" t="s">
        <v>58</v>
      </c>
      <c r="B24">
        <v>45</v>
      </c>
      <c r="C24">
        <v>0.16573816155988899</v>
      </c>
      <c r="D24">
        <v>7.6601671309192196E-2</v>
      </c>
      <c r="E24">
        <v>0</v>
      </c>
      <c r="F24">
        <v>0</v>
      </c>
      <c r="G24">
        <v>1</v>
      </c>
      <c r="H24">
        <v>0</v>
      </c>
      <c r="I24">
        <v>0</v>
      </c>
      <c r="J24">
        <v>1</v>
      </c>
      <c r="K24">
        <v>0</v>
      </c>
      <c r="L24">
        <v>0</v>
      </c>
      <c r="M24">
        <v>1.5645</v>
      </c>
      <c r="N24">
        <v>0</v>
      </c>
      <c r="O24">
        <v>39</v>
      </c>
      <c r="P24">
        <v>31</v>
      </c>
      <c r="Q24">
        <v>19</v>
      </c>
      <c r="R24">
        <v>22</v>
      </c>
      <c r="S24">
        <v>1.05930615117237</v>
      </c>
      <c r="T24">
        <v>1.0620636473106999</v>
      </c>
      <c r="U24">
        <v>0.55819365868748105</v>
      </c>
      <c r="V24">
        <v>0.76034752738834899</v>
      </c>
      <c r="W24">
        <v>182.58541388179901</v>
      </c>
      <c r="X24">
        <v>182.59446078514</v>
      </c>
      <c r="Y24">
        <v>180.94134402456501</v>
      </c>
      <c r="Z24">
        <v>181.60457850193001</v>
      </c>
      <c r="AA24">
        <v>1</v>
      </c>
      <c r="AB24">
        <v>0</v>
      </c>
      <c r="AC24">
        <v>0</v>
      </c>
      <c r="AD24">
        <v>0</v>
      </c>
      <c r="AE24">
        <v>37</v>
      </c>
      <c r="AF24">
        <v>1</v>
      </c>
    </row>
    <row r="25" spans="1:32" x14ac:dyDescent="0.3">
      <c r="A25" t="s">
        <v>60</v>
      </c>
      <c r="B25">
        <v>47</v>
      </c>
      <c r="C25">
        <v>0.33658310120705698</v>
      </c>
      <c r="D25">
        <v>0.24001857010213601</v>
      </c>
      <c r="E25">
        <v>0</v>
      </c>
      <c r="F25">
        <v>0</v>
      </c>
      <c r="G25">
        <v>1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40</v>
      </c>
      <c r="P25">
        <v>40</v>
      </c>
      <c r="Q25">
        <v>15</v>
      </c>
      <c r="R25">
        <v>20</v>
      </c>
      <c r="S25">
        <v>1.29987295518982</v>
      </c>
      <c r="T25">
        <v>0.92507227666570202</v>
      </c>
      <c r="U25">
        <v>0.57488517829128705</v>
      </c>
      <c r="V25">
        <v>0.104011550057409</v>
      </c>
      <c r="W25">
        <v>183.37467504983499</v>
      </c>
      <c r="X25">
        <v>182.14501403105501</v>
      </c>
      <c r="Y25">
        <v>180.99610622799</v>
      </c>
      <c r="Z25">
        <v>179.451245242971</v>
      </c>
      <c r="AA25">
        <v>1</v>
      </c>
      <c r="AB25">
        <v>0</v>
      </c>
      <c r="AC25">
        <v>0</v>
      </c>
      <c r="AD25">
        <v>0</v>
      </c>
      <c r="AE25">
        <v>79</v>
      </c>
      <c r="AF25">
        <v>1</v>
      </c>
    </row>
    <row r="26" spans="1:32" x14ac:dyDescent="0.3">
      <c r="A26" t="s">
        <v>62</v>
      </c>
      <c r="B26">
        <v>49</v>
      </c>
      <c r="C26">
        <v>3.3426183844011102E-2</v>
      </c>
      <c r="D26">
        <v>7.7994428969359306E-2</v>
      </c>
      <c r="E26">
        <v>0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7.0000000000000007E-2</v>
      </c>
      <c r="N26">
        <v>0</v>
      </c>
      <c r="O26">
        <v>31</v>
      </c>
      <c r="P26">
        <v>35</v>
      </c>
      <c r="Q26">
        <v>23</v>
      </c>
      <c r="R26">
        <v>26</v>
      </c>
      <c r="S26">
        <v>1.5356157011840901</v>
      </c>
      <c r="T26">
        <v>0.93021896797324799</v>
      </c>
      <c r="U26">
        <v>0.96605587213410005</v>
      </c>
      <c r="V26">
        <v>0.59566146465738401</v>
      </c>
      <c r="W26">
        <v>184.148109255853</v>
      </c>
      <c r="X26">
        <v>182.16189950122501</v>
      </c>
      <c r="Y26">
        <v>182.27947464610901</v>
      </c>
      <c r="Z26">
        <v>181.06426989716999</v>
      </c>
      <c r="AA26">
        <v>1</v>
      </c>
      <c r="AB26">
        <v>0</v>
      </c>
      <c r="AC26">
        <v>0</v>
      </c>
      <c r="AD26">
        <v>0</v>
      </c>
      <c r="AE26">
        <v>7</v>
      </c>
      <c r="AF26">
        <v>1</v>
      </c>
    </row>
    <row r="27" spans="1:32" x14ac:dyDescent="0.3">
      <c r="A27" t="s">
        <v>64</v>
      </c>
      <c r="B27">
        <v>51</v>
      </c>
      <c r="C27">
        <v>7.6601671309192196E-2</v>
      </c>
      <c r="D27">
        <v>6.9637883008356605E-2</v>
      </c>
      <c r="E27">
        <v>0</v>
      </c>
      <c r="F27">
        <v>0</v>
      </c>
      <c r="G27">
        <v>1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0.42699999999999999</v>
      </c>
      <c r="O27">
        <v>37</v>
      </c>
      <c r="P27">
        <v>34</v>
      </c>
      <c r="Q27">
        <v>12</v>
      </c>
      <c r="R27">
        <v>22</v>
      </c>
      <c r="S27">
        <v>0.57578415333256505</v>
      </c>
      <c r="T27">
        <v>1.2297212535249999</v>
      </c>
      <c r="U27">
        <v>0.11128936144064699</v>
      </c>
      <c r="V27">
        <v>0.94294307694957102</v>
      </c>
      <c r="W27">
        <v>180.99905562116999</v>
      </c>
      <c r="X27">
        <v>183.14451854831</v>
      </c>
      <c r="Y27">
        <v>179.47512257690499</v>
      </c>
      <c r="Z27">
        <v>182.20364526558299</v>
      </c>
      <c r="AA27">
        <v>1</v>
      </c>
      <c r="AB27">
        <v>0</v>
      </c>
      <c r="AC27">
        <v>0</v>
      </c>
      <c r="AD27">
        <v>0</v>
      </c>
      <c r="AE27">
        <v>28</v>
      </c>
      <c r="AF27">
        <v>1</v>
      </c>
    </row>
    <row r="28" spans="1:32" x14ac:dyDescent="0.3">
      <c r="A28" t="s">
        <v>66</v>
      </c>
      <c r="B28">
        <v>53</v>
      </c>
      <c r="C28">
        <v>0.24001857010213601</v>
      </c>
      <c r="D28">
        <v>0.16573816155988899</v>
      </c>
      <c r="E28">
        <v>0</v>
      </c>
      <c r="F28">
        <v>0</v>
      </c>
      <c r="G28">
        <v>1</v>
      </c>
      <c r="H28">
        <v>0</v>
      </c>
      <c r="I28">
        <v>0</v>
      </c>
      <c r="J28">
        <v>1</v>
      </c>
      <c r="K28">
        <v>0</v>
      </c>
      <c r="L28">
        <v>0</v>
      </c>
      <c r="M28">
        <v>8.0500000000000002E-2</v>
      </c>
      <c r="N28">
        <v>0</v>
      </c>
      <c r="O28">
        <v>30</v>
      </c>
      <c r="P28">
        <v>32</v>
      </c>
      <c r="Q28">
        <v>19</v>
      </c>
      <c r="R28">
        <v>12</v>
      </c>
      <c r="S28">
        <v>0.89459096414813399</v>
      </c>
      <c r="T28">
        <v>1.06173866744552</v>
      </c>
      <c r="U28">
        <v>0.569777235692844</v>
      </c>
      <c r="V28">
        <v>0.35813523498652899</v>
      </c>
      <c r="W28">
        <v>182.04500972489501</v>
      </c>
      <c r="X28">
        <v>182.59339457823299</v>
      </c>
      <c r="Y28">
        <v>180.97934788613099</v>
      </c>
      <c r="Z28">
        <v>180.284984366754</v>
      </c>
      <c r="AA28">
        <v>1</v>
      </c>
      <c r="AB28">
        <v>0</v>
      </c>
      <c r="AC28">
        <v>0</v>
      </c>
      <c r="AD28">
        <v>0</v>
      </c>
      <c r="AE28">
        <v>30</v>
      </c>
      <c r="AF28">
        <v>1</v>
      </c>
    </row>
    <row r="29" spans="1:32" x14ac:dyDescent="0.3">
      <c r="A29" t="s">
        <v>68</v>
      </c>
      <c r="B29">
        <v>55</v>
      </c>
      <c r="C29">
        <v>7.7994428969359306E-2</v>
      </c>
      <c r="D29">
        <v>0.33658310120705698</v>
      </c>
      <c r="E29">
        <v>0</v>
      </c>
      <c r="F29">
        <v>0</v>
      </c>
      <c r="G29">
        <v>1</v>
      </c>
      <c r="H29">
        <v>0</v>
      </c>
      <c r="I29">
        <v>0</v>
      </c>
      <c r="J29">
        <v>1</v>
      </c>
      <c r="K29">
        <v>0</v>
      </c>
      <c r="L29">
        <v>0</v>
      </c>
      <c r="M29">
        <v>9.8000000000000004E-2</v>
      </c>
      <c r="N29">
        <v>4.5499999999999999E-2</v>
      </c>
      <c r="O29">
        <v>42</v>
      </c>
      <c r="P29">
        <v>38</v>
      </c>
      <c r="Q29">
        <v>22</v>
      </c>
      <c r="R29">
        <v>23</v>
      </c>
      <c r="S29">
        <v>1.5091467092427799</v>
      </c>
      <c r="T29">
        <v>1.22940946737196</v>
      </c>
      <c r="U29">
        <v>0.51257459234663305</v>
      </c>
      <c r="V29">
        <v>0.61996922475604899</v>
      </c>
      <c r="W29">
        <v>184.061268731111</v>
      </c>
      <c r="X29">
        <v>183.143495627861</v>
      </c>
      <c r="Y29">
        <v>180.79167517174099</v>
      </c>
      <c r="Z29">
        <v>181.14401976625999</v>
      </c>
      <c r="AA29">
        <v>1</v>
      </c>
      <c r="AB29">
        <v>0</v>
      </c>
      <c r="AC29">
        <v>0</v>
      </c>
      <c r="AD29">
        <v>0</v>
      </c>
      <c r="AE29">
        <v>24</v>
      </c>
      <c r="AF29">
        <v>1</v>
      </c>
    </row>
    <row r="30" spans="1:32" x14ac:dyDescent="0.3">
      <c r="A30" t="s">
        <v>70</v>
      </c>
      <c r="B30">
        <v>57</v>
      </c>
      <c r="C30">
        <v>6.9637883008356605E-2</v>
      </c>
      <c r="D30">
        <v>3.3426183844011102E-2</v>
      </c>
      <c r="E30">
        <v>0</v>
      </c>
      <c r="F30">
        <v>0</v>
      </c>
      <c r="G30">
        <v>1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32</v>
      </c>
      <c r="P30">
        <v>36</v>
      </c>
      <c r="Q30">
        <v>19</v>
      </c>
      <c r="R30">
        <v>26</v>
      </c>
      <c r="S30">
        <v>1.1614618249138999</v>
      </c>
      <c r="T30">
        <v>1.6926197957990801</v>
      </c>
      <c r="U30">
        <v>0.78467477577646605</v>
      </c>
      <c r="V30">
        <v>1.1341123630931</v>
      </c>
      <c r="W30">
        <v>182.92057029171201</v>
      </c>
      <c r="X30">
        <v>184.66321455314699</v>
      </c>
      <c r="Y30">
        <v>181.684392308978</v>
      </c>
      <c r="Z30">
        <v>182.83084108626301</v>
      </c>
      <c r="AA30">
        <v>1</v>
      </c>
      <c r="AB30">
        <v>0</v>
      </c>
      <c r="AC30">
        <v>0</v>
      </c>
      <c r="AD30">
        <v>0</v>
      </c>
      <c r="AE30">
        <v>27</v>
      </c>
      <c r="AF30">
        <v>1</v>
      </c>
    </row>
    <row r="31" spans="1:32" x14ac:dyDescent="0.3">
      <c r="A31" t="s">
        <v>72</v>
      </c>
      <c r="B31">
        <v>59</v>
      </c>
      <c r="C31">
        <v>0.16573816155988899</v>
      </c>
      <c r="D31">
        <v>7.6601671309192196E-2</v>
      </c>
      <c r="E31">
        <v>0</v>
      </c>
      <c r="F31">
        <v>0</v>
      </c>
      <c r="G31">
        <v>1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35</v>
      </c>
      <c r="P31">
        <v>32</v>
      </c>
      <c r="Q31">
        <v>16</v>
      </c>
      <c r="R31">
        <v>18</v>
      </c>
      <c r="S31">
        <v>1.2361564819402799</v>
      </c>
      <c r="T31">
        <v>1.07961241151261</v>
      </c>
      <c r="U31">
        <v>0.85802910466936699</v>
      </c>
      <c r="V31">
        <v>0.42664834281235697</v>
      </c>
      <c r="W31">
        <v>183.16563150242899</v>
      </c>
      <c r="X31">
        <v>182.65203547084201</v>
      </c>
      <c r="Y31">
        <v>181.925056117682</v>
      </c>
      <c r="Z31">
        <v>180.50976490424</v>
      </c>
      <c r="AA31">
        <v>1</v>
      </c>
      <c r="AB31">
        <v>0</v>
      </c>
      <c r="AC31">
        <v>0</v>
      </c>
      <c r="AD31">
        <v>0</v>
      </c>
      <c r="AE31">
        <v>29</v>
      </c>
      <c r="AF31">
        <v>1</v>
      </c>
    </row>
    <row r="32" spans="1:32" x14ac:dyDescent="0.3">
      <c r="A32" t="s">
        <v>74</v>
      </c>
      <c r="B32">
        <v>61</v>
      </c>
      <c r="C32">
        <v>0.33658310120705698</v>
      </c>
      <c r="D32">
        <v>0.24001857010213601</v>
      </c>
      <c r="E32">
        <v>0</v>
      </c>
      <c r="F32">
        <v>0</v>
      </c>
      <c r="G32">
        <v>0</v>
      </c>
      <c r="H32">
        <v>0</v>
      </c>
      <c r="I32">
        <v>1</v>
      </c>
      <c r="J32">
        <v>1</v>
      </c>
      <c r="K32">
        <v>0</v>
      </c>
      <c r="L32">
        <v>0</v>
      </c>
      <c r="M32">
        <v>1.0500000000000001E-2</v>
      </c>
      <c r="N32">
        <v>0</v>
      </c>
      <c r="O32">
        <v>31</v>
      </c>
      <c r="P32">
        <v>33</v>
      </c>
      <c r="Q32">
        <v>20</v>
      </c>
      <c r="R32">
        <v>16</v>
      </c>
      <c r="S32">
        <v>0.950149823056467</v>
      </c>
      <c r="T32">
        <v>1.1883466475600799</v>
      </c>
      <c r="U32">
        <v>0.205693010200721</v>
      </c>
      <c r="V32">
        <v>0.58203509718144897</v>
      </c>
      <c r="W32">
        <v>182.22728944572299</v>
      </c>
      <c r="X32">
        <v>183.00877509041999</v>
      </c>
      <c r="Y32">
        <v>179.78484583399199</v>
      </c>
      <c r="Z32">
        <v>181.01956396713101</v>
      </c>
      <c r="AA32">
        <v>1</v>
      </c>
      <c r="AB32">
        <v>0</v>
      </c>
      <c r="AC32">
        <v>0</v>
      </c>
      <c r="AD32">
        <v>0</v>
      </c>
      <c r="AE32">
        <v>69</v>
      </c>
      <c r="AF32">
        <v>1</v>
      </c>
    </row>
    <row r="33" spans="1:32" x14ac:dyDescent="0.3">
      <c r="A33" t="s">
        <v>76</v>
      </c>
      <c r="B33">
        <v>63</v>
      </c>
      <c r="C33">
        <v>3.3426183844011102E-2</v>
      </c>
      <c r="D33">
        <v>7.7994428969359306E-2</v>
      </c>
      <c r="E33">
        <v>0</v>
      </c>
      <c r="F33">
        <v>0</v>
      </c>
      <c r="G33">
        <v>1</v>
      </c>
      <c r="H33">
        <v>0</v>
      </c>
      <c r="I33">
        <v>0</v>
      </c>
      <c r="J33">
        <v>1</v>
      </c>
      <c r="K33">
        <v>0</v>
      </c>
      <c r="L33">
        <v>0</v>
      </c>
      <c r="M33">
        <v>9.8000000000000004E-2</v>
      </c>
      <c r="N33">
        <v>1.0500000000000001E-2</v>
      </c>
      <c r="O33">
        <v>39</v>
      </c>
      <c r="P33">
        <v>31</v>
      </c>
      <c r="Q33">
        <v>28</v>
      </c>
      <c r="R33">
        <v>26</v>
      </c>
      <c r="S33">
        <v>1.1584932227135101</v>
      </c>
      <c r="T33">
        <v>1.15011527678229</v>
      </c>
      <c r="U33">
        <v>0.45952575933836398</v>
      </c>
      <c r="V33">
        <v>0.16782103665752399</v>
      </c>
      <c r="W33">
        <v>182.91083078318101</v>
      </c>
      <c r="X33">
        <v>182.88334408393101</v>
      </c>
      <c r="Y33">
        <v>180.617630444024</v>
      </c>
      <c r="Z33">
        <v>179.660593952288</v>
      </c>
      <c r="AA33">
        <v>1</v>
      </c>
      <c r="AB33">
        <v>0</v>
      </c>
      <c r="AC33">
        <v>0</v>
      </c>
      <c r="AD33">
        <v>0</v>
      </c>
      <c r="AE33">
        <v>11</v>
      </c>
      <c r="AF33">
        <v>1</v>
      </c>
    </row>
    <row r="34" spans="1:32" x14ac:dyDescent="0.3">
      <c r="A34" t="s">
        <v>80</v>
      </c>
      <c r="B34">
        <v>65</v>
      </c>
      <c r="C34">
        <v>0.24001857010213601</v>
      </c>
      <c r="D34">
        <v>0.16573816155988899</v>
      </c>
      <c r="E34">
        <v>0</v>
      </c>
      <c r="F34">
        <v>0</v>
      </c>
      <c r="G34">
        <v>1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0.59499999999999997</v>
      </c>
      <c r="O34">
        <v>38</v>
      </c>
      <c r="P34">
        <v>37</v>
      </c>
      <c r="Q34">
        <v>17</v>
      </c>
      <c r="R34">
        <v>19</v>
      </c>
      <c r="S34">
        <v>1.2566452644374</v>
      </c>
      <c r="T34">
        <v>1.31088134846274</v>
      </c>
      <c r="U34">
        <v>0.50380405916917004</v>
      </c>
      <c r="V34">
        <v>0.44471074959835399</v>
      </c>
      <c r="W34">
        <v>183.232851917446</v>
      </c>
      <c r="X34">
        <v>183.410791825665</v>
      </c>
      <c r="Y34">
        <v>180.76290045659201</v>
      </c>
      <c r="Z34">
        <v>180.569024769023</v>
      </c>
      <c r="AA34">
        <v>1</v>
      </c>
      <c r="AB34">
        <v>0</v>
      </c>
      <c r="AC34">
        <v>0</v>
      </c>
      <c r="AD34">
        <v>0</v>
      </c>
      <c r="AE34">
        <v>49</v>
      </c>
      <c r="AF34">
        <v>1</v>
      </c>
    </row>
    <row r="35" spans="1:32" x14ac:dyDescent="0.3">
      <c r="A35" t="s">
        <v>82</v>
      </c>
      <c r="B35">
        <v>67</v>
      </c>
      <c r="C35">
        <v>7.7994428969359306E-2</v>
      </c>
      <c r="D35">
        <v>0.33658310120705698</v>
      </c>
      <c r="E35">
        <v>0</v>
      </c>
      <c r="F35">
        <v>0</v>
      </c>
      <c r="G35">
        <v>1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1.0500000000000001E-2</v>
      </c>
      <c r="O35">
        <v>36</v>
      </c>
      <c r="P35">
        <v>37</v>
      </c>
      <c r="Q35">
        <v>25</v>
      </c>
      <c r="R35">
        <v>14</v>
      </c>
      <c r="S35">
        <v>1.22505944147361</v>
      </c>
      <c r="T35">
        <v>1.0784028073298899</v>
      </c>
      <c r="U35">
        <v>0.48494930261406699</v>
      </c>
      <c r="V35">
        <v>0.50399684368987696</v>
      </c>
      <c r="W35">
        <v>183.12922388934899</v>
      </c>
      <c r="X35">
        <v>182.648066953182</v>
      </c>
      <c r="Y35">
        <v>180.70104101907501</v>
      </c>
      <c r="Z35">
        <v>180.763532951738</v>
      </c>
      <c r="AA35">
        <v>1</v>
      </c>
      <c r="AB35">
        <v>0</v>
      </c>
      <c r="AC35">
        <v>0</v>
      </c>
      <c r="AD35">
        <v>0</v>
      </c>
      <c r="AE35">
        <v>15</v>
      </c>
      <c r="AF35">
        <v>1</v>
      </c>
    </row>
    <row r="36" spans="1:32" x14ac:dyDescent="0.3">
      <c r="A36" t="s">
        <v>0</v>
      </c>
      <c r="B36">
        <v>69</v>
      </c>
      <c r="C36">
        <v>6.9637883008356605E-2</v>
      </c>
      <c r="D36">
        <v>3.3426183844011102E-2</v>
      </c>
      <c r="E36">
        <v>0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0.80149999999999999</v>
      </c>
      <c r="N36">
        <v>0</v>
      </c>
      <c r="O36">
        <v>34</v>
      </c>
      <c r="P36">
        <v>33</v>
      </c>
      <c r="Q36">
        <v>27</v>
      </c>
      <c r="R36">
        <v>31</v>
      </c>
      <c r="S36">
        <v>1.0534105923769499</v>
      </c>
      <c r="T36">
        <v>0.68029944636780904</v>
      </c>
      <c r="U36">
        <v>0.194150866314974</v>
      </c>
      <c r="V36">
        <v>0.63091678314781596</v>
      </c>
      <c r="W36">
        <v>182.56607149729999</v>
      </c>
      <c r="X36">
        <v>181.341953564199</v>
      </c>
      <c r="Y36">
        <v>179.746977907858</v>
      </c>
      <c r="Z36">
        <v>181.179936952585</v>
      </c>
      <c r="AA36">
        <v>1</v>
      </c>
      <c r="AB36">
        <v>0</v>
      </c>
      <c r="AC36">
        <v>0</v>
      </c>
      <c r="AD36">
        <v>0</v>
      </c>
      <c r="AE36">
        <v>13</v>
      </c>
      <c r="AF36">
        <v>1</v>
      </c>
    </row>
    <row r="37" spans="1:32" x14ac:dyDescent="0.3">
      <c r="A37" t="s">
        <v>85</v>
      </c>
      <c r="B37">
        <v>71</v>
      </c>
      <c r="C37">
        <v>0.16573816155988899</v>
      </c>
      <c r="D37">
        <v>7.6601671309192196E-2</v>
      </c>
      <c r="E37">
        <v>0</v>
      </c>
      <c r="F37">
        <v>0</v>
      </c>
      <c r="G37">
        <v>1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38</v>
      </c>
      <c r="P37">
        <v>32</v>
      </c>
      <c r="Q37">
        <v>13</v>
      </c>
      <c r="R37">
        <v>17</v>
      </c>
      <c r="S37">
        <v>1.4970894600139699</v>
      </c>
      <c r="T37">
        <v>1.2049810345834999</v>
      </c>
      <c r="U37">
        <v>0.59491034447152202</v>
      </c>
      <c r="V37">
        <v>0.25229758133747199</v>
      </c>
      <c r="W37">
        <v>184.02171082681801</v>
      </c>
      <c r="X37">
        <v>183.06334985099599</v>
      </c>
      <c r="Y37">
        <v>181.06180559209801</v>
      </c>
      <c r="Z37">
        <v>179.937747970267</v>
      </c>
      <c r="AA37">
        <v>1</v>
      </c>
      <c r="AB37">
        <v>0</v>
      </c>
      <c r="AC37">
        <v>0</v>
      </c>
      <c r="AD37">
        <v>0</v>
      </c>
      <c r="AE37">
        <v>34</v>
      </c>
      <c r="AF37">
        <v>1</v>
      </c>
    </row>
    <row r="38" spans="1:32" x14ac:dyDescent="0.3">
      <c r="A38" t="s">
        <v>87</v>
      </c>
      <c r="B38">
        <v>73</v>
      </c>
      <c r="C38">
        <v>0.33658310120705698</v>
      </c>
      <c r="D38">
        <v>0.24001857010213601</v>
      </c>
      <c r="E38">
        <v>0</v>
      </c>
      <c r="F38">
        <v>0</v>
      </c>
      <c r="G38">
        <v>1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39</v>
      </c>
      <c r="P38">
        <v>40</v>
      </c>
      <c r="Q38">
        <v>15</v>
      </c>
      <c r="R38">
        <v>14</v>
      </c>
      <c r="S38">
        <v>0.88234303486902099</v>
      </c>
      <c r="T38">
        <v>0.75195174553062105</v>
      </c>
      <c r="U38">
        <v>0.18668944776740301</v>
      </c>
      <c r="V38">
        <v>0.53941180985958004</v>
      </c>
      <c r="W38">
        <v>182.004826229885</v>
      </c>
      <c r="X38">
        <v>181.577033285862</v>
      </c>
      <c r="Y38">
        <v>179.722498188213</v>
      </c>
      <c r="Z38">
        <v>180.87972378562901</v>
      </c>
      <c r="AA38">
        <v>1</v>
      </c>
      <c r="AB38">
        <v>0</v>
      </c>
      <c r="AC38">
        <v>0</v>
      </c>
      <c r="AD38">
        <v>0</v>
      </c>
      <c r="AE38">
        <v>63</v>
      </c>
      <c r="AF38">
        <v>1</v>
      </c>
    </row>
    <row r="39" spans="1:32" x14ac:dyDescent="0.3">
      <c r="A39" t="s">
        <v>125</v>
      </c>
      <c r="B39">
        <v>75</v>
      </c>
      <c r="C39">
        <v>3.3426183844011102E-2</v>
      </c>
      <c r="D39">
        <v>7.7994428969359306E-2</v>
      </c>
      <c r="E39">
        <v>0</v>
      </c>
      <c r="F39">
        <v>0</v>
      </c>
      <c r="G39">
        <v>0</v>
      </c>
      <c r="H39">
        <v>1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21</v>
      </c>
      <c r="P39">
        <v>33</v>
      </c>
      <c r="Q39">
        <v>21</v>
      </c>
      <c r="R39">
        <v>15</v>
      </c>
      <c r="S39">
        <v>0.80846811081342296</v>
      </c>
      <c r="T39">
        <v>1.2644336645562599</v>
      </c>
      <c r="U39">
        <v>0.80846811081342296</v>
      </c>
      <c r="V39">
        <v>0.46207201558118</v>
      </c>
      <c r="W39">
        <v>181.76245443180301</v>
      </c>
      <c r="X39">
        <v>183.258404411274</v>
      </c>
      <c r="Y39">
        <v>181.76245443180301</v>
      </c>
      <c r="Z39">
        <v>180.62598430308799</v>
      </c>
      <c r="AA39">
        <v>1</v>
      </c>
      <c r="AB39">
        <v>0</v>
      </c>
      <c r="AC39">
        <v>0</v>
      </c>
      <c r="AD39">
        <v>0</v>
      </c>
      <c r="AE39">
        <v>1</v>
      </c>
      <c r="AF39">
        <v>1</v>
      </c>
    </row>
    <row r="40" spans="1:32" x14ac:dyDescent="0.3">
      <c r="A40" t="s">
        <v>90</v>
      </c>
      <c r="B40">
        <v>77</v>
      </c>
      <c r="C40">
        <v>7.6601671309192196E-2</v>
      </c>
      <c r="D40">
        <v>6.9637883008356605E-2</v>
      </c>
      <c r="E40">
        <v>0</v>
      </c>
      <c r="F40">
        <v>0</v>
      </c>
      <c r="G40">
        <v>0</v>
      </c>
      <c r="H40">
        <v>1</v>
      </c>
      <c r="I40">
        <v>0</v>
      </c>
      <c r="J40">
        <v>1</v>
      </c>
      <c r="K40">
        <v>0</v>
      </c>
      <c r="L40">
        <v>0</v>
      </c>
      <c r="M40">
        <v>0</v>
      </c>
      <c r="N40">
        <v>0.92</v>
      </c>
      <c r="O40">
        <v>36</v>
      </c>
      <c r="P40">
        <v>20</v>
      </c>
      <c r="Q40">
        <v>31</v>
      </c>
      <c r="R40">
        <v>20</v>
      </c>
      <c r="S40">
        <v>1.12758440675984</v>
      </c>
      <c r="T40">
        <v>0.68723374242888302</v>
      </c>
      <c r="U40">
        <v>0.56785699155879199</v>
      </c>
      <c r="V40">
        <v>0.68723374242888302</v>
      </c>
      <c r="W40">
        <v>182.80942390669199</v>
      </c>
      <c r="X40">
        <v>181.36470387936001</v>
      </c>
      <c r="Y40">
        <v>180.973047872568</v>
      </c>
      <c r="Z40">
        <v>181.36470387936001</v>
      </c>
      <c r="AA40">
        <v>1</v>
      </c>
      <c r="AB40">
        <v>0</v>
      </c>
      <c r="AC40">
        <v>0</v>
      </c>
      <c r="AD40">
        <v>0</v>
      </c>
      <c r="AE40">
        <v>13</v>
      </c>
      <c r="AF40">
        <v>1</v>
      </c>
    </row>
    <row r="41" spans="1:32" x14ac:dyDescent="0.3">
      <c r="A41" t="s">
        <v>92</v>
      </c>
      <c r="B41">
        <v>79</v>
      </c>
      <c r="C41">
        <v>0.24001857010213601</v>
      </c>
      <c r="D41">
        <v>0.16573816155988899</v>
      </c>
      <c r="E41">
        <v>0</v>
      </c>
      <c r="F41">
        <v>0</v>
      </c>
      <c r="G41">
        <v>1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37</v>
      </c>
      <c r="P41">
        <v>36</v>
      </c>
      <c r="Q41">
        <v>19</v>
      </c>
      <c r="R41">
        <v>14</v>
      </c>
      <c r="S41">
        <v>1.1470512507720401</v>
      </c>
      <c r="T41">
        <v>1.10697647236103</v>
      </c>
      <c r="U41">
        <v>0.40351440271744998</v>
      </c>
      <c r="V41">
        <v>0.22340126868353499</v>
      </c>
      <c r="W41">
        <v>182.87329150515799</v>
      </c>
      <c r="X41">
        <v>182.74181257336301</v>
      </c>
      <c r="Y41">
        <v>180.43386615064799</v>
      </c>
      <c r="Z41">
        <v>179.84294379489401</v>
      </c>
      <c r="AA41">
        <v>1</v>
      </c>
      <c r="AB41">
        <v>0</v>
      </c>
      <c r="AC41">
        <v>0</v>
      </c>
      <c r="AD41">
        <v>0</v>
      </c>
      <c r="AE41">
        <v>40</v>
      </c>
      <c r="AF41">
        <v>1</v>
      </c>
    </row>
    <row r="42" spans="1:32" x14ac:dyDescent="0.3">
      <c r="A42" t="s">
        <v>94</v>
      </c>
      <c r="B42">
        <v>81</v>
      </c>
      <c r="C42">
        <v>7.7994428969359306E-2</v>
      </c>
      <c r="D42">
        <v>0.33658310120705698</v>
      </c>
      <c r="E42">
        <v>0</v>
      </c>
      <c r="F42">
        <v>0</v>
      </c>
      <c r="G42">
        <v>1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0.48</v>
      </c>
      <c r="O42">
        <v>42</v>
      </c>
      <c r="P42">
        <v>40</v>
      </c>
      <c r="Q42">
        <v>33</v>
      </c>
      <c r="R42">
        <v>20</v>
      </c>
      <c r="S42">
        <v>1.18171223264558</v>
      </c>
      <c r="T42">
        <v>1.1192929825406199</v>
      </c>
      <c r="U42">
        <v>0.37384817155676803</v>
      </c>
      <c r="V42">
        <v>0.250825946625852</v>
      </c>
      <c r="W42">
        <v>182.98700863728899</v>
      </c>
      <c r="X42">
        <v>182.782221071328</v>
      </c>
      <c r="Y42">
        <v>180.336535995921</v>
      </c>
      <c r="Z42">
        <v>179.932919772395</v>
      </c>
      <c r="AA42">
        <v>1</v>
      </c>
      <c r="AB42">
        <v>0</v>
      </c>
      <c r="AC42">
        <v>0</v>
      </c>
      <c r="AD42">
        <v>0</v>
      </c>
      <c r="AE42">
        <v>10</v>
      </c>
      <c r="AF42">
        <v>1</v>
      </c>
    </row>
    <row r="43" spans="1:32" x14ac:dyDescent="0.3">
      <c r="A43" t="s">
        <v>96</v>
      </c>
      <c r="B43">
        <v>83</v>
      </c>
      <c r="C43">
        <v>6.9637883008356605E-2</v>
      </c>
      <c r="D43">
        <v>3.3426183844011102E-2</v>
      </c>
      <c r="E43">
        <v>0</v>
      </c>
      <c r="F43">
        <v>0</v>
      </c>
      <c r="G43">
        <v>1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0.17</v>
      </c>
      <c r="O43">
        <v>28</v>
      </c>
      <c r="P43">
        <v>28</v>
      </c>
      <c r="Q43">
        <v>23</v>
      </c>
      <c r="R43">
        <v>28</v>
      </c>
      <c r="S43">
        <v>0.55330096755088898</v>
      </c>
      <c r="T43">
        <v>0.39163094191130099</v>
      </c>
      <c r="U43">
        <v>0.260034251418442</v>
      </c>
      <c r="V43">
        <v>0.39163094191130099</v>
      </c>
      <c r="W43">
        <v>180.92529188828999</v>
      </c>
      <c r="X43">
        <v>180.39487841834401</v>
      </c>
      <c r="Y43">
        <v>179.96313074612399</v>
      </c>
      <c r="Z43">
        <v>180.39487841834401</v>
      </c>
      <c r="AA43">
        <v>1</v>
      </c>
      <c r="AB43">
        <v>0</v>
      </c>
      <c r="AC43">
        <v>0</v>
      </c>
      <c r="AD43">
        <v>0</v>
      </c>
      <c r="AE43">
        <v>4</v>
      </c>
      <c r="AF43">
        <v>1</v>
      </c>
    </row>
    <row r="44" spans="1:32" x14ac:dyDescent="0.3">
      <c r="A44" t="s">
        <v>100</v>
      </c>
      <c r="B44">
        <v>85</v>
      </c>
      <c r="C44">
        <v>0.33658310120705698</v>
      </c>
      <c r="D44">
        <v>0.24001857010213601</v>
      </c>
      <c r="E44">
        <v>0</v>
      </c>
      <c r="F44">
        <v>0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  <c r="M44">
        <v>0</v>
      </c>
      <c r="N44">
        <v>0.65</v>
      </c>
      <c r="O44">
        <v>19</v>
      </c>
      <c r="P44">
        <v>42</v>
      </c>
      <c r="Q44">
        <v>19</v>
      </c>
      <c r="R44">
        <v>17</v>
      </c>
      <c r="S44">
        <v>0.77478499775257503</v>
      </c>
      <c r="T44">
        <v>0.63839172616115003</v>
      </c>
      <c r="U44">
        <v>0.77478499775257503</v>
      </c>
      <c r="V44">
        <v>0.190829919004078</v>
      </c>
      <c r="W44">
        <v>181.651945530684</v>
      </c>
      <c r="X44">
        <v>181.20446104383601</v>
      </c>
      <c r="Y44">
        <v>181.651945530684</v>
      </c>
      <c r="Z44">
        <v>179.736082411431</v>
      </c>
      <c r="AA44">
        <v>1</v>
      </c>
      <c r="AB44">
        <v>0</v>
      </c>
      <c r="AC44">
        <v>0</v>
      </c>
      <c r="AD44">
        <v>0</v>
      </c>
      <c r="AE44">
        <v>1</v>
      </c>
      <c r="AF44">
        <v>1</v>
      </c>
    </row>
    <row r="45" spans="1:32" x14ac:dyDescent="0.3">
      <c r="A45" t="s">
        <v>104</v>
      </c>
      <c r="B45">
        <v>87</v>
      </c>
      <c r="C45">
        <v>7.6601671309192196E-2</v>
      </c>
      <c r="D45">
        <v>6.9637883008356605E-2</v>
      </c>
      <c r="E45">
        <v>0</v>
      </c>
      <c r="F45">
        <v>0</v>
      </c>
      <c r="G45">
        <v>1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1.59</v>
      </c>
      <c r="O45">
        <v>29</v>
      </c>
      <c r="P45">
        <v>30</v>
      </c>
      <c r="Q45">
        <v>23</v>
      </c>
      <c r="R45">
        <v>30</v>
      </c>
      <c r="S45">
        <v>0.92974533506203205</v>
      </c>
      <c r="T45">
        <v>0.68473415802180104</v>
      </c>
      <c r="U45">
        <v>0.82613198219377604</v>
      </c>
      <c r="V45">
        <v>0.68473415802180104</v>
      </c>
      <c r="W45">
        <v>182.16034558747401</v>
      </c>
      <c r="X45">
        <v>181.35650314311599</v>
      </c>
      <c r="Y45">
        <v>181.82040676572799</v>
      </c>
      <c r="Z45">
        <v>181.35650314311599</v>
      </c>
      <c r="AA45">
        <v>1</v>
      </c>
      <c r="AB45">
        <v>0</v>
      </c>
      <c r="AC45">
        <v>0</v>
      </c>
      <c r="AD45">
        <v>0</v>
      </c>
      <c r="AE45">
        <v>5</v>
      </c>
      <c r="AF45">
        <v>1</v>
      </c>
    </row>
    <row r="46" spans="1:32" x14ac:dyDescent="0.3">
      <c r="A46" t="s">
        <v>9</v>
      </c>
      <c r="B46">
        <v>89</v>
      </c>
      <c r="C46">
        <v>6.2641509433962295E-2</v>
      </c>
      <c r="D46">
        <v>6.2641509433962295E-2</v>
      </c>
      <c r="E46">
        <v>0</v>
      </c>
      <c r="F46">
        <v>0</v>
      </c>
      <c r="G46">
        <v>1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22</v>
      </c>
      <c r="P46">
        <v>22</v>
      </c>
      <c r="Q46">
        <v>21</v>
      </c>
      <c r="R46">
        <v>21</v>
      </c>
      <c r="S46">
        <v>1.63786136599534</v>
      </c>
      <c r="T46">
        <v>1.63786136599534</v>
      </c>
      <c r="U46">
        <v>1.5205810785713301</v>
      </c>
      <c r="V46">
        <v>1.5205810785713301</v>
      </c>
      <c r="W46">
        <v>182.26356091205801</v>
      </c>
      <c r="X46">
        <v>182.26356091205801</v>
      </c>
      <c r="Y46">
        <v>181.87878306617901</v>
      </c>
      <c r="Z46">
        <v>181.87878306617901</v>
      </c>
      <c r="AA46">
        <v>0</v>
      </c>
      <c r="AB46">
        <v>1</v>
      </c>
      <c r="AC46">
        <v>0</v>
      </c>
      <c r="AD46">
        <v>0</v>
      </c>
      <c r="AE46">
        <v>3</v>
      </c>
      <c r="AF46">
        <v>1</v>
      </c>
    </row>
    <row r="47" spans="1:32" x14ac:dyDescent="0.3">
      <c r="A47" t="s">
        <v>11</v>
      </c>
      <c r="B47">
        <v>91</v>
      </c>
      <c r="C47">
        <v>0.25622641509434002</v>
      </c>
      <c r="D47">
        <v>0.13018867924528299</v>
      </c>
      <c r="E47">
        <v>0</v>
      </c>
      <c r="F47">
        <v>0</v>
      </c>
      <c r="G47">
        <v>1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20</v>
      </c>
      <c r="P47">
        <v>28</v>
      </c>
      <c r="Q47">
        <v>17</v>
      </c>
      <c r="R47">
        <v>13</v>
      </c>
      <c r="S47">
        <v>1.76330879713842</v>
      </c>
      <c r="T47">
        <v>2.0229406676105901</v>
      </c>
      <c r="U47">
        <v>1.4960001361144599</v>
      </c>
      <c r="V47">
        <v>1.1869011379277301</v>
      </c>
      <c r="W47">
        <v>182.675133848879</v>
      </c>
      <c r="X47">
        <v>183.52694444754101</v>
      </c>
      <c r="Y47">
        <v>181.79813692950901</v>
      </c>
      <c r="Z47">
        <v>180.78403260475</v>
      </c>
      <c r="AA47">
        <v>0</v>
      </c>
      <c r="AB47">
        <v>1</v>
      </c>
      <c r="AC47">
        <v>0</v>
      </c>
      <c r="AD47">
        <v>0</v>
      </c>
      <c r="AE47">
        <v>7</v>
      </c>
      <c r="AF47">
        <v>1</v>
      </c>
    </row>
    <row r="48" spans="1:32" x14ac:dyDescent="0.3">
      <c r="A48" t="s">
        <v>13</v>
      </c>
      <c r="B48">
        <v>93</v>
      </c>
      <c r="C48">
        <v>8.9433962264150901E-2</v>
      </c>
      <c r="D48">
        <v>0.36603773584905702</v>
      </c>
      <c r="E48">
        <v>1</v>
      </c>
      <c r="F48">
        <v>0</v>
      </c>
      <c r="G48">
        <v>1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28</v>
      </c>
      <c r="P48">
        <v>32</v>
      </c>
      <c r="Q48">
        <v>17</v>
      </c>
      <c r="R48">
        <v>17</v>
      </c>
      <c r="S48">
        <v>1.6920981883636499</v>
      </c>
      <c r="T48">
        <v>1.40950891209219</v>
      </c>
      <c r="U48">
        <v>1.5676582585841901</v>
      </c>
      <c r="V48">
        <v>0.86441035012684198</v>
      </c>
      <c r="W48">
        <v>182.441503242663</v>
      </c>
      <c r="X48">
        <v>181.51437307116899</v>
      </c>
      <c r="Y48">
        <v>182.03323575651001</v>
      </c>
      <c r="Z48">
        <v>179.72599196235799</v>
      </c>
      <c r="AA48">
        <v>0</v>
      </c>
      <c r="AB48">
        <v>1</v>
      </c>
      <c r="AC48">
        <v>0</v>
      </c>
      <c r="AD48">
        <v>0</v>
      </c>
      <c r="AE48">
        <v>26</v>
      </c>
      <c r="AF48">
        <v>1</v>
      </c>
    </row>
    <row r="49" spans="1:32" x14ac:dyDescent="0.3">
      <c r="A49" t="s">
        <v>15</v>
      </c>
      <c r="B49">
        <v>95</v>
      </c>
      <c r="C49">
        <v>5.7735849056603797E-2</v>
      </c>
      <c r="D49">
        <v>3.77358490566038E-2</v>
      </c>
      <c r="E49">
        <v>0</v>
      </c>
      <c r="F49">
        <v>0</v>
      </c>
      <c r="G49">
        <v>1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34</v>
      </c>
      <c r="P49">
        <v>31</v>
      </c>
      <c r="Q49">
        <v>20</v>
      </c>
      <c r="R49">
        <v>22</v>
      </c>
      <c r="S49">
        <v>1.63501635663776</v>
      </c>
      <c r="T49">
        <v>1.83051907948268</v>
      </c>
      <c r="U49">
        <v>0.90689656342082403</v>
      </c>
      <c r="V49">
        <v>1.2789973637952601</v>
      </c>
      <c r="W49">
        <v>182.25422689185601</v>
      </c>
      <c r="X49">
        <v>182.89564002454901</v>
      </c>
      <c r="Y49">
        <v>179.86538242592101</v>
      </c>
      <c r="Z49">
        <v>181.08618557675601</v>
      </c>
      <c r="AA49">
        <v>0</v>
      </c>
      <c r="AB49">
        <v>1</v>
      </c>
      <c r="AC49">
        <v>0</v>
      </c>
      <c r="AD49">
        <v>0</v>
      </c>
      <c r="AE49">
        <v>3</v>
      </c>
      <c r="AF49">
        <v>1</v>
      </c>
    </row>
    <row r="50" spans="1:32" x14ac:dyDescent="0.3">
      <c r="A50" t="s">
        <v>17</v>
      </c>
      <c r="B50">
        <v>97</v>
      </c>
      <c r="C50">
        <v>0.13018867924528299</v>
      </c>
      <c r="D50">
        <v>6.2641509433962295E-2</v>
      </c>
      <c r="E50">
        <v>0</v>
      </c>
      <c r="F50">
        <v>0</v>
      </c>
      <c r="G50">
        <v>1</v>
      </c>
      <c r="H50">
        <v>0</v>
      </c>
      <c r="I50">
        <v>0</v>
      </c>
      <c r="J50">
        <v>1</v>
      </c>
      <c r="K50">
        <v>0</v>
      </c>
      <c r="L50">
        <v>0</v>
      </c>
      <c r="M50">
        <v>9.8000000000000004E-2</v>
      </c>
      <c r="N50">
        <v>0.34649999999999997</v>
      </c>
      <c r="O50">
        <v>34</v>
      </c>
      <c r="P50">
        <v>30</v>
      </c>
      <c r="Q50">
        <v>26</v>
      </c>
      <c r="R50">
        <v>20</v>
      </c>
      <c r="S50">
        <v>2.1927423582532901</v>
      </c>
      <c r="T50">
        <v>1.49992622090348</v>
      </c>
      <c r="U50">
        <v>1.1875471765321499</v>
      </c>
      <c r="V50">
        <v>0.74936375087622897</v>
      </c>
      <c r="W50">
        <v>184.084036608443</v>
      </c>
      <c r="X50">
        <v>181.81101778511601</v>
      </c>
      <c r="Y50">
        <v>180.78615215397701</v>
      </c>
      <c r="Z50">
        <v>179.348542489751</v>
      </c>
      <c r="AA50">
        <v>0</v>
      </c>
      <c r="AB50">
        <v>1</v>
      </c>
      <c r="AC50">
        <v>0</v>
      </c>
      <c r="AD50">
        <v>0</v>
      </c>
      <c r="AE50">
        <v>24</v>
      </c>
      <c r="AF50">
        <v>1</v>
      </c>
    </row>
    <row r="51" spans="1:32" x14ac:dyDescent="0.3">
      <c r="A51" t="s">
        <v>19</v>
      </c>
      <c r="B51">
        <v>99</v>
      </c>
      <c r="C51">
        <v>0.36603773584905702</v>
      </c>
      <c r="D51">
        <v>0.25622641509434002</v>
      </c>
      <c r="E51">
        <v>0</v>
      </c>
      <c r="F51">
        <v>0</v>
      </c>
      <c r="G51">
        <v>0</v>
      </c>
      <c r="H51">
        <v>1</v>
      </c>
      <c r="I51">
        <v>0</v>
      </c>
      <c r="J51">
        <v>1</v>
      </c>
      <c r="K51">
        <v>0</v>
      </c>
      <c r="L51">
        <v>0</v>
      </c>
      <c r="M51">
        <v>1.0500000000000001E-2</v>
      </c>
      <c r="N51">
        <v>0</v>
      </c>
      <c r="O51">
        <v>22</v>
      </c>
      <c r="P51">
        <v>33</v>
      </c>
      <c r="Q51">
        <v>20</v>
      </c>
      <c r="R51">
        <v>27</v>
      </c>
      <c r="S51">
        <v>1.28679438537877</v>
      </c>
      <c r="T51">
        <v>1.9758400635881701</v>
      </c>
      <c r="U51">
        <v>1.1104763372870401</v>
      </c>
      <c r="V51">
        <v>1.03896168350689</v>
      </c>
      <c r="W51">
        <v>181.11176635622999</v>
      </c>
      <c r="X51">
        <v>183.372414906785</v>
      </c>
      <c r="Y51">
        <v>180.533295069839</v>
      </c>
      <c r="Z51">
        <v>180.29866694063901</v>
      </c>
      <c r="AA51">
        <v>0</v>
      </c>
      <c r="AB51">
        <v>1</v>
      </c>
      <c r="AC51">
        <v>0</v>
      </c>
      <c r="AD51">
        <v>0</v>
      </c>
      <c r="AE51">
        <v>6</v>
      </c>
      <c r="AF51">
        <v>1</v>
      </c>
    </row>
    <row r="52" spans="1:32" x14ac:dyDescent="0.3">
      <c r="A52" t="s">
        <v>23</v>
      </c>
      <c r="B52">
        <v>101</v>
      </c>
      <c r="C52">
        <v>6.2641509433962295E-2</v>
      </c>
      <c r="D52">
        <v>5.7735849056603797E-2</v>
      </c>
      <c r="E52">
        <v>0</v>
      </c>
      <c r="F52">
        <v>0</v>
      </c>
      <c r="G52">
        <v>1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1.7500000000000002E-2</v>
      </c>
      <c r="O52">
        <v>17</v>
      </c>
      <c r="P52">
        <v>20</v>
      </c>
      <c r="Q52">
        <v>14</v>
      </c>
      <c r="R52">
        <v>20</v>
      </c>
      <c r="S52">
        <v>2.1699088456459901</v>
      </c>
      <c r="T52">
        <v>2.1996296697798399</v>
      </c>
      <c r="U52">
        <v>1.64197782043137</v>
      </c>
      <c r="V52">
        <v>2.1996296697798399</v>
      </c>
      <c r="W52">
        <v>184.009123509337</v>
      </c>
      <c r="X52">
        <v>184.10663277486799</v>
      </c>
      <c r="Y52">
        <v>182.27706633999799</v>
      </c>
      <c r="Z52">
        <v>184.10663277486799</v>
      </c>
      <c r="AA52">
        <v>0</v>
      </c>
      <c r="AB52">
        <v>1</v>
      </c>
      <c r="AC52">
        <v>0</v>
      </c>
      <c r="AD52">
        <v>0</v>
      </c>
      <c r="AE52">
        <v>4</v>
      </c>
      <c r="AF52">
        <v>1</v>
      </c>
    </row>
    <row r="53" spans="1:32" x14ac:dyDescent="0.3">
      <c r="A53" t="s">
        <v>25</v>
      </c>
      <c r="B53">
        <v>103</v>
      </c>
      <c r="C53">
        <v>0.25622641509434002</v>
      </c>
      <c r="D53">
        <v>0.13018867924528299</v>
      </c>
      <c r="E53">
        <v>0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24</v>
      </c>
      <c r="P53">
        <v>29</v>
      </c>
      <c r="Q53">
        <v>20</v>
      </c>
      <c r="R53">
        <v>20</v>
      </c>
      <c r="S53">
        <v>2.1409831883019401</v>
      </c>
      <c r="T53">
        <v>2.0561518460220198</v>
      </c>
      <c r="U53">
        <v>1.5721835434596101</v>
      </c>
      <c r="V53">
        <v>1.8075341182167199</v>
      </c>
      <c r="W53">
        <v>183.914223058733</v>
      </c>
      <c r="X53">
        <v>183.635905006634</v>
      </c>
      <c r="Y53">
        <v>182.04808249166501</v>
      </c>
      <c r="Z53">
        <v>182.82023004664299</v>
      </c>
      <c r="AA53">
        <v>0</v>
      </c>
      <c r="AB53">
        <v>1</v>
      </c>
      <c r="AC53">
        <v>0</v>
      </c>
      <c r="AD53">
        <v>0</v>
      </c>
      <c r="AE53">
        <v>16</v>
      </c>
      <c r="AF53">
        <v>1</v>
      </c>
    </row>
    <row r="54" spans="1:32" x14ac:dyDescent="0.3">
      <c r="A54" t="s">
        <v>29</v>
      </c>
      <c r="B54">
        <v>105</v>
      </c>
      <c r="C54">
        <v>5.7735849056603797E-2</v>
      </c>
      <c r="D54">
        <v>3.77358490566038E-2</v>
      </c>
      <c r="E54">
        <v>0</v>
      </c>
      <c r="F54">
        <v>0</v>
      </c>
      <c r="G54">
        <v>1</v>
      </c>
      <c r="H54">
        <v>0</v>
      </c>
      <c r="I54">
        <v>0</v>
      </c>
      <c r="J54">
        <v>1</v>
      </c>
      <c r="K54">
        <v>0</v>
      </c>
      <c r="L54">
        <v>0</v>
      </c>
      <c r="M54">
        <v>0.11550000000000001</v>
      </c>
      <c r="N54">
        <v>0.434</v>
      </c>
      <c r="O54">
        <v>32</v>
      </c>
      <c r="P54">
        <v>25</v>
      </c>
      <c r="Q54">
        <v>24</v>
      </c>
      <c r="R54">
        <v>21</v>
      </c>
      <c r="S54">
        <v>1.8973252758446699</v>
      </c>
      <c r="T54">
        <v>1.6618779358142499</v>
      </c>
      <c r="U54">
        <v>1.3172146601415</v>
      </c>
      <c r="V54">
        <v>1.21069085678098</v>
      </c>
      <c r="W54">
        <v>183.114820458808</v>
      </c>
      <c r="X54">
        <v>182.34235543246101</v>
      </c>
      <c r="Y54">
        <v>181.21157040728801</v>
      </c>
      <c r="Z54">
        <v>180.86208286345499</v>
      </c>
      <c r="AA54">
        <v>0</v>
      </c>
      <c r="AB54">
        <v>1</v>
      </c>
      <c r="AC54">
        <v>0</v>
      </c>
      <c r="AD54">
        <v>0</v>
      </c>
      <c r="AE54">
        <v>12</v>
      </c>
      <c r="AF54">
        <v>1</v>
      </c>
    </row>
    <row r="55" spans="1:32" x14ac:dyDescent="0.3">
      <c r="A55" t="s">
        <v>31</v>
      </c>
      <c r="B55">
        <v>107</v>
      </c>
      <c r="C55">
        <v>0.13018867924528299</v>
      </c>
      <c r="D55">
        <v>6.2641509433962295E-2</v>
      </c>
      <c r="E55">
        <v>0</v>
      </c>
      <c r="F55">
        <v>0</v>
      </c>
      <c r="G55">
        <v>1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0</v>
      </c>
      <c r="O55">
        <v>32</v>
      </c>
      <c r="P55">
        <v>34</v>
      </c>
      <c r="Q55">
        <v>22</v>
      </c>
      <c r="R55">
        <v>25</v>
      </c>
      <c r="S55">
        <v>2.1678142544521699</v>
      </c>
      <c r="T55">
        <v>2.3362704126913099</v>
      </c>
      <c r="U55">
        <v>1.6138895308846599</v>
      </c>
      <c r="V55">
        <v>1.99398859156636</v>
      </c>
      <c r="W55">
        <v>184.002251490985</v>
      </c>
      <c r="X55">
        <v>184.554929175496</v>
      </c>
      <c r="Y55">
        <v>182.18491315906999</v>
      </c>
      <c r="Z55">
        <v>183.431957321412</v>
      </c>
      <c r="AA55">
        <v>0</v>
      </c>
      <c r="AB55">
        <v>1</v>
      </c>
      <c r="AC55">
        <v>0</v>
      </c>
      <c r="AD55">
        <v>0</v>
      </c>
      <c r="AE55">
        <v>17</v>
      </c>
      <c r="AF55">
        <v>1</v>
      </c>
    </row>
    <row r="56" spans="1:32" x14ac:dyDescent="0.3">
      <c r="A56" t="s">
        <v>33</v>
      </c>
      <c r="B56">
        <v>109</v>
      </c>
      <c r="C56">
        <v>0.36603773584905702</v>
      </c>
      <c r="D56">
        <v>0.25622641509434002</v>
      </c>
      <c r="E56">
        <v>0</v>
      </c>
      <c r="F56">
        <v>0</v>
      </c>
      <c r="G56">
        <v>1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0.27650000000000002</v>
      </c>
      <c r="O56">
        <v>33</v>
      </c>
      <c r="P56">
        <v>29</v>
      </c>
      <c r="Q56">
        <v>15</v>
      </c>
      <c r="R56">
        <v>20</v>
      </c>
      <c r="S56">
        <v>2.4015777345890901</v>
      </c>
      <c r="T56">
        <v>1.87717863666728</v>
      </c>
      <c r="U56">
        <v>1.4965404327487899</v>
      </c>
      <c r="V56">
        <v>1.70336886535428</v>
      </c>
      <c r="W56">
        <v>184.769192042615</v>
      </c>
      <c r="X56">
        <v>183.04872256124401</v>
      </c>
      <c r="Y56">
        <v>181.79990955626201</v>
      </c>
      <c r="Z56">
        <v>182.478480529378</v>
      </c>
      <c r="AA56">
        <v>0</v>
      </c>
      <c r="AB56">
        <v>1</v>
      </c>
      <c r="AC56">
        <v>0</v>
      </c>
      <c r="AD56">
        <v>0</v>
      </c>
      <c r="AE56">
        <v>98</v>
      </c>
      <c r="AF56">
        <v>1</v>
      </c>
    </row>
    <row r="57" spans="1:32" x14ac:dyDescent="0.3">
      <c r="A57" t="s">
        <v>36</v>
      </c>
      <c r="B57">
        <v>111</v>
      </c>
      <c r="C57">
        <v>6.2641509433962295E-2</v>
      </c>
      <c r="D57">
        <v>5.7735849056603797E-2</v>
      </c>
      <c r="E57">
        <v>0</v>
      </c>
      <c r="F57">
        <v>0</v>
      </c>
      <c r="G57">
        <v>1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28</v>
      </c>
      <c r="P57">
        <v>26</v>
      </c>
      <c r="Q57">
        <v>18</v>
      </c>
      <c r="R57">
        <v>22</v>
      </c>
      <c r="S57">
        <v>1.6593247799001201</v>
      </c>
      <c r="T57">
        <v>1.7032634966617699</v>
      </c>
      <c r="U57">
        <v>1.2857876050553501</v>
      </c>
      <c r="V57">
        <v>1.41275304501677</v>
      </c>
      <c r="W57">
        <v>182.33397893668001</v>
      </c>
      <c r="X57">
        <v>182.47813483156699</v>
      </c>
      <c r="Y57">
        <v>181.10846327117901</v>
      </c>
      <c r="Z57">
        <v>181.52501655189201</v>
      </c>
      <c r="AA57">
        <v>0</v>
      </c>
      <c r="AB57">
        <v>1</v>
      </c>
      <c r="AC57">
        <v>0</v>
      </c>
      <c r="AD57">
        <v>0</v>
      </c>
      <c r="AE57">
        <v>6</v>
      </c>
      <c r="AF57">
        <v>1</v>
      </c>
    </row>
    <row r="58" spans="1:32" x14ac:dyDescent="0.3">
      <c r="A58" t="s">
        <v>38</v>
      </c>
      <c r="B58">
        <v>113</v>
      </c>
      <c r="C58">
        <v>0.25622641509434002</v>
      </c>
      <c r="D58">
        <v>0.13018867924528299</v>
      </c>
      <c r="E58">
        <v>0</v>
      </c>
      <c r="F58">
        <v>0</v>
      </c>
      <c r="G58">
        <v>0</v>
      </c>
      <c r="H58">
        <v>0</v>
      </c>
      <c r="I58">
        <v>1</v>
      </c>
      <c r="J58">
        <v>1</v>
      </c>
      <c r="K58">
        <v>0</v>
      </c>
      <c r="L58">
        <v>0</v>
      </c>
      <c r="M58">
        <v>0</v>
      </c>
      <c r="N58">
        <v>0</v>
      </c>
      <c r="O58">
        <v>30</v>
      </c>
      <c r="P58">
        <v>29</v>
      </c>
      <c r="Q58">
        <v>20</v>
      </c>
      <c r="R58">
        <v>19</v>
      </c>
      <c r="S58">
        <v>1.5761663916289399</v>
      </c>
      <c r="T58">
        <v>2.0065873901789701</v>
      </c>
      <c r="U58">
        <v>1.12588809019432</v>
      </c>
      <c r="V58">
        <v>1.49002709791621</v>
      </c>
      <c r="W58">
        <v>182.061149578835</v>
      </c>
      <c r="X58">
        <v>183.473291962529</v>
      </c>
      <c r="Y58">
        <v>180.58385856363</v>
      </c>
      <c r="Z58">
        <v>181.77854034749399</v>
      </c>
      <c r="AA58">
        <v>0</v>
      </c>
      <c r="AB58">
        <v>1</v>
      </c>
      <c r="AC58">
        <v>0</v>
      </c>
      <c r="AD58">
        <v>0</v>
      </c>
      <c r="AE58">
        <v>39</v>
      </c>
      <c r="AF58">
        <v>1</v>
      </c>
    </row>
    <row r="59" spans="1:32" x14ac:dyDescent="0.3">
      <c r="A59" t="s">
        <v>40</v>
      </c>
      <c r="B59">
        <v>115</v>
      </c>
      <c r="C59">
        <v>8.9433962264150901E-2</v>
      </c>
      <c r="D59">
        <v>0.36603773584905702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1</v>
      </c>
      <c r="L59">
        <v>0</v>
      </c>
      <c r="M59">
        <v>0.49</v>
      </c>
      <c r="N59">
        <v>0.44450000000000001</v>
      </c>
      <c r="O59">
        <v>34</v>
      </c>
      <c r="P59">
        <v>27</v>
      </c>
      <c r="Q59">
        <v>29</v>
      </c>
      <c r="R59">
        <v>23</v>
      </c>
      <c r="S59">
        <v>2.2309748361718098</v>
      </c>
      <c r="T59">
        <v>2.0654862406037502</v>
      </c>
      <c r="U59">
        <v>1.5422706910222601</v>
      </c>
      <c r="V59">
        <v>1.68651381973003</v>
      </c>
      <c r="W59">
        <v>184.20947124728301</v>
      </c>
      <c r="X59">
        <v>183.66652966077299</v>
      </c>
      <c r="Y59">
        <v>181.949943212015</v>
      </c>
      <c r="Z59">
        <v>182.42318182326099</v>
      </c>
      <c r="AA59">
        <v>0</v>
      </c>
      <c r="AB59">
        <v>1</v>
      </c>
      <c r="AC59">
        <v>0</v>
      </c>
      <c r="AD59">
        <v>0</v>
      </c>
      <c r="AE59">
        <v>12</v>
      </c>
      <c r="AF59">
        <v>1</v>
      </c>
    </row>
    <row r="60" spans="1:32" x14ac:dyDescent="0.3">
      <c r="A60" t="s">
        <v>44</v>
      </c>
      <c r="B60">
        <v>117</v>
      </c>
      <c r="C60">
        <v>0.13018867924528299</v>
      </c>
      <c r="D60">
        <v>6.2641509433962295E-2</v>
      </c>
      <c r="E60">
        <v>0</v>
      </c>
      <c r="F60">
        <v>0</v>
      </c>
      <c r="G60">
        <v>0</v>
      </c>
      <c r="H60">
        <v>1</v>
      </c>
      <c r="I60">
        <v>0</v>
      </c>
      <c r="J60">
        <v>1</v>
      </c>
      <c r="K60">
        <v>0</v>
      </c>
      <c r="L60">
        <v>0</v>
      </c>
      <c r="M60">
        <v>3.5000000000000003E-2</v>
      </c>
      <c r="N60">
        <v>0</v>
      </c>
      <c r="O60">
        <v>27</v>
      </c>
      <c r="P60">
        <v>34</v>
      </c>
      <c r="Q60">
        <v>21</v>
      </c>
      <c r="R60">
        <v>22</v>
      </c>
      <c r="S60">
        <v>2.4399421136514601</v>
      </c>
      <c r="T60">
        <v>2.4697822792206998</v>
      </c>
      <c r="U60">
        <v>2.0424757477706601</v>
      </c>
      <c r="V60">
        <v>2.2950728559031801</v>
      </c>
      <c r="W60">
        <v>184.89505942798999</v>
      </c>
      <c r="X60">
        <v>184.99296023366401</v>
      </c>
      <c r="Y60">
        <v>183.591035917883</v>
      </c>
      <c r="Z60">
        <v>184.41976658760899</v>
      </c>
      <c r="AA60">
        <v>0</v>
      </c>
      <c r="AB60">
        <v>1</v>
      </c>
      <c r="AC60">
        <v>0</v>
      </c>
      <c r="AD60">
        <v>0</v>
      </c>
      <c r="AE60">
        <v>21</v>
      </c>
      <c r="AF60">
        <v>1</v>
      </c>
    </row>
    <row r="61" spans="1:32" x14ac:dyDescent="0.3">
      <c r="A61" t="s">
        <v>46</v>
      </c>
      <c r="B61">
        <v>119</v>
      </c>
      <c r="C61">
        <v>0.36603773584905702</v>
      </c>
      <c r="D61">
        <v>0.25622641509434002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1</v>
      </c>
      <c r="M61">
        <v>1.351</v>
      </c>
      <c r="N61">
        <v>0</v>
      </c>
      <c r="O61">
        <v>16</v>
      </c>
      <c r="P61">
        <v>29</v>
      </c>
      <c r="Q61">
        <v>14</v>
      </c>
      <c r="R61">
        <v>16</v>
      </c>
      <c r="S61">
        <v>1.60148084240161</v>
      </c>
      <c r="T61">
        <v>1.53116434764258</v>
      </c>
      <c r="U61">
        <v>1.25635487279335</v>
      </c>
      <c r="V61">
        <v>1.3688718886826401</v>
      </c>
      <c r="W61">
        <v>182.14420223885</v>
      </c>
      <c r="X61">
        <v>181.913505077568</v>
      </c>
      <c r="Y61">
        <v>181.011899188955</v>
      </c>
      <c r="Z61">
        <v>181.38104950355199</v>
      </c>
      <c r="AA61">
        <v>0</v>
      </c>
      <c r="AB61">
        <v>1</v>
      </c>
      <c r="AC61">
        <v>0</v>
      </c>
      <c r="AD61">
        <v>0</v>
      </c>
      <c r="AE61">
        <v>14</v>
      </c>
      <c r="AF61">
        <v>1</v>
      </c>
    </row>
    <row r="62" spans="1:32" x14ac:dyDescent="0.3">
      <c r="A62" t="s">
        <v>48</v>
      </c>
      <c r="B62">
        <v>121</v>
      </c>
      <c r="C62">
        <v>3.77358490566038E-2</v>
      </c>
      <c r="D62">
        <v>8.9433962264150901E-2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1</v>
      </c>
      <c r="M62">
        <v>0</v>
      </c>
      <c r="N62">
        <v>0.17849999999999999</v>
      </c>
      <c r="O62">
        <v>31</v>
      </c>
      <c r="P62">
        <v>26</v>
      </c>
      <c r="Q62">
        <v>26</v>
      </c>
      <c r="R62">
        <v>25</v>
      </c>
      <c r="S62">
        <v>2.24871576007784</v>
      </c>
      <c r="T62">
        <v>2.4198821666573598</v>
      </c>
      <c r="U62">
        <v>2.1674122806976999</v>
      </c>
      <c r="V62">
        <v>2.3838481745731102</v>
      </c>
      <c r="W62">
        <v>184.26767637820799</v>
      </c>
      <c r="X62">
        <v>184.82924595360001</v>
      </c>
      <c r="Y62">
        <v>184.000932679454</v>
      </c>
      <c r="Z62">
        <v>184.71102419479399</v>
      </c>
      <c r="AA62">
        <v>0</v>
      </c>
      <c r="AB62">
        <v>1</v>
      </c>
      <c r="AC62">
        <v>0</v>
      </c>
      <c r="AD62">
        <v>0</v>
      </c>
      <c r="AE62">
        <v>4</v>
      </c>
      <c r="AF62">
        <v>1</v>
      </c>
    </row>
    <row r="63" spans="1:32" x14ac:dyDescent="0.3">
      <c r="A63" t="s">
        <v>52</v>
      </c>
      <c r="B63">
        <v>123</v>
      </c>
      <c r="C63">
        <v>0.25622641509434002</v>
      </c>
      <c r="D63">
        <v>0.13018867924528299</v>
      </c>
      <c r="E63">
        <v>1</v>
      </c>
      <c r="F63">
        <v>0</v>
      </c>
      <c r="G63">
        <v>0</v>
      </c>
      <c r="H63">
        <v>1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22</v>
      </c>
      <c r="P63">
        <v>29</v>
      </c>
      <c r="Q63">
        <v>18</v>
      </c>
      <c r="R63">
        <v>22</v>
      </c>
      <c r="S63">
        <v>2.0928678593900298</v>
      </c>
      <c r="T63">
        <v>2.3165954046959798</v>
      </c>
      <c r="U63">
        <v>1.7330159103526499</v>
      </c>
      <c r="V63">
        <v>2.0034699206388402</v>
      </c>
      <c r="W63">
        <v>183.75636436807801</v>
      </c>
      <c r="X63">
        <v>184.49037862433099</v>
      </c>
      <c r="Y63">
        <v>182.57574773737699</v>
      </c>
      <c r="Z63">
        <v>183.463064044091</v>
      </c>
      <c r="AA63">
        <v>0</v>
      </c>
      <c r="AB63">
        <v>1</v>
      </c>
      <c r="AC63">
        <v>0</v>
      </c>
      <c r="AD63">
        <v>0</v>
      </c>
      <c r="AE63">
        <v>11</v>
      </c>
      <c r="AF63">
        <v>1</v>
      </c>
    </row>
    <row r="64" spans="1:32" x14ac:dyDescent="0.3">
      <c r="A64" t="s">
        <v>54</v>
      </c>
      <c r="B64">
        <v>125</v>
      </c>
      <c r="C64">
        <v>8.9433962264150901E-2</v>
      </c>
      <c r="D64">
        <v>0.36603773584905702</v>
      </c>
      <c r="E64">
        <v>0</v>
      </c>
      <c r="F64">
        <v>0</v>
      </c>
      <c r="G64">
        <v>1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0.13300000000000001</v>
      </c>
      <c r="O64">
        <v>35</v>
      </c>
      <c r="P64">
        <v>32</v>
      </c>
      <c r="Q64">
        <v>25</v>
      </c>
      <c r="R64">
        <v>22</v>
      </c>
      <c r="S64">
        <v>2.3921127426173801</v>
      </c>
      <c r="T64">
        <v>2.04615959853292</v>
      </c>
      <c r="U64">
        <v>1.61474781560212</v>
      </c>
      <c r="V64">
        <v>1.5841169458359501</v>
      </c>
      <c r="W64">
        <v>184.73813891934799</v>
      </c>
      <c r="X64">
        <v>183.60312204243101</v>
      </c>
      <c r="Y64">
        <v>182.187729053813</v>
      </c>
      <c r="Z64">
        <v>182.08723407426501</v>
      </c>
      <c r="AA64">
        <v>0</v>
      </c>
      <c r="AB64">
        <v>1</v>
      </c>
      <c r="AC64">
        <v>0</v>
      </c>
      <c r="AD64">
        <v>0</v>
      </c>
      <c r="AE64">
        <v>22</v>
      </c>
      <c r="AF64">
        <v>1</v>
      </c>
    </row>
    <row r="65" spans="1:32" x14ac:dyDescent="0.3">
      <c r="A65" t="s">
        <v>56</v>
      </c>
      <c r="B65">
        <v>127</v>
      </c>
      <c r="C65">
        <v>5.7735849056603797E-2</v>
      </c>
      <c r="D65">
        <v>3.77358490566038E-2</v>
      </c>
      <c r="E65">
        <v>0</v>
      </c>
      <c r="F65">
        <v>0</v>
      </c>
      <c r="G65">
        <v>0</v>
      </c>
      <c r="H65">
        <v>0</v>
      </c>
      <c r="I65">
        <v>1</v>
      </c>
      <c r="J65">
        <v>1</v>
      </c>
      <c r="K65">
        <v>0</v>
      </c>
      <c r="L65">
        <v>0</v>
      </c>
      <c r="M65">
        <v>0.85399999999999998</v>
      </c>
      <c r="N65">
        <v>0</v>
      </c>
      <c r="O65">
        <v>29</v>
      </c>
      <c r="P65">
        <v>32</v>
      </c>
      <c r="Q65">
        <v>21</v>
      </c>
      <c r="R65">
        <v>22</v>
      </c>
      <c r="S65">
        <v>1.8408368964894899</v>
      </c>
      <c r="T65">
        <v>2.0725931102855601</v>
      </c>
      <c r="U65">
        <v>1.23506407276555</v>
      </c>
      <c r="V65">
        <v>1.3859361394957199</v>
      </c>
      <c r="W65">
        <v>182.92949113021501</v>
      </c>
      <c r="X65">
        <v>183.689846162354</v>
      </c>
      <c r="Y65">
        <v>180.94204748282701</v>
      </c>
      <c r="Z65">
        <v>181.437034578398</v>
      </c>
      <c r="AA65">
        <v>0</v>
      </c>
      <c r="AB65">
        <v>1</v>
      </c>
      <c r="AC65">
        <v>0</v>
      </c>
      <c r="AD65">
        <v>0</v>
      </c>
      <c r="AE65">
        <v>4</v>
      </c>
      <c r="AF65">
        <v>1</v>
      </c>
    </row>
    <row r="66" spans="1:32" x14ac:dyDescent="0.3">
      <c r="A66" t="s">
        <v>58</v>
      </c>
      <c r="B66">
        <v>129</v>
      </c>
      <c r="C66">
        <v>0.13018867924528299</v>
      </c>
      <c r="D66">
        <v>6.2641509433962295E-2</v>
      </c>
      <c r="E66">
        <v>0</v>
      </c>
      <c r="F66">
        <v>0</v>
      </c>
      <c r="G66">
        <v>1</v>
      </c>
      <c r="H66">
        <v>0</v>
      </c>
      <c r="I66">
        <v>0</v>
      </c>
      <c r="J66">
        <v>1</v>
      </c>
      <c r="K66">
        <v>0</v>
      </c>
      <c r="L66">
        <v>0</v>
      </c>
      <c r="M66">
        <v>1.5645</v>
      </c>
      <c r="N66">
        <v>0</v>
      </c>
      <c r="O66">
        <v>30</v>
      </c>
      <c r="P66">
        <v>31</v>
      </c>
      <c r="Q66">
        <v>18</v>
      </c>
      <c r="R66">
        <v>20</v>
      </c>
      <c r="S66">
        <v>1.6603481257286801</v>
      </c>
      <c r="T66">
        <v>1.5516246145810499</v>
      </c>
      <c r="U66">
        <v>1.1961454700516101</v>
      </c>
      <c r="V66">
        <v>1.4230120162375799</v>
      </c>
      <c r="W66">
        <v>182.33733637050099</v>
      </c>
      <c r="X66">
        <v>181.980631937602</v>
      </c>
      <c r="Y66">
        <v>180.81436177838501</v>
      </c>
      <c r="Z66">
        <v>181.558674593955</v>
      </c>
      <c r="AA66">
        <v>0</v>
      </c>
      <c r="AB66">
        <v>1</v>
      </c>
      <c r="AC66">
        <v>0</v>
      </c>
      <c r="AD66">
        <v>0</v>
      </c>
      <c r="AE66">
        <v>37</v>
      </c>
      <c r="AF66">
        <v>1</v>
      </c>
    </row>
    <row r="67" spans="1:32" x14ac:dyDescent="0.3">
      <c r="A67" t="s">
        <v>60</v>
      </c>
      <c r="B67">
        <v>131</v>
      </c>
      <c r="C67">
        <v>0.36603773584905702</v>
      </c>
      <c r="D67">
        <v>0.25622641509434002</v>
      </c>
      <c r="E67">
        <v>0</v>
      </c>
      <c r="F67">
        <v>0</v>
      </c>
      <c r="G67">
        <v>1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34</v>
      </c>
      <c r="P67">
        <v>36</v>
      </c>
      <c r="Q67">
        <v>25</v>
      </c>
      <c r="R67">
        <v>17</v>
      </c>
      <c r="S67">
        <v>1.90852537682927</v>
      </c>
      <c r="T67">
        <v>1.42657703054014</v>
      </c>
      <c r="U67">
        <v>1.30968579142554</v>
      </c>
      <c r="V67">
        <v>0.76068984616123703</v>
      </c>
      <c r="W67">
        <v>183.15156619694599</v>
      </c>
      <c r="X67">
        <v>181.570370835105</v>
      </c>
      <c r="Y67">
        <v>181.186869394441</v>
      </c>
      <c r="Z67">
        <v>179.385701595017</v>
      </c>
      <c r="AA67">
        <v>0</v>
      </c>
      <c r="AB67">
        <v>1</v>
      </c>
      <c r="AC67">
        <v>0</v>
      </c>
      <c r="AD67">
        <v>0</v>
      </c>
      <c r="AE67">
        <v>93</v>
      </c>
      <c r="AF67">
        <v>1</v>
      </c>
    </row>
    <row r="68" spans="1:32" x14ac:dyDescent="0.3">
      <c r="A68" t="s">
        <v>62</v>
      </c>
      <c r="B68">
        <v>133</v>
      </c>
      <c r="C68">
        <v>3.77358490566038E-2</v>
      </c>
      <c r="D68">
        <v>8.9433962264150901E-2</v>
      </c>
      <c r="E68">
        <v>0</v>
      </c>
      <c r="F68">
        <v>0</v>
      </c>
      <c r="G68">
        <v>1</v>
      </c>
      <c r="H68">
        <v>0</v>
      </c>
      <c r="I68">
        <v>0</v>
      </c>
      <c r="J68">
        <v>1</v>
      </c>
      <c r="K68">
        <v>0</v>
      </c>
      <c r="L68">
        <v>0</v>
      </c>
      <c r="M68">
        <v>7.0000000000000007E-2</v>
      </c>
      <c r="N68">
        <v>0</v>
      </c>
      <c r="O68">
        <v>30</v>
      </c>
      <c r="P68">
        <v>36</v>
      </c>
      <c r="Q68">
        <v>30</v>
      </c>
      <c r="R68">
        <v>29</v>
      </c>
      <c r="S68">
        <v>1.68100849886475</v>
      </c>
      <c r="T68">
        <v>1.7069819973946301</v>
      </c>
      <c r="U68">
        <v>1.68100849886475</v>
      </c>
      <c r="V68">
        <v>1.2154496858302499</v>
      </c>
      <c r="W68">
        <v>182.405119746932</v>
      </c>
      <c r="X68">
        <v>182.49033463712101</v>
      </c>
      <c r="Y68">
        <v>182.405119746932</v>
      </c>
      <c r="Z68">
        <v>180.87769581965301</v>
      </c>
      <c r="AA68">
        <v>0</v>
      </c>
      <c r="AB68">
        <v>1</v>
      </c>
      <c r="AC68">
        <v>0</v>
      </c>
      <c r="AD68">
        <v>0</v>
      </c>
      <c r="AE68">
        <v>1</v>
      </c>
      <c r="AF68">
        <v>1</v>
      </c>
    </row>
    <row r="69" spans="1:32" x14ac:dyDescent="0.3">
      <c r="A69" t="s">
        <v>64</v>
      </c>
      <c r="B69">
        <v>135</v>
      </c>
      <c r="C69">
        <v>6.2641509433962295E-2</v>
      </c>
      <c r="D69">
        <v>5.7735849056603797E-2</v>
      </c>
      <c r="E69">
        <v>0</v>
      </c>
      <c r="F69">
        <v>0</v>
      </c>
      <c r="G69">
        <v>1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0.42699999999999999</v>
      </c>
      <c r="O69">
        <v>26</v>
      </c>
      <c r="P69">
        <v>28</v>
      </c>
      <c r="Q69">
        <v>20</v>
      </c>
      <c r="R69">
        <v>28</v>
      </c>
      <c r="S69">
        <v>1.29629681457192</v>
      </c>
      <c r="T69">
        <v>1.8204486836993701</v>
      </c>
      <c r="U69">
        <v>0.78728605184301004</v>
      </c>
      <c r="V69">
        <v>1.73668346073543</v>
      </c>
      <c r="W69">
        <v>181.142942305026</v>
      </c>
      <c r="X69">
        <v>182.86260066830499</v>
      </c>
      <c r="Y69">
        <v>179.47295948767399</v>
      </c>
      <c r="Z69">
        <v>182.58778038298999</v>
      </c>
      <c r="AA69">
        <v>0</v>
      </c>
      <c r="AB69">
        <v>1</v>
      </c>
      <c r="AC69">
        <v>0</v>
      </c>
      <c r="AD69">
        <v>0</v>
      </c>
      <c r="AE69">
        <v>13</v>
      </c>
      <c r="AF69">
        <v>1</v>
      </c>
    </row>
    <row r="70" spans="1:32" x14ac:dyDescent="0.3">
      <c r="A70" t="s">
        <v>66</v>
      </c>
      <c r="B70">
        <v>137</v>
      </c>
      <c r="C70">
        <v>0.25622641509434002</v>
      </c>
      <c r="D70">
        <v>0.13018867924528299</v>
      </c>
      <c r="E70">
        <v>0</v>
      </c>
      <c r="F70">
        <v>0</v>
      </c>
      <c r="G70">
        <v>1</v>
      </c>
      <c r="H70">
        <v>0</v>
      </c>
      <c r="I70">
        <v>0</v>
      </c>
      <c r="J70">
        <v>1</v>
      </c>
      <c r="K70">
        <v>0</v>
      </c>
      <c r="L70">
        <v>0</v>
      </c>
      <c r="M70">
        <v>8.0500000000000002E-2</v>
      </c>
      <c r="N70">
        <v>0</v>
      </c>
      <c r="O70">
        <v>28</v>
      </c>
      <c r="P70">
        <v>33</v>
      </c>
      <c r="Q70">
        <v>19</v>
      </c>
      <c r="R70">
        <v>19</v>
      </c>
      <c r="S70">
        <v>1.56272541251061</v>
      </c>
      <c r="T70">
        <v>1.63772443865734</v>
      </c>
      <c r="U70">
        <v>1.2267946332428801</v>
      </c>
      <c r="V70">
        <v>1.0455657299715</v>
      </c>
      <c r="W70">
        <v>182.01705187831601</v>
      </c>
      <c r="X70">
        <v>182.26311167538501</v>
      </c>
      <c r="Y70">
        <v>180.914916775731</v>
      </c>
      <c r="Z70">
        <v>180.32033375974899</v>
      </c>
      <c r="AA70">
        <v>0</v>
      </c>
      <c r="AB70">
        <v>1</v>
      </c>
      <c r="AC70">
        <v>0</v>
      </c>
      <c r="AD70">
        <v>0</v>
      </c>
      <c r="AE70">
        <v>18</v>
      </c>
      <c r="AF70">
        <v>1</v>
      </c>
    </row>
    <row r="71" spans="1:32" x14ac:dyDescent="0.3">
      <c r="A71" t="s">
        <v>68</v>
      </c>
      <c r="B71">
        <v>139</v>
      </c>
      <c r="C71">
        <v>8.9433962264150901E-2</v>
      </c>
      <c r="D71">
        <v>0.36603773584905702</v>
      </c>
      <c r="E71">
        <v>0</v>
      </c>
      <c r="F71">
        <v>0</v>
      </c>
      <c r="G71">
        <v>1</v>
      </c>
      <c r="H71">
        <v>0</v>
      </c>
      <c r="I71">
        <v>0</v>
      </c>
      <c r="J71">
        <v>1</v>
      </c>
      <c r="K71">
        <v>0</v>
      </c>
      <c r="L71">
        <v>0</v>
      </c>
      <c r="M71">
        <v>9.8000000000000004E-2</v>
      </c>
      <c r="N71">
        <v>4.5499999999999999E-2</v>
      </c>
      <c r="O71">
        <v>36</v>
      </c>
      <c r="P71">
        <v>34</v>
      </c>
      <c r="Q71">
        <v>23</v>
      </c>
      <c r="R71">
        <v>23</v>
      </c>
      <c r="S71">
        <v>2.1479445682005101</v>
      </c>
      <c r="T71">
        <v>1.8576784759824201</v>
      </c>
      <c r="U71">
        <v>1.12206144366585</v>
      </c>
      <c r="V71">
        <v>1.28508774114576</v>
      </c>
      <c r="W71">
        <v>183.937062231629</v>
      </c>
      <c r="X71">
        <v>182.98474565610999</v>
      </c>
      <c r="Y71">
        <v>180.57130394903501</v>
      </c>
      <c r="Z71">
        <v>181.106167129743</v>
      </c>
      <c r="AA71">
        <v>0</v>
      </c>
      <c r="AB71">
        <v>1</v>
      </c>
      <c r="AC71">
        <v>0</v>
      </c>
      <c r="AD71">
        <v>0</v>
      </c>
      <c r="AE71">
        <v>19</v>
      </c>
      <c r="AF71">
        <v>1</v>
      </c>
    </row>
    <row r="72" spans="1:32" x14ac:dyDescent="0.3">
      <c r="A72" t="s">
        <v>70</v>
      </c>
      <c r="B72">
        <v>141</v>
      </c>
      <c r="C72">
        <v>5.7735849056603797E-2</v>
      </c>
      <c r="D72">
        <v>3.77358490566038E-2</v>
      </c>
      <c r="E72">
        <v>0</v>
      </c>
      <c r="F72">
        <v>0</v>
      </c>
      <c r="G72">
        <v>1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0</v>
      </c>
      <c r="O72">
        <v>35</v>
      </c>
      <c r="P72">
        <v>34</v>
      </c>
      <c r="Q72">
        <v>23</v>
      </c>
      <c r="R72">
        <v>26</v>
      </c>
      <c r="S72">
        <v>1.7587244372295701</v>
      </c>
      <c r="T72">
        <v>2.2220043662086901</v>
      </c>
      <c r="U72">
        <v>1.4221883288543</v>
      </c>
      <c r="V72">
        <v>1.5506455279924301</v>
      </c>
      <c r="W72">
        <v>182.66009329799701</v>
      </c>
      <c r="X72">
        <v>184.18004057155099</v>
      </c>
      <c r="Y72">
        <v>181.55597220752699</v>
      </c>
      <c r="Z72">
        <v>181.97741971126101</v>
      </c>
      <c r="AA72">
        <v>0</v>
      </c>
      <c r="AB72">
        <v>1</v>
      </c>
      <c r="AC72">
        <v>0</v>
      </c>
      <c r="AD72">
        <v>0</v>
      </c>
      <c r="AE72">
        <v>23</v>
      </c>
      <c r="AF72">
        <v>1</v>
      </c>
    </row>
    <row r="73" spans="1:32" x14ac:dyDescent="0.3">
      <c r="A73" t="s">
        <v>72</v>
      </c>
      <c r="B73">
        <v>143</v>
      </c>
      <c r="C73">
        <v>0.13018867924528299</v>
      </c>
      <c r="D73">
        <v>6.2641509433962295E-2</v>
      </c>
      <c r="E73">
        <v>0</v>
      </c>
      <c r="F73">
        <v>0</v>
      </c>
      <c r="G73">
        <v>1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0</v>
      </c>
      <c r="O73">
        <v>31</v>
      </c>
      <c r="P73">
        <v>34</v>
      </c>
      <c r="Q73">
        <v>17</v>
      </c>
      <c r="R73">
        <v>22</v>
      </c>
      <c r="S73">
        <v>1.9095660897848401</v>
      </c>
      <c r="T73">
        <v>1.7587644858538301</v>
      </c>
      <c r="U73">
        <v>1.59039135376651</v>
      </c>
      <c r="V73">
        <v>1.10074938903555</v>
      </c>
      <c r="W73">
        <v>183.15498060953001</v>
      </c>
      <c r="X73">
        <v>182.66022469112099</v>
      </c>
      <c r="Y73">
        <v>182.10781940212101</v>
      </c>
      <c r="Z73">
        <v>180.501382509959</v>
      </c>
      <c r="AA73">
        <v>0</v>
      </c>
      <c r="AB73">
        <v>1</v>
      </c>
      <c r="AC73">
        <v>0</v>
      </c>
      <c r="AD73">
        <v>0</v>
      </c>
      <c r="AE73">
        <v>11</v>
      </c>
      <c r="AF73">
        <v>1</v>
      </c>
    </row>
    <row r="74" spans="1:32" x14ac:dyDescent="0.3">
      <c r="A74" t="s">
        <v>74</v>
      </c>
      <c r="B74">
        <v>145</v>
      </c>
      <c r="C74">
        <v>0.36603773584905702</v>
      </c>
      <c r="D74">
        <v>0.25622641509434002</v>
      </c>
      <c r="E74">
        <v>0</v>
      </c>
      <c r="F74">
        <v>0</v>
      </c>
      <c r="G74">
        <v>0</v>
      </c>
      <c r="H74">
        <v>0</v>
      </c>
      <c r="I74">
        <v>1</v>
      </c>
      <c r="J74">
        <v>1</v>
      </c>
      <c r="K74">
        <v>0</v>
      </c>
      <c r="L74">
        <v>0</v>
      </c>
      <c r="M74">
        <v>1.0500000000000001E-2</v>
      </c>
      <c r="N74">
        <v>0</v>
      </c>
      <c r="O74">
        <v>31</v>
      </c>
      <c r="P74">
        <v>34</v>
      </c>
      <c r="Q74">
        <v>20</v>
      </c>
      <c r="R74">
        <v>18</v>
      </c>
      <c r="S74">
        <v>1.69962375251503</v>
      </c>
      <c r="T74">
        <v>1.8762405967389599</v>
      </c>
      <c r="U74">
        <v>0.86009889828019204</v>
      </c>
      <c r="V74">
        <v>1.3399017136498399</v>
      </c>
      <c r="W74">
        <v>182.46619341376299</v>
      </c>
      <c r="X74">
        <v>183.04564500242401</v>
      </c>
      <c r="Y74">
        <v>179.71184677913399</v>
      </c>
      <c r="Z74">
        <v>181.28600299753899</v>
      </c>
      <c r="AA74">
        <v>0</v>
      </c>
      <c r="AB74">
        <v>1</v>
      </c>
      <c r="AC74">
        <v>0</v>
      </c>
      <c r="AD74">
        <v>0</v>
      </c>
      <c r="AE74">
        <v>42</v>
      </c>
      <c r="AF74">
        <v>1</v>
      </c>
    </row>
    <row r="75" spans="1:32" x14ac:dyDescent="0.3">
      <c r="A75" t="s">
        <v>76</v>
      </c>
      <c r="B75">
        <v>147</v>
      </c>
      <c r="C75">
        <v>3.77358490566038E-2</v>
      </c>
      <c r="D75">
        <v>8.9433962264150901E-2</v>
      </c>
      <c r="E75">
        <v>0</v>
      </c>
      <c r="F75">
        <v>0</v>
      </c>
      <c r="G75">
        <v>1</v>
      </c>
      <c r="H75">
        <v>0</v>
      </c>
      <c r="I75">
        <v>0</v>
      </c>
      <c r="J75">
        <v>1</v>
      </c>
      <c r="K75">
        <v>0</v>
      </c>
      <c r="L75">
        <v>0</v>
      </c>
      <c r="M75">
        <v>9.8000000000000004E-2</v>
      </c>
      <c r="N75">
        <v>1.0500000000000001E-2</v>
      </c>
      <c r="O75">
        <v>36</v>
      </c>
      <c r="P75">
        <v>31</v>
      </c>
      <c r="Q75">
        <v>26</v>
      </c>
      <c r="R75">
        <v>25</v>
      </c>
      <c r="S75">
        <v>1.8110574129846</v>
      </c>
      <c r="T75">
        <v>1.78609027854067</v>
      </c>
      <c r="U75">
        <v>0.91339228934695804</v>
      </c>
      <c r="V75">
        <v>0.74311960236386898</v>
      </c>
      <c r="W75">
        <v>182.831789412679</v>
      </c>
      <c r="X75">
        <v>182.74987624193099</v>
      </c>
      <c r="Y75">
        <v>179.886693862687</v>
      </c>
      <c r="Z75">
        <v>179.328056438202</v>
      </c>
      <c r="AA75">
        <v>0</v>
      </c>
      <c r="AB75">
        <v>1</v>
      </c>
      <c r="AC75">
        <v>0</v>
      </c>
      <c r="AD75">
        <v>0</v>
      </c>
      <c r="AE75">
        <v>17</v>
      </c>
      <c r="AF75">
        <v>1</v>
      </c>
    </row>
    <row r="76" spans="1:32" x14ac:dyDescent="0.3">
      <c r="A76" t="s">
        <v>78</v>
      </c>
      <c r="B76">
        <v>149</v>
      </c>
      <c r="C76">
        <v>6.2641509433962295E-2</v>
      </c>
      <c r="D76">
        <v>5.7735849056603797E-2</v>
      </c>
      <c r="E76">
        <v>0</v>
      </c>
      <c r="F76">
        <v>0</v>
      </c>
      <c r="G76">
        <v>0</v>
      </c>
      <c r="H76">
        <v>1</v>
      </c>
      <c r="I76">
        <v>0</v>
      </c>
      <c r="J76">
        <v>1</v>
      </c>
      <c r="K76">
        <v>0</v>
      </c>
      <c r="L76">
        <v>0</v>
      </c>
      <c r="M76">
        <v>0</v>
      </c>
      <c r="N76">
        <v>9.8000000000000004E-2</v>
      </c>
      <c r="O76">
        <v>37</v>
      </c>
      <c r="P76">
        <v>39</v>
      </c>
      <c r="Q76">
        <v>33</v>
      </c>
      <c r="R76">
        <v>22</v>
      </c>
      <c r="S76">
        <v>0.51874534609116996</v>
      </c>
      <c r="T76">
        <v>1.90493936818501</v>
      </c>
      <c r="U76">
        <v>0.51701459304529596</v>
      </c>
      <c r="V76">
        <v>1.0465038446369599</v>
      </c>
      <c r="W76">
        <v>178.591920426808</v>
      </c>
      <c r="X76">
        <v>183.13980107672199</v>
      </c>
      <c r="Y76">
        <v>178.586242103167</v>
      </c>
      <c r="Z76">
        <v>180.32341156377001</v>
      </c>
      <c r="AA76">
        <v>0</v>
      </c>
      <c r="AB76">
        <v>1</v>
      </c>
      <c r="AC76">
        <v>0</v>
      </c>
      <c r="AD76">
        <v>0</v>
      </c>
      <c r="AE76">
        <v>3</v>
      </c>
      <c r="AF76">
        <v>1</v>
      </c>
    </row>
    <row r="77" spans="1:32" x14ac:dyDescent="0.3">
      <c r="A77" t="s">
        <v>80</v>
      </c>
      <c r="B77">
        <v>151</v>
      </c>
      <c r="C77">
        <v>0.25622641509434002</v>
      </c>
      <c r="D77">
        <v>0.13018867924528299</v>
      </c>
      <c r="E77">
        <v>0</v>
      </c>
      <c r="F77">
        <v>0</v>
      </c>
      <c r="G77">
        <v>1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0.59499999999999997</v>
      </c>
      <c r="O77">
        <v>34</v>
      </c>
      <c r="P77">
        <v>35</v>
      </c>
      <c r="Q77">
        <v>23</v>
      </c>
      <c r="R77">
        <v>18</v>
      </c>
      <c r="S77">
        <v>1.7933164699734601</v>
      </c>
      <c r="T77">
        <v>1.90562431779238</v>
      </c>
      <c r="U77">
        <v>1.1685366887267601</v>
      </c>
      <c r="V77">
        <v>1.1219583909219599</v>
      </c>
      <c r="W77">
        <v>182.773584219073</v>
      </c>
      <c r="X77">
        <v>183.14204828672001</v>
      </c>
      <c r="Y77">
        <v>180.72378178716099</v>
      </c>
      <c r="Z77">
        <v>180.57096584948201</v>
      </c>
      <c r="AA77">
        <v>0</v>
      </c>
      <c r="AB77">
        <v>1</v>
      </c>
      <c r="AC77">
        <v>0</v>
      </c>
      <c r="AD77">
        <v>0</v>
      </c>
      <c r="AE77">
        <v>78</v>
      </c>
      <c r="AF77">
        <v>1</v>
      </c>
    </row>
    <row r="78" spans="1:32" x14ac:dyDescent="0.3">
      <c r="A78" t="s">
        <v>82</v>
      </c>
      <c r="B78">
        <v>153</v>
      </c>
      <c r="C78">
        <v>8.9433962264150901E-2</v>
      </c>
      <c r="D78">
        <v>0.36603773584905702</v>
      </c>
      <c r="E78">
        <v>0</v>
      </c>
      <c r="F78">
        <v>0</v>
      </c>
      <c r="G78">
        <v>1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1.0500000000000001E-2</v>
      </c>
      <c r="O78">
        <v>36</v>
      </c>
      <c r="P78">
        <v>34</v>
      </c>
      <c r="Q78">
        <v>31</v>
      </c>
      <c r="R78">
        <v>23</v>
      </c>
      <c r="S78">
        <v>1.4761359732946699</v>
      </c>
      <c r="T78">
        <v>1.5045641895302999</v>
      </c>
      <c r="U78">
        <v>1.1650787322243901</v>
      </c>
      <c r="V78">
        <v>1.15657945388038</v>
      </c>
      <c r="W78">
        <v>181.73296579164901</v>
      </c>
      <c r="X78">
        <v>181.826234217619</v>
      </c>
      <c r="Y78">
        <v>180.71243678551301</v>
      </c>
      <c r="Z78">
        <v>180.68455201404299</v>
      </c>
      <c r="AA78">
        <v>0</v>
      </c>
      <c r="AB78">
        <v>1</v>
      </c>
      <c r="AC78">
        <v>0</v>
      </c>
      <c r="AD78">
        <v>0</v>
      </c>
      <c r="AE78">
        <v>12</v>
      </c>
      <c r="AF78">
        <v>1</v>
      </c>
    </row>
    <row r="79" spans="1:32" x14ac:dyDescent="0.3">
      <c r="A79" t="s">
        <v>0</v>
      </c>
      <c r="B79">
        <v>155</v>
      </c>
      <c r="C79">
        <v>5.7735849056603797E-2</v>
      </c>
      <c r="D79">
        <v>3.77358490566038E-2</v>
      </c>
      <c r="E79">
        <v>0</v>
      </c>
      <c r="F79">
        <v>0</v>
      </c>
      <c r="G79">
        <v>1</v>
      </c>
      <c r="H79">
        <v>0</v>
      </c>
      <c r="I79">
        <v>0</v>
      </c>
      <c r="J79">
        <v>1</v>
      </c>
      <c r="K79">
        <v>0</v>
      </c>
      <c r="L79">
        <v>0</v>
      </c>
      <c r="M79">
        <v>0.80149999999999999</v>
      </c>
      <c r="N79">
        <v>0</v>
      </c>
      <c r="O79">
        <v>35</v>
      </c>
      <c r="P79">
        <v>34</v>
      </c>
      <c r="Q79">
        <v>23</v>
      </c>
      <c r="R79">
        <v>26</v>
      </c>
      <c r="S79">
        <v>1.7081152419663701</v>
      </c>
      <c r="T79">
        <v>1.5478192081823501</v>
      </c>
      <c r="U79">
        <v>0.78143879344273104</v>
      </c>
      <c r="V79">
        <v>1.3133328758404501</v>
      </c>
      <c r="W79">
        <v>182.494052631123</v>
      </c>
      <c r="X79">
        <v>181.96814700847199</v>
      </c>
      <c r="Y79">
        <v>179.45377556903799</v>
      </c>
      <c r="Z79">
        <v>181.19883489449001</v>
      </c>
      <c r="AA79">
        <v>0</v>
      </c>
      <c r="AB79">
        <v>1</v>
      </c>
      <c r="AC79">
        <v>0</v>
      </c>
      <c r="AD79">
        <v>0</v>
      </c>
      <c r="AE79">
        <v>8</v>
      </c>
      <c r="AF79">
        <v>1</v>
      </c>
    </row>
    <row r="80" spans="1:32" x14ac:dyDescent="0.3">
      <c r="A80" t="s">
        <v>85</v>
      </c>
      <c r="B80">
        <v>157</v>
      </c>
      <c r="C80">
        <v>0.13018867924528299</v>
      </c>
      <c r="D80">
        <v>6.2641509433962295E-2</v>
      </c>
      <c r="E80">
        <v>0</v>
      </c>
      <c r="F80">
        <v>0</v>
      </c>
      <c r="G80">
        <v>1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33</v>
      </c>
      <c r="P80">
        <v>33</v>
      </c>
      <c r="Q80">
        <v>17</v>
      </c>
      <c r="R80">
        <v>23</v>
      </c>
      <c r="S80">
        <v>2.1294482061769</v>
      </c>
      <c r="T80">
        <v>1.83550449449894</v>
      </c>
      <c r="U80">
        <v>1.3555899397734501</v>
      </c>
      <c r="V80">
        <v>0.93447577691827099</v>
      </c>
      <c r="W80">
        <v>183.87637862918899</v>
      </c>
      <c r="X80">
        <v>182.91199637302799</v>
      </c>
      <c r="Y80">
        <v>181.33747355568701</v>
      </c>
      <c r="Z80">
        <v>179.955865409837</v>
      </c>
      <c r="AA80">
        <v>0</v>
      </c>
      <c r="AB80">
        <v>1</v>
      </c>
      <c r="AC80">
        <v>0</v>
      </c>
      <c r="AD80">
        <v>0</v>
      </c>
      <c r="AE80">
        <v>14</v>
      </c>
      <c r="AF80">
        <v>1</v>
      </c>
    </row>
    <row r="81" spans="1:32" x14ac:dyDescent="0.3">
      <c r="A81" t="s">
        <v>87</v>
      </c>
      <c r="B81">
        <v>159</v>
      </c>
      <c r="C81">
        <v>0.36603773584905702</v>
      </c>
      <c r="D81">
        <v>0.25622641509434002</v>
      </c>
      <c r="E81">
        <v>0</v>
      </c>
      <c r="F81">
        <v>0</v>
      </c>
      <c r="G81">
        <v>1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32</v>
      </c>
      <c r="P81">
        <v>31</v>
      </c>
      <c r="Q81">
        <v>22</v>
      </c>
      <c r="R81">
        <v>19</v>
      </c>
      <c r="S81">
        <v>1.50617809966368</v>
      </c>
      <c r="T81">
        <v>1.4349330438911101</v>
      </c>
      <c r="U81">
        <v>0.84783024476023905</v>
      </c>
      <c r="V81">
        <v>1.2049831956910599</v>
      </c>
      <c r="W81">
        <v>181.83152919837201</v>
      </c>
      <c r="X81">
        <v>181.59778557707099</v>
      </c>
      <c r="Y81">
        <v>179.67159529120801</v>
      </c>
      <c r="Z81">
        <v>180.843356941244</v>
      </c>
      <c r="AA81">
        <v>0</v>
      </c>
      <c r="AB81">
        <v>1</v>
      </c>
      <c r="AC81">
        <v>0</v>
      </c>
      <c r="AD81">
        <v>0</v>
      </c>
      <c r="AE81">
        <v>73</v>
      </c>
      <c r="AF81">
        <v>1</v>
      </c>
    </row>
    <row r="82" spans="1:32" x14ac:dyDescent="0.3">
      <c r="A82" t="s">
        <v>90</v>
      </c>
      <c r="B82">
        <v>161</v>
      </c>
      <c r="C82">
        <v>6.2641509433962295E-2</v>
      </c>
      <c r="D82">
        <v>5.7735849056603797E-2</v>
      </c>
      <c r="E82">
        <v>0</v>
      </c>
      <c r="F82">
        <v>0</v>
      </c>
      <c r="G82">
        <v>0</v>
      </c>
      <c r="H82">
        <v>1</v>
      </c>
      <c r="I82">
        <v>0</v>
      </c>
      <c r="J82">
        <v>1</v>
      </c>
      <c r="K82">
        <v>0</v>
      </c>
      <c r="L82">
        <v>0</v>
      </c>
      <c r="M82">
        <v>0</v>
      </c>
      <c r="N82">
        <v>0.92</v>
      </c>
      <c r="O82">
        <v>35</v>
      </c>
      <c r="P82">
        <v>34</v>
      </c>
      <c r="Q82">
        <v>21</v>
      </c>
      <c r="R82">
        <v>23</v>
      </c>
      <c r="S82">
        <v>1.85612634260034</v>
      </c>
      <c r="T82">
        <v>2.17191255863484</v>
      </c>
      <c r="U82">
        <v>1.0478385137155799</v>
      </c>
      <c r="V82">
        <v>1.40758621106152</v>
      </c>
      <c r="W82">
        <v>182.97965335498799</v>
      </c>
      <c r="X82">
        <v>184.01569737084901</v>
      </c>
      <c r="Y82">
        <v>180.32779039932899</v>
      </c>
      <c r="Z82">
        <v>181.50806499692101</v>
      </c>
      <c r="AA82">
        <v>0</v>
      </c>
      <c r="AB82">
        <v>1</v>
      </c>
      <c r="AC82">
        <v>0</v>
      </c>
      <c r="AD82">
        <v>0</v>
      </c>
      <c r="AE82">
        <v>14</v>
      </c>
      <c r="AF82">
        <v>1</v>
      </c>
    </row>
    <row r="83" spans="1:32" x14ac:dyDescent="0.3">
      <c r="A83" t="s">
        <v>92</v>
      </c>
      <c r="B83">
        <v>163</v>
      </c>
      <c r="C83">
        <v>0.25622641509434002</v>
      </c>
      <c r="D83">
        <v>0.13018867924528299</v>
      </c>
      <c r="E83">
        <v>0</v>
      </c>
      <c r="F83">
        <v>0</v>
      </c>
      <c r="G83">
        <v>1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36</v>
      </c>
      <c r="P83">
        <v>36</v>
      </c>
      <c r="Q83">
        <v>22</v>
      </c>
      <c r="R83">
        <v>28</v>
      </c>
      <c r="S83">
        <v>1.7825215833769801</v>
      </c>
      <c r="T83">
        <v>1.64084259040183</v>
      </c>
      <c r="U83">
        <v>1.05732418745759</v>
      </c>
      <c r="V83">
        <v>0.88665465309990299</v>
      </c>
      <c r="W83">
        <v>182.73816792446499</v>
      </c>
      <c r="X83">
        <v>182.273341832027</v>
      </c>
      <c r="Y83">
        <v>180.35891137617301</v>
      </c>
      <c r="Z83">
        <v>179.798971958989</v>
      </c>
      <c r="AA83">
        <v>0</v>
      </c>
      <c r="AB83">
        <v>1</v>
      </c>
      <c r="AC83">
        <v>0</v>
      </c>
      <c r="AD83">
        <v>0</v>
      </c>
      <c r="AE83">
        <v>49</v>
      </c>
      <c r="AF83">
        <v>1</v>
      </c>
    </row>
    <row r="84" spans="1:32" x14ac:dyDescent="0.3">
      <c r="A84" t="s">
        <v>94</v>
      </c>
      <c r="B84">
        <v>165</v>
      </c>
      <c r="C84">
        <v>8.9433962264150901E-2</v>
      </c>
      <c r="D84">
        <v>0.36603773584905702</v>
      </c>
      <c r="E84">
        <v>0</v>
      </c>
      <c r="F84">
        <v>0</v>
      </c>
      <c r="G84">
        <v>1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0.48</v>
      </c>
      <c r="O84">
        <v>38</v>
      </c>
      <c r="P84">
        <v>38</v>
      </c>
      <c r="Q84">
        <v>24</v>
      </c>
      <c r="R84">
        <v>21</v>
      </c>
      <c r="S84">
        <v>1.8037660636489199</v>
      </c>
      <c r="T84">
        <v>1.7919532248707599</v>
      </c>
      <c r="U84">
        <v>0.91682647622638602</v>
      </c>
      <c r="V84">
        <v>0.89208227275281504</v>
      </c>
      <c r="W84">
        <v>182.80786766289</v>
      </c>
      <c r="X84">
        <v>182.76911163015299</v>
      </c>
      <c r="Y84">
        <v>179.89796088000799</v>
      </c>
      <c r="Z84">
        <v>179.816779110081</v>
      </c>
      <c r="AA84">
        <v>0</v>
      </c>
      <c r="AB84">
        <v>1</v>
      </c>
      <c r="AC84">
        <v>0</v>
      </c>
      <c r="AD84">
        <v>0</v>
      </c>
      <c r="AE84">
        <v>14</v>
      </c>
      <c r="AF84">
        <v>1</v>
      </c>
    </row>
    <row r="85" spans="1:32" x14ac:dyDescent="0.3">
      <c r="A85" t="s">
        <v>96</v>
      </c>
      <c r="B85">
        <v>167</v>
      </c>
      <c r="C85">
        <v>5.7735849056603797E-2</v>
      </c>
      <c r="D85">
        <v>3.77358490566038E-2</v>
      </c>
      <c r="E85">
        <v>0</v>
      </c>
      <c r="F85">
        <v>0</v>
      </c>
      <c r="G85">
        <v>1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0.17</v>
      </c>
      <c r="O85">
        <v>35</v>
      </c>
      <c r="P85">
        <v>37</v>
      </c>
      <c r="Q85">
        <v>22</v>
      </c>
      <c r="R85">
        <v>29</v>
      </c>
      <c r="S85">
        <v>2.0328545581945301</v>
      </c>
      <c r="T85">
        <v>1.96605216247453</v>
      </c>
      <c r="U85">
        <v>1.05067540758448</v>
      </c>
      <c r="V85">
        <v>1.0900619921789101</v>
      </c>
      <c r="W85">
        <v>183.559470335284</v>
      </c>
      <c r="X85">
        <v>183.340302370323</v>
      </c>
      <c r="Y85">
        <v>180.33709779391199</v>
      </c>
      <c r="Z85">
        <v>180.46631887197799</v>
      </c>
      <c r="AA85">
        <v>0</v>
      </c>
      <c r="AB85">
        <v>1</v>
      </c>
      <c r="AC85">
        <v>0</v>
      </c>
      <c r="AD85">
        <v>0</v>
      </c>
      <c r="AE85">
        <v>19</v>
      </c>
      <c r="AF85">
        <v>1</v>
      </c>
    </row>
    <row r="86" spans="1:32" x14ac:dyDescent="0.3">
      <c r="A86" t="s">
        <v>98</v>
      </c>
      <c r="B86">
        <v>169</v>
      </c>
      <c r="C86">
        <v>0.13018867924528299</v>
      </c>
      <c r="D86">
        <v>6.2641509433962295E-2</v>
      </c>
      <c r="E86">
        <v>0</v>
      </c>
      <c r="F86">
        <v>0</v>
      </c>
      <c r="G86">
        <v>0</v>
      </c>
      <c r="H86">
        <v>1</v>
      </c>
      <c r="I86">
        <v>0</v>
      </c>
      <c r="J86">
        <v>1</v>
      </c>
      <c r="K86">
        <v>0</v>
      </c>
      <c r="L86">
        <v>0</v>
      </c>
      <c r="M86">
        <v>0.06</v>
      </c>
      <c r="N86">
        <v>0</v>
      </c>
      <c r="O86">
        <v>27</v>
      </c>
      <c r="P86">
        <v>34</v>
      </c>
      <c r="Q86">
        <v>23</v>
      </c>
      <c r="R86">
        <v>30</v>
      </c>
      <c r="S86">
        <v>1.7797491778433401</v>
      </c>
      <c r="T86">
        <v>1.6308713459951101</v>
      </c>
      <c r="U86">
        <v>1.6635292116854199</v>
      </c>
      <c r="V86">
        <v>1.1726445248731701</v>
      </c>
      <c r="W86">
        <v>182.72907210578501</v>
      </c>
      <c r="X86">
        <v>182.24062777557501</v>
      </c>
      <c r="Y86">
        <v>182.347773004217</v>
      </c>
      <c r="Z86">
        <v>180.73725893987299</v>
      </c>
      <c r="AA86">
        <v>0</v>
      </c>
      <c r="AB86">
        <v>1</v>
      </c>
      <c r="AC86">
        <v>0</v>
      </c>
      <c r="AD86">
        <v>0</v>
      </c>
      <c r="AE86">
        <v>4</v>
      </c>
      <c r="AF86">
        <v>1</v>
      </c>
    </row>
    <row r="87" spans="1:32" x14ac:dyDescent="0.3">
      <c r="A87" t="s">
        <v>100</v>
      </c>
      <c r="B87">
        <v>171</v>
      </c>
      <c r="C87">
        <v>0.36603773584905702</v>
      </c>
      <c r="D87">
        <v>0.25622641509434002</v>
      </c>
      <c r="E87">
        <v>0</v>
      </c>
      <c r="F87">
        <v>0</v>
      </c>
      <c r="G87">
        <v>0</v>
      </c>
      <c r="H87">
        <v>1</v>
      </c>
      <c r="I87">
        <v>0</v>
      </c>
      <c r="J87">
        <v>1</v>
      </c>
      <c r="K87">
        <v>0</v>
      </c>
      <c r="L87">
        <v>0</v>
      </c>
      <c r="M87">
        <v>0</v>
      </c>
      <c r="N87">
        <v>0.65</v>
      </c>
      <c r="O87">
        <v>27</v>
      </c>
      <c r="P87">
        <v>34</v>
      </c>
      <c r="Q87">
        <v>18</v>
      </c>
      <c r="R87">
        <v>24</v>
      </c>
      <c r="S87">
        <v>0.86263919917524901</v>
      </c>
      <c r="T87">
        <v>1.2890461627565</v>
      </c>
      <c r="U87">
        <v>0.51097217716941801</v>
      </c>
      <c r="V87">
        <v>0.73616900278545705</v>
      </c>
      <c r="W87">
        <v>179.720181099656</v>
      </c>
      <c r="X87">
        <v>181.119154077285</v>
      </c>
      <c r="Y87">
        <v>178.56641790409901</v>
      </c>
      <c r="Z87">
        <v>179.30525263381099</v>
      </c>
      <c r="AA87">
        <v>0</v>
      </c>
      <c r="AB87">
        <v>1</v>
      </c>
      <c r="AC87">
        <v>0</v>
      </c>
      <c r="AD87">
        <v>0</v>
      </c>
      <c r="AE87">
        <v>7</v>
      </c>
      <c r="AF87">
        <v>1</v>
      </c>
    </row>
    <row r="88" spans="1:32" x14ac:dyDescent="0.3">
      <c r="A88" t="s">
        <v>104</v>
      </c>
      <c r="B88">
        <v>173</v>
      </c>
      <c r="C88">
        <v>6.2641509433962295E-2</v>
      </c>
      <c r="D88">
        <v>5.7735849056603797E-2</v>
      </c>
      <c r="E88">
        <v>0</v>
      </c>
      <c r="F88">
        <v>0</v>
      </c>
      <c r="G88">
        <v>1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1.59</v>
      </c>
      <c r="O88">
        <v>33</v>
      </c>
      <c r="P88">
        <v>30</v>
      </c>
      <c r="Q88">
        <v>25</v>
      </c>
      <c r="R88">
        <v>25</v>
      </c>
      <c r="S88">
        <v>1.77668704510513</v>
      </c>
      <c r="T88">
        <v>2.1363349069873601</v>
      </c>
      <c r="U88">
        <v>1.4601293841667</v>
      </c>
      <c r="V88">
        <v>1.6520785416857899</v>
      </c>
      <c r="W88">
        <v>182.71902573853399</v>
      </c>
      <c r="X88">
        <v>183.89897279195301</v>
      </c>
      <c r="Y88">
        <v>181.680450735455</v>
      </c>
      <c r="Z88">
        <v>182.310205189258</v>
      </c>
      <c r="AA88">
        <v>0</v>
      </c>
      <c r="AB88">
        <v>1</v>
      </c>
      <c r="AC88">
        <v>0</v>
      </c>
      <c r="AD88">
        <v>0</v>
      </c>
      <c r="AE88">
        <v>6</v>
      </c>
      <c r="AF88">
        <v>1</v>
      </c>
    </row>
    <row r="89" spans="1:32" x14ac:dyDescent="0.3">
      <c r="A89" t="s">
        <v>106</v>
      </c>
      <c r="B89">
        <v>175</v>
      </c>
      <c r="C89">
        <v>0.25622641509434002</v>
      </c>
      <c r="D89">
        <v>0.13018867924528299</v>
      </c>
      <c r="E89">
        <v>0</v>
      </c>
      <c r="F89">
        <v>0</v>
      </c>
      <c r="G89">
        <v>1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33</v>
      </c>
      <c r="P89">
        <v>31</v>
      </c>
      <c r="Q89">
        <v>18</v>
      </c>
      <c r="R89">
        <v>18</v>
      </c>
      <c r="S89">
        <v>1.5942674542686901</v>
      </c>
      <c r="T89">
        <v>1.4891664158589799</v>
      </c>
      <c r="U89">
        <v>1.3587707796269799</v>
      </c>
      <c r="V89">
        <v>1.3316643315302501</v>
      </c>
      <c r="W89">
        <v>182.12053626728601</v>
      </c>
      <c r="X89">
        <v>181.77571658746399</v>
      </c>
      <c r="Y89">
        <v>181.34790938197801</v>
      </c>
      <c r="Z89">
        <v>181.25897746564999</v>
      </c>
      <c r="AA89">
        <v>0</v>
      </c>
      <c r="AB89">
        <v>1</v>
      </c>
      <c r="AC89">
        <v>0</v>
      </c>
      <c r="AD89">
        <v>0</v>
      </c>
      <c r="AE89">
        <v>72</v>
      </c>
      <c r="AF89">
        <v>1</v>
      </c>
    </row>
    <row r="90" spans="1:32" x14ac:dyDescent="0.3">
      <c r="A90" t="s">
        <v>108</v>
      </c>
      <c r="B90">
        <v>177</v>
      </c>
      <c r="C90">
        <v>8.9433962264150901E-2</v>
      </c>
      <c r="D90">
        <v>0.36603773584905702</v>
      </c>
      <c r="E90">
        <v>0</v>
      </c>
      <c r="F90">
        <v>0</v>
      </c>
      <c r="G90">
        <v>1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37</v>
      </c>
      <c r="P90">
        <v>34</v>
      </c>
      <c r="Q90">
        <v>29</v>
      </c>
      <c r="R90">
        <v>19</v>
      </c>
      <c r="S90">
        <v>1.70007162989867</v>
      </c>
      <c r="T90">
        <v>1.9335679578392899</v>
      </c>
      <c r="U90">
        <v>1.23820714997753</v>
      </c>
      <c r="V90">
        <v>1.38581959954274</v>
      </c>
      <c r="W90">
        <v>182.46766282775201</v>
      </c>
      <c r="X90">
        <v>183.23372689579799</v>
      </c>
      <c r="Y90">
        <v>180.952359415937</v>
      </c>
      <c r="Z90">
        <v>181.43665222947101</v>
      </c>
      <c r="AA90">
        <v>0</v>
      </c>
      <c r="AB90">
        <v>1</v>
      </c>
      <c r="AC90">
        <v>0</v>
      </c>
      <c r="AD90">
        <v>0</v>
      </c>
      <c r="AE90">
        <v>15</v>
      </c>
      <c r="AF90">
        <v>1</v>
      </c>
    </row>
    <row r="91" spans="1:32" x14ac:dyDescent="0.3">
      <c r="A91" t="s">
        <v>110</v>
      </c>
      <c r="B91">
        <v>179</v>
      </c>
      <c r="C91">
        <v>5.7735849056603797E-2</v>
      </c>
      <c r="D91">
        <v>3.77358490566038E-2</v>
      </c>
      <c r="E91">
        <v>0</v>
      </c>
      <c r="F91">
        <v>0</v>
      </c>
      <c r="G91">
        <v>1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30</v>
      </c>
      <c r="P91">
        <v>37</v>
      </c>
      <c r="Q91">
        <v>25</v>
      </c>
      <c r="R91">
        <v>27</v>
      </c>
      <c r="S91">
        <v>1.55780568039307</v>
      </c>
      <c r="T91">
        <v>1.6070921508786999</v>
      </c>
      <c r="U91">
        <v>1.47096178920245</v>
      </c>
      <c r="V91">
        <v>0.97600343787107602</v>
      </c>
      <c r="W91">
        <v>182.000911024912</v>
      </c>
      <c r="X91">
        <v>182.16261204356499</v>
      </c>
      <c r="Y91">
        <v>181.71599012205499</v>
      </c>
      <c r="Z91">
        <v>180.09211101663701</v>
      </c>
      <c r="AA91">
        <v>0</v>
      </c>
      <c r="AB91">
        <v>1</v>
      </c>
      <c r="AC91">
        <v>0</v>
      </c>
      <c r="AD91">
        <v>0</v>
      </c>
      <c r="AE91">
        <v>15</v>
      </c>
      <c r="AF91">
        <v>1</v>
      </c>
    </row>
    <row r="92" spans="1:32" x14ac:dyDescent="0.3">
      <c r="A92" t="s">
        <v>112</v>
      </c>
      <c r="B92">
        <v>181</v>
      </c>
      <c r="C92">
        <v>0.13018867924528299</v>
      </c>
      <c r="D92">
        <v>6.2641509433962295E-2</v>
      </c>
      <c r="E92">
        <v>0</v>
      </c>
      <c r="F92">
        <v>0</v>
      </c>
      <c r="G92">
        <v>1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29</v>
      </c>
      <c r="P92">
        <v>36</v>
      </c>
      <c r="Q92">
        <v>24</v>
      </c>
      <c r="R92">
        <v>21</v>
      </c>
      <c r="S92">
        <v>1.8443950798900499</v>
      </c>
      <c r="T92">
        <v>1.3612157858629499</v>
      </c>
      <c r="U92">
        <v>1.5271981798766801</v>
      </c>
      <c r="V92">
        <v>1.2368906039913401</v>
      </c>
      <c r="W92">
        <v>182.94116496026899</v>
      </c>
      <c r="X92">
        <v>181.35593105598099</v>
      </c>
      <c r="Y92">
        <v>181.900492716131</v>
      </c>
      <c r="Z92">
        <v>180.948040039342</v>
      </c>
      <c r="AA92">
        <v>0</v>
      </c>
      <c r="AB92">
        <v>1</v>
      </c>
      <c r="AC92">
        <v>0</v>
      </c>
      <c r="AD92">
        <v>0</v>
      </c>
      <c r="AE92">
        <v>14</v>
      </c>
      <c r="AF92">
        <v>1</v>
      </c>
    </row>
    <row r="93" spans="1:32" x14ac:dyDescent="0.3">
      <c r="A93" t="s">
        <v>114</v>
      </c>
      <c r="B93">
        <v>183</v>
      </c>
      <c r="C93">
        <v>0.36603773584905702</v>
      </c>
      <c r="D93">
        <v>0.25622641509434002</v>
      </c>
      <c r="E93">
        <v>0</v>
      </c>
      <c r="F93">
        <v>0</v>
      </c>
      <c r="G93">
        <v>1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0</v>
      </c>
      <c r="O93">
        <v>38</v>
      </c>
      <c r="P93">
        <v>35</v>
      </c>
      <c r="Q93">
        <v>14</v>
      </c>
      <c r="R93">
        <v>18</v>
      </c>
      <c r="S93">
        <v>1.45484260938882</v>
      </c>
      <c r="T93">
        <v>1.47732624541974</v>
      </c>
      <c r="U93">
        <v>0.81726615001874903</v>
      </c>
      <c r="V93">
        <v>0.93276797414856305</v>
      </c>
      <c r="W93">
        <v>181.66310567384801</v>
      </c>
      <c r="X93">
        <v>181.73687088392299</v>
      </c>
      <c r="Y93">
        <v>179.57131938982499</v>
      </c>
      <c r="Z93">
        <v>179.95026238237699</v>
      </c>
      <c r="AA93">
        <v>0</v>
      </c>
      <c r="AB93">
        <v>1</v>
      </c>
      <c r="AC93">
        <v>0</v>
      </c>
      <c r="AD93">
        <v>0</v>
      </c>
      <c r="AE93">
        <v>65</v>
      </c>
      <c r="AF93">
        <v>1</v>
      </c>
    </row>
    <row r="94" spans="1:32" x14ac:dyDescent="0.3">
      <c r="A94" t="s">
        <v>116</v>
      </c>
      <c r="B94">
        <v>185</v>
      </c>
      <c r="C94">
        <v>3.77358490566038E-2</v>
      </c>
      <c r="D94">
        <v>8.9433962264150901E-2</v>
      </c>
      <c r="E94">
        <v>0</v>
      </c>
      <c r="F94">
        <v>1</v>
      </c>
      <c r="G94">
        <v>1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40</v>
      </c>
      <c r="P94">
        <v>38</v>
      </c>
      <c r="Q94">
        <v>34</v>
      </c>
      <c r="R94">
        <v>24</v>
      </c>
      <c r="S94">
        <v>1.56015992969053</v>
      </c>
      <c r="T94">
        <v>1.49734414679942</v>
      </c>
      <c r="U94">
        <v>0.89863031794165305</v>
      </c>
      <c r="V94">
        <v>0.54281059989186498</v>
      </c>
      <c r="W94">
        <v>182.00863493993</v>
      </c>
      <c r="X94">
        <v>181.80254641338399</v>
      </c>
      <c r="Y94">
        <v>179.83826219797101</v>
      </c>
      <c r="Z94">
        <v>178.67087467156099</v>
      </c>
      <c r="AA94">
        <v>0</v>
      </c>
      <c r="AB94">
        <v>1</v>
      </c>
      <c r="AC94">
        <v>0</v>
      </c>
      <c r="AD94">
        <v>0</v>
      </c>
      <c r="AE94">
        <v>12</v>
      </c>
      <c r="AF94">
        <v>1</v>
      </c>
    </row>
    <row r="95" spans="1:32" x14ac:dyDescent="0.3">
      <c r="A95" t="s">
        <v>118</v>
      </c>
      <c r="B95">
        <v>187</v>
      </c>
      <c r="C95">
        <v>6.2641509433962295E-2</v>
      </c>
      <c r="D95">
        <v>5.7735849056603797E-2</v>
      </c>
      <c r="E95">
        <v>0</v>
      </c>
      <c r="F95">
        <v>0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0.78</v>
      </c>
      <c r="N95">
        <v>0</v>
      </c>
      <c r="O95">
        <v>26</v>
      </c>
      <c r="P95">
        <v>39</v>
      </c>
      <c r="Q95">
        <v>23</v>
      </c>
      <c r="R95">
        <v>28</v>
      </c>
      <c r="S95">
        <v>1.8145303246776601</v>
      </c>
      <c r="T95">
        <v>1.9987321686842801</v>
      </c>
      <c r="U95">
        <v>1.51930554692651</v>
      </c>
      <c r="V95">
        <v>1.2007173424128501</v>
      </c>
      <c r="W95">
        <v>182.84318347991399</v>
      </c>
      <c r="X95">
        <v>183.44752023846499</v>
      </c>
      <c r="Y95">
        <v>181.87459825107101</v>
      </c>
      <c r="Z95">
        <v>180.829361359622</v>
      </c>
      <c r="AA95">
        <v>0</v>
      </c>
      <c r="AB95">
        <v>1</v>
      </c>
      <c r="AC95">
        <v>0</v>
      </c>
      <c r="AD95">
        <v>0</v>
      </c>
      <c r="AE95">
        <v>5</v>
      </c>
      <c r="AF95">
        <v>1</v>
      </c>
    </row>
    <row r="96" spans="1:32" x14ac:dyDescent="0.3">
      <c r="A96" t="s">
        <v>120</v>
      </c>
      <c r="B96">
        <v>189</v>
      </c>
      <c r="C96">
        <v>0.25622641509434002</v>
      </c>
      <c r="D96">
        <v>0.13018867924528299</v>
      </c>
      <c r="E96">
        <v>0</v>
      </c>
      <c r="F96">
        <v>0</v>
      </c>
      <c r="G96">
        <v>1</v>
      </c>
      <c r="H96">
        <v>0</v>
      </c>
      <c r="I96">
        <v>0</v>
      </c>
      <c r="J96">
        <v>1</v>
      </c>
      <c r="K96">
        <v>0</v>
      </c>
      <c r="L96">
        <v>0</v>
      </c>
      <c r="M96">
        <v>0.05</v>
      </c>
      <c r="N96">
        <v>0.68</v>
      </c>
      <c r="O96">
        <v>35</v>
      </c>
      <c r="P96">
        <v>25</v>
      </c>
      <c r="Q96">
        <v>15</v>
      </c>
      <c r="R96">
        <v>19</v>
      </c>
      <c r="S96">
        <v>1.8802345902336799</v>
      </c>
      <c r="T96">
        <v>1.9491430538377701</v>
      </c>
      <c r="U96">
        <v>0.97243796825093798</v>
      </c>
      <c r="V96">
        <v>1.7133873781842099</v>
      </c>
      <c r="W96">
        <v>183.058748655622</v>
      </c>
      <c r="X96">
        <v>183.28482629211899</v>
      </c>
      <c r="Y96">
        <v>180.080413281663</v>
      </c>
      <c r="Z96">
        <v>182.51134966595899</v>
      </c>
      <c r="AA96">
        <v>0</v>
      </c>
      <c r="AB96">
        <v>1</v>
      </c>
      <c r="AC96">
        <v>0</v>
      </c>
      <c r="AD96">
        <v>0</v>
      </c>
      <c r="AE96">
        <v>36</v>
      </c>
      <c r="AF96">
        <v>1</v>
      </c>
    </row>
    <row r="97" spans="1:32" x14ac:dyDescent="0.3">
      <c r="A97" t="s">
        <v>9</v>
      </c>
      <c r="B97">
        <v>191</v>
      </c>
      <c r="C97">
        <v>6.1778682959945701E-2</v>
      </c>
      <c r="D97">
        <v>6.1778682959945701E-2</v>
      </c>
      <c r="E97">
        <v>0</v>
      </c>
      <c r="F97">
        <v>0</v>
      </c>
      <c r="G97">
        <v>1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25</v>
      </c>
      <c r="P97">
        <v>25</v>
      </c>
      <c r="Q97">
        <v>16</v>
      </c>
      <c r="R97">
        <v>16</v>
      </c>
      <c r="S97">
        <v>3.2944217054488498</v>
      </c>
      <c r="T97">
        <v>3.2944217054488498</v>
      </c>
      <c r="U97">
        <v>2.8214645115074002</v>
      </c>
      <c r="V97">
        <v>2.8214645115074002</v>
      </c>
      <c r="W97">
        <v>183.448470162234</v>
      </c>
      <c r="X97">
        <v>183.448470162234</v>
      </c>
      <c r="Y97">
        <v>181.89677333171699</v>
      </c>
      <c r="Z97">
        <v>181.89677333171699</v>
      </c>
      <c r="AA97">
        <v>0</v>
      </c>
      <c r="AB97">
        <v>0</v>
      </c>
      <c r="AC97">
        <v>1</v>
      </c>
      <c r="AD97">
        <v>0</v>
      </c>
      <c r="AE97">
        <v>5</v>
      </c>
      <c r="AF97">
        <v>1</v>
      </c>
    </row>
    <row r="98" spans="1:32" x14ac:dyDescent="0.3">
      <c r="A98" t="s">
        <v>11</v>
      </c>
      <c r="B98">
        <v>193</v>
      </c>
      <c r="C98">
        <v>0.273455532926001</v>
      </c>
      <c r="D98">
        <v>0.144602851323829</v>
      </c>
      <c r="E98">
        <v>0</v>
      </c>
      <c r="F98">
        <v>0</v>
      </c>
      <c r="G98">
        <v>1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27</v>
      </c>
      <c r="P98">
        <v>29</v>
      </c>
      <c r="Q98">
        <v>7</v>
      </c>
      <c r="R98">
        <v>15</v>
      </c>
      <c r="S98">
        <v>3.0340105268487099</v>
      </c>
      <c r="T98">
        <v>3.2795314772128399</v>
      </c>
      <c r="U98">
        <v>2.79623377972871</v>
      </c>
      <c r="V98">
        <v>2.6702638721303802</v>
      </c>
      <c r="W98">
        <v>182.594102778375</v>
      </c>
      <c r="X98">
        <v>183.399617707391</v>
      </c>
      <c r="Y98">
        <v>181.81399534031701</v>
      </c>
      <c r="Z98">
        <v>181.400708241898</v>
      </c>
      <c r="AA98">
        <v>0</v>
      </c>
      <c r="AB98">
        <v>0</v>
      </c>
      <c r="AC98">
        <v>1</v>
      </c>
      <c r="AD98">
        <v>0</v>
      </c>
      <c r="AE98">
        <v>39</v>
      </c>
      <c r="AF98">
        <v>1</v>
      </c>
    </row>
    <row r="99" spans="1:32" x14ac:dyDescent="0.3">
      <c r="A99" t="s">
        <v>13</v>
      </c>
      <c r="B99">
        <v>195</v>
      </c>
      <c r="C99">
        <v>9.6673455532926E-2</v>
      </c>
      <c r="D99">
        <v>0.31785471826204997</v>
      </c>
      <c r="E99">
        <v>1</v>
      </c>
      <c r="F99">
        <v>0</v>
      </c>
      <c r="G99">
        <v>1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33</v>
      </c>
      <c r="P99">
        <v>35</v>
      </c>
      <c r="Q99">
        <v>16</v>
      </c>
      <c r="R99">
        <v>9</v>
      </c>
      <c r="S99">
        <v>2.9545467058269002</v>
      </c>
      <c r="T99">
        <v>2.6862883284415799</v>
      </c>
      <c r="U99">
        <v>2.8358416729268501</v>
      </c>
      <c r="V99">
        <v>2.0983573811253402</v>
      </c>
      <c r="W99">
        <v>182.333394704157</v>
      </c>
      <c r="X99">
        <v>181.45328191745901</v>
      </c>
      <c r="Y99">
        <v>181.943942496479</v>
      </c>
      <c r="Z99">
        <v>179.52437460999101</v>
      </c>
      <c r="AA99">
        <v>0</v>
      </c>
      <c r="AB99">
        <v>0</v>
      </c>
      <c r="AC99">
        <v>1</v>
      </c>
      <c r="AD99">
        <v>0</v>
      </c>
      <c r="AE99">
        <v>50</v>
      </c>
      <c r="AF99">
        <v>1</v>
      </c>
    </row>
    <row r="100" spans="1:32" x14ac:dyDescent="0.3">
      <c r="A100" t="s">
        <v>15</v>
      </c>
      <c r="B100">
        <v>197</v>
      </c>
      <c r="C100">
        <v>6.5987780040733204E-2</v>
      </c>
      <c r="D100">
        <v>3.9646978954514599E-2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34</v>
      </c>
      <c r="P100">
        <v>33</v>
      </c>
      <c r="Q100">
        <v>21</v>
      </c>
      <c r="R100">
        <v>20</v>
      </c>
      <c r="S100">
        <v>3.0040108033361199</v>
      </c>
      <c r="T100">
        <v>2.96585649865944</v>
      </c>
      <c r="U100">
        <v>1.9034758736226001</v>
      </c>
      <c r="V100">
        <v>2.5588718966264299</v>
      </c>
      <c r="W100">
        <v>182.495678488636</v>
      </c>
      <c r="X100">
        <v>182.370500323686</v>
      </c>
      <c r="Y100">
        <v>178.88499958537599</v>
      </c>
      <c r="Z100">
        <v>181.03524900468</v>
      </c>
      <c r="AA100">
        <v>0</v>
      </c>
      <c r="AB100">
        <v>0</v>
      </c>
      <c r="AC100">
        <v>1</v>
      </c>
      <c r="AD100">
        <v>0</v>
      </c>
      <c r="AE100">
        <v>15</v>
      </c>
      <c r="AF100">
        <v>1</v>
      </c>
    </row>
    <row r="101" spans="1:32" x14ac:dyDescent="0.3">
      <c r="A101" t="s">
        <v>17</v>
      </c>
      <c r="B101">
        <v>199</v>
      </c>
      <c r="C101">
        <v>0.144602851323829</v>
      </c>
      <c r="D101">
        <v>6.1778682959945701E-2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9.8000000000000004E-2</v>
      </c>
      <c r="N101">
        <v>0.34649999999999997</v>
      </c>
      <c r="O101">
        <v>34</v>
      </c>
      <c r="P101">
        <v>31</v>
      </c>
      <c r="Q101">
        <v>16</v>
      </c>
      <c r="R101">
        <v>21</v>
      </c>
      <c r="S101">
        <v>3.4431616938824501</v>
      </c>
      <c r="T101">
        <v>3.2736751424669599</v>
      </c>
      <c r="U101">
        <v>2.3903412874947598</v>
      </c>
      <c r="V101">
        <v>1.9807122764827201</v>
      </c>
      <c r="W101">
        <v>183.93646225027101</v>
      </c>
      <c r="X101">
        <v>183.380404010718</v>
      </c>
      <c r="Y101">
        <v>180.48232705871001</v>
      </c>
      <c r="Z101">
        <v>179.138399857227</v>
      </c>
      <c r="AA101">
        <v>0</v>
      </c>
      <c r="AB101">
        <v>0</v>
      </c>
      <c r="AC101">
        <v>1</v>
      </c>
      <c r="AD101">
        <v>0</v>
      </c>
      <c r="AE101">
        <v>72</v>
      </c>
      <c r="AF101">
        <v>1</v>
      </c>
    </row>
    <row r="102" spans="1:32" x14ac:dyDescent="0.3">
      <c r="A102" t="s">
        <v>19</v>
      </c>
      <c r="B102">
        <v>201</v>
      </c>
      <c r="C102">
        <v>0.31785471826204997</v>
      </c>
      <c r="D102">
        <v>0.273455532926001</v>
      </c>
      <c r="E102">
        <v>0</v>
      </c>
      <c r="F102">
        <v>0</v>
      </c>
      <c r="G102">
        <v>0</v>
      </c>
      <c r="H102">
        <v>1</v>
      </c>
      <c r="I102">
        <v>0</v>
      </c>
      <c r="J102">
        <v>1</v>
      </c>
      <c r="K102">
        <v>0</v>
      </c>
      <c r="L102">
        <v>0</v>
      </c>
      <c r="M102">
        <v>1.0500000000000001E-2</v>
      </c>
      <c r="N102">
        <v>0</v>
      </c>
      <c r="O102">
        <v>22</v>
      </c>
      <c r="P102">
        <v>35</v>
      </c>
      <c r="Q102">
        <v>15</v>
      </c>
      <c r="R102">
        <v>17</v>
      </c>
      <c r="S102">
        <v>3.0612170084185499</v>
      </c>
      <c r="T102">
        <v>3.21157178905325</v>
      </c>
      <c r="U102">
        <v>2.3809716381565398</v>
      </c>
      <c r="V102">
        <v>2.3230500216619299</v>
      </c>
      <c r="W102">
        <v>182.68336288851199</v>
      </c>
      <c r="X102">
        <v>183.17665285122499</v>
      </c>
      <c r="Y102">
        <v>180.45158673935899</v>
      </c>
      <c r="Z102">
        <v>180.26155518918</v>
      </c>
      <c r="AA102">
        <v>0</v>
      </c>
      <c r="AB102">
        <v>0</v>
      </c>
      <c r="AC102">
        <v>1</v>
      </c>
      <c r="AD102">
        <v>0</v>
      </c>
      <c r="AE102">
        <v>17</v>
      </c>
      <c r="AF102">
        <v>1</v>
      </c>
    </row>
    <row r="103" spans="1:32" x14ac:dyDescent="0.3">
      <c r="A103" t="s">
        <v>21</v>
      </c>
      <c r="B103">
        <v>203</v>
      </c>
      <c r="C103">
        <v>3.9646978954514599E-2</v>
      </c>
      <c r="D103">
        <v>9.6673455532926E-2</v>
      </c>
      <c r="E103">
        <v>0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1.379</v>
      </c>
      <c r="N103">
        <v>0.33950000000000002</v>
      </c>
      <c r="O103">
        <v>17</v>
      </c>
      <c r="P103">
        <v>14</v>
      </c>
      <c r="Q103">
        <v>12</v>
      </c>
      <c r="R103">
        <v>13</v>
      </c>
      <c r="S103">
        <v>3.3863490827643301</v>
      </c>
      <c r="T103">
        <v>2.7688675918726902</v>
      </c>
      <c r="U103">
        <v>3.1223785240568498</v>
      </c>
      <c r="V103">
        <v>2.7415560696552399</v>
      </c>
      <c r="W103">
        <v>183.750069169174</v>
      </c>
      <c r="X103">
        <v>181.724211259425</v>
      </c>
      <c r="Y103">
        <v>182.884024029058</v>
      </c>
      <c r="Z103">
        <v>181.63460652774</v>
      </c>
      <c r="AA103">
        <v>0</v>
      </c>
      <c r="AB103">
        <v>0</v>
      </c>
      <c r="AC103">
        <v>1</v>
      </c>
      <c r="AD103">
        <v>0</v>
      </c>
      <c r="AE103">
        <v>6</v>
      </c>
      <c r="AF103">
        <v>1</v>
      </c>
    </row>
    <row r="104" spans="1:32" x14ac:dyDescent="0.3">
      <c r="A104" t="s">
        <v>23</v>
      </c>
      <c r="B104">
        <v>205</v>
      </c>
      <c r="C104">
        <v>6.1778682959945701E-2</v>
      </c>
      <c r="D104">
        <v>6.5987780040733204E-2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1.7500000000000002E-2</v>
      </c>
      <c r="O104">
        <v>29</v>
      </c>
      <c r="P104">
        <v>32</v>
      </c>
      <c r="Q104">
        <v>14</v>
      </c>
      <c r="R104">
        <v>23</v>
      </c>
      <c r="S104">
        <v>3.2622453743147202</v>
      </c>
      <c r="T104">
        <v>3.2200779640211898</v>
      </c>
      <c r="U104">
        <v>2.6435196385489101</v>
      </c>
      <c r="V104">
        <v>2.9841385320878002</v>
      </c>
      <c r="W104">
        <v>183.34290477137401</v>
      </c>
      <c r="X104">
        <v>183.20456024941299</v>
      </c>
      <c r="Y104">
        <v>181.31296469340199</v>
      </c>
      <c r="Z104">
        <v>182.43048074832001</v>
      </c>
      <c r="AA104">
        <v>0</v>
      </c>
      <c r="AB104">
        <v>0</v>
      </c>
      <c r="AC104">
        <v>1</v>
      </c>
      <c r="AD104">
        <v>0</v>
      </c>
      <c r="AE104">
        <v>10</v>
      </c>
      <c r="AF104">
        <v>1</v>
      </c>
    </row>
    <row r="105" spans="1:32" x14ac:dyDescent="0.3">
      <c r="A105" t="s">
        <v>25</v>
      </c>
      <c r="B105">
        <v>207</v>
      </c>
      <c r="C105">
        <v>0.273455532926001</v>
      </c>
      <c r="D105">
        <v>0.144602851323829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29</v>
      </c>
      <c r="P105">
        <v>30</v>
      </c>
      <c r="Q105">
        <v>17</v>
      </c>
      <c r="R105">
        <v>15</v>
      </c>
      <c r="S105">
        <v>3.3349968666776602</v>
      </c>
      <c r="T105">
        <v>3.2374483468228501</v>
      </c>
      <c r="U105">
        <v>2.5852282691199502</v>
      </c>
      <c r="V105">
        <v>2.8744617333150901</v>
      </c>
      <c r="W105">
        <v>183.58159076993999</v>
      </c>
      <c r="X105">
        <v>183.26154969430101</v>
      </c>
      <c r="Y105">
        <v>181.12172004304401</v>
      </c>
      <c r="Z105">
        <v>182.070648731349</v>
      </c>
      <c r="AA105">
        <v>0</v>
      </c>
      <c r="AB105">
        <v>0</v>
      </c>
      <c r="AC105">
        <v>1</v>
      </c>
      <c r="AD105">
        <v>0</v>
      </c>
      <c r="AE105">
        <v>48</v>
      </c>
      <c r="AF105">
        <v>1</v>
      </c>
    </row>
    <row r="106" spans="1:32" x14ac:dyDescent="0.3">
      <c r="A106" t="s">
        <v>27</v>
      </c>
      <c r="B106">
        <v>209</v>
      </c>
      <c r="C106">
        <v>9.6673455532926E-2</v>
      </c>
      <c r="D106">
        <v>0.31785471826204997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19</v>
      </c>
      <c r="P106">
        <v>30</v>
      </c>
      <c r="Q106">
        <v>19</v>
      </c>
      <c r="R106">
        <v>9</v>
      </c>
      <c r="S106">
        <v>2.8604485430971298</v>
      </c>
      <c r="T106">
        <v>3.1834264322903301</v>
      </c>
      <c r="U106">
        <v>2.8604485430971298</v>
      </c>
      <c r="V106">
        <v>2.8801177140020302</v>
      </c>
      <c r="W106">
        <v>182.02467369782499</v>
      </c>
      <c r="X106">
        <v>183.084312441897</v>
      </c>
      <c r="Y106">
        <v>182.02467369782499</v>
      </c>
      <c r="Z106">
        <v>182.08920509843199</v>
      </c>
      <c r="AA106">
        <v>0</v>
      </c>
      <c r="AB106">
        <v>0</v>
      </c>
      <c r="AC106">
        <v>1</v>
      </c>
      <c r="AD106">
        <v>0</v>
      </c>
      <c r="AE106">
        <v>1</v>
      </c>
      <c r="AF106">
        <v>1</v>
      </c>
    </row>
    <row r="107" spans="1:32" x14ac:dyDescent="0.3">
      <c r="A107" t="s">
        <v>29</v>
      </c>
      <c r="B107">
        <v>211</v>
      </c>
      <c r="C107">
        <v>6.5987780040733204E-2</v>
      </c>
      <c r="D107">
        <v>3.9646978954514599E-2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0.11550000000000001</v>
      </c>
      <c r="N107">
        <v>0.434</v>
      </c>
      <c r="O107">
        <v>33</v>
      </c>
      <c r="P107">
        <v>29</v>
      </c>
      <c r="Q107">
        <v>17</v>
      </c>
      <c r="R107">
        <v>18</v>
      </c>
      <c r="S107">
        <v>2.9936899035194098</v>
      </c>
      <c r="T107">
        <v>2.9617682203540698</v>
      </c>
      <c r="U107">
        <v>2.4469827444300001</v>
      </c>
      <c r="V107">
        <v>2.2396993264048999</v>
      </c>
      <c r="W107">
        <v>182.46181726876401</v>
      </c>
      <c r="X107">
        <v>182.35708733711999</v>
      </c>
      <c r="Y107">
        <v>180.66815861033501</v>
      </c>
      <c r="Z107">
        <v>179.98809490290299</v>
      </c>
      <c r="AA107">
        <v>0</v>
      </c>
      <c r="AB107">
        <v>0</v>
      </c>
      <c r="AC107">
        <v>1</v>
      </c>
      <c r="AD107">
        <v>0</v>
      </c>
      <c r="AE107">
        <v>29</v>
      </c>
      <c r="AF107">
        <v>1</v>
      </c>
    </row>
    <row r="108" spans="1:32" x14ac:dyDescent="0.3">
      <c r="A108" t="s">
        <v>31</v>
      </c>
      <c r="B108">
        <v>213</v>
      </c>
      <c r="C108">
        <v>0.144602851323829</v>
      </c>
      <c r="D108">
        <v>6.1778682959945701E-2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35</v>
      </c>
      <c r="P108">
        <v>36</v>
      </c>
      <c r="Q108">
        <v>19</v>
      </c>
      <c r="R108">
        <v>25</v>
      </c>
      <c r="S108">
        <v>3.3051436704006201</v>
      </c>
      <c r="T108">
        <v>3.38554170555512</v>
      </c>
      <c r="U108">
        <v>2.6007753438698198</v>
      </c>
      <c r="V108">
        <v>2.8467698328199802</v>
      </c>
      <c r="W108">
        <v>183.4836472126</v>
      </c>
      <c r="X108">
        <v>183.74742029381599</v>
      </c>
      <c r="Y108">
        <v>181.172727506135</v>
      </c>
      <c r="Z108">
        <v>181.979796039436</v>
      </c>
      <c r="AA108">
        <v>0</v>
      </c>
      <c r="AB108">
        <v>0</v>
      </c>
      <c r="AC108">
        <v>1</v>
      </c>
      <c r="AD108">
        <v>0</v>
      </c>
      <c r="AE108">
        <v>43</v>
      </c>
      <c r="AF108">
        <v>1</v>
      </c>
    </row>
    <row r="109" spans="1:32" x14ac:dyDescent="0.3">
      <c r="A109" t="s">
        <v>33</v>
      </c>
      <c r="B109">
        <v>215</v>
      </c>
      <c r="C109">
        <v>0.31785471826204997</v>
      </c>
      <c r="D109">
        <v>0.273455532926001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0.27650000000000002</v>
      </c>
      <c r="O109">
        <v>37</v>
      </c>
      <c r="P109">
        <v>37</v>
      </c>
      <c r="Q109">
        <v>21</v>
      </c>
      <c r="R109">
        <v>21</v>
      </c>
      <c r="S109">
        <v>3.55310478658875</v>
      </c>
      <c r="T109">
        <v>3.0628353395550301</v>
      </c>
      <c r="U109">
        <v>2.82816834471822</v>
      </c>
      <c r="V109">
        <v>2.81175725627801</v>
      </c>
      <c r="W109">
        <v>184.29716793500199</v>
      </c>
      <c r="X109">
        <v>182.688672373868</v>
      </c>
      <c r="Y109">
        <v>181.91876753516499</v>
      </c>
      <c r="Z109">
        <v>181.86492538149</v>
      </c>
      <c r="AA109">
        <v>0</v>
      </c>
      <c r="AB109">
        <v>0</v>
      </c>
      <c r="AC109">
        <v>1</v>
      </c>
      <c r="AD109">
        <v>0</v>
      </c>
      <c r="AE109">
        <v>190</v>
      </c>
      <c r="AF109">
        <v>1</v>
      </c>
    </row>
    <row r="110" spans="1:32" x14ac:dyDescent="0.3">
      <c r="A110" t="s">
        <v>36</v>
      </c>
      <c r="B110">
        <v>217</v>
      </c>
      <c r="C110">
        <v>6.1778682959945701E-2</v>
      </c>
      <c r="D110">
        <v>6.5987780040733204E-2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28</v>
      </c>
      <c r="P110">
        <v>30</v>
      </c>
      <c r="Q110">
        <v>15</v>
      </c>
      <c r="R110">
        <v>17</v>
      </c>
      <c r="S110">
        <v>2.9217115351713998</v>
      </c>
      <c r="T110">
        <v>2.8620115023801498</v>
      </c>
      <c r="U110">
        <v>2.4217781866699801</v>
      </c>
      <c r="V110">
        <v>2.4406481092402199</v>
      </c>
      <c r="W110">
        <v>182.22566776631001</v>
      </c>
      <c r="X110">
        <v>182.02980151699501</v>
      </c>
      <c r="Y110">
        <v>180.58546649169901</v>
      </c>
      <c r="Z110">
        <v>180.647375686484</v>
      </c>
      <c r="AA110">
        <v>0</v>
      </c>
      <c r="AB110">
        <v>0</v>
      </c>
      <c r="AC110">
        <v>1</v>
      </c>
      <c r="AD110">
        <v>0</v>
      </c>
      <c r="AE110">
        <v>17</v>
      </c>
      <c r="AF110">
        <v>1</v>
      </c>
    </row>
    <row r="111" spans="1:32" x14ac:dyDescent="0.3">
      <c r="A111" t="s">
        <v>38</v>
      </c>
      <c r="B111">
        <v>219</v>
      </c>
      <c r="C111">
        <v>0.273455532926001</v>
      </c>
      <c r="D111">
        <v>0.144602851323829</v>
      </c>
      <c r="E111">
        <v>0</v>
      </c>
      <c r="F111">
        <v>0</v>
      </c>
      <c r="G111">
        <v>0</v>
      </c>
      <c r="H111">
        <v>0</v>
      </c>
      <c r="I111">
        <v>1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29</v>
      </c>
      <c r="P111">
        <v>34</v>
      </c>
      <c r="Q111">
        <v>12</v>
      </c>
      <c r="R111">
        <v>19</v>
      </c>
      <c r="S111">
        <v>2.7631589238913699</v>
      </c>
      <c r="T111">
        <v>3.2517408369374401</v>
      </c>
      <c r="U111">
        <v>2.3148129874602099</v>
      </c>
      <c r="V111">
        <v>2.6575909282832701</v>
      </c>
      <c r="W111">
        <v>181.70548203376401</v>
      </c>
      <c r="X111">
        <v>183.30844106606801</v>
      </c>
      <c r="Y111">
        <v>180.23453079875401</v>
      </c>
      <c r="Z111">
        <v>181.35913034213701</v>
      </c>
      <c r="AA111">
        <v>0</v>
      </c>
      <c r="AB111">
        <v>0</v>
      </c>
      <c r="AC111">
        <v>1</v>
      </c>
      <c r="AD111">
        <v>0</v>
      </c>
      <c r="AE111">
        <v>115</v>
      </c>
      <c r="AF111">
        <v>1</v>
      </c>
    </row>
    <row r="112" spans="1:32" x14ac:dyDescent="0.3">
      <c r="A112" t="s">
        <v>40</v>
      </c>
      <c r="B112">
        <v>221</v>
      </c>
      <c r="C112">
        <v>9.6673455532926E-2</v>
      </c>
      <c r="D112">
        <v>0.31785471826204997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0.49</v>
      </c>
      <c r="N112">
        <v>0.44450000000000001</v>
      </c>
      <c r="O112">
        <v>37</v>
      </c>
      <c r="P112">
        <v>37</v>
      </c>
      <c r="Q112">
        <v>25</v>
      </c>
      <c r="R112">
        <v>19</v>
      </c>
      <c r="S112">
        <v>3.4713570120693902</v>
      </c>
      <c r="T112">
        <v>3.2642012556386302</v>
      </c>
      <c r="U112">
        <v>2.5915662734060101</v>
      </c>
      <c r="V112">
        <v>2.53619543291699</v>
      </c>
      <c r="W112">
        <v>184.02896657503101</v>
      </c>
      <c r="X112">
        <v>183.34932170485101</v>
      </c>
      <c r="Y112">
        <v>181.14251402036101</v>
      </c>
      <c r="Z112">
        <v>180.960851157864</v>
      </c>
      <c r="AA112">
        <v>0</v>
      </c>
      <c r="AB112">
        <v>0</v>
      </c>
      <c r="AC112">
        <v>1</v>
      </c>
      <c r="AD112">
        <v>0</v>
      </c>
      <c r="AE112">
        <v>45</v>
      </c>
      <c r="AF112">
        <v>1</v>
      </c>
    </row>
    <row r="113" spans="1:32" x14ac:dyDescent="0.3">
      <c r="A113" t="s">
        <v>42</v>
      </c>
      <c r="B113">
        <v>223</v>
      </c>
      <c r="C113">
        <v>6.5987780040733204E-2</v>
      </c>
      <c r="D113">
        <v>3.9646978954514599E-2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0.15049999999999999</v>
      </c>
      <c r="N113">
        <v>0</v>
      </c>
      <c r="O113">
        <v>30</v>
      </c>
      <c r="P113">
        <v>31</v>
      </c>
      <c r="Q113">
        <v>17</v>
      </c>
      <c r="R113">
        <v>21</v>
      </c>
      <c r="S113">
        <v>3.5665805568402198</v>
      </c>
      <c r="T113">
        <v>3.5525752565203699</v>
      </c>
      <c r="U113">
        <v>3.2504465470725701</v>
      </c>
      <c r="V113">
        <v>3.06002984849211</v>
      </c>
      <c r="W113">
        <v>184.34137977966</v>
      </c>
      <c r="X113">
        <v>184.29543063162899</v>
      </c>
      <c r="Y113">
        <v>183.30419470824299</v>
      </c>
      <c r="Z113">
        <v>182.679468006864</v>
      </c>
      <c r="AA113">
        <v>0</v>
      </c>
      <c r="AB113">
        <v>0</v>
      </c>
      <c r="AC113">
        <v>1</v>
      </c>
      <c r="AD113">
        <v>0</v>
      </c>
      <c r="AE113">
        <v>20</v>
      </c>
      <c r="AF113">
        <v>1</v>
      </c>
    </row>
    <row r="114" spans="1:32" x14ac:dyDescent="0.3">
      <c r="A114" t="s">
        <v>44</v>
      </c>
      <c r="B114">
        <v>225</v>
      </c>
      <c r="C114">
        <v>0.144602851323829</v>
      </c>
      <c r="D114">
        <v>6.1778682959945701E-2</v>
      </c>
      <c r="E114">
        <v>0</v>
      </c>
      <c r="F114">
        <v>0</v>
      </c>
      <c r="G114">
        <v>0</v>
      </c>
      <c r="H114">
        <v>1</v>
      </c>
      <c r="I114">
        <v>0</v>
      </c>
      <c r="J114">
        <v>1</v>
      </c>
      <c r="K114">
        <v>0</v>
      </c>
      <c r="L114">
        <v>0</v>
      </c>
      <c r="M114">
        <v>3.5000000000000003E-2</v>
      </c>
      <c r="N114">
        <v>0</v>
      </c>
      <c r="O114">
        <v>33</v>
      </c>
      <c r="P114">
        <v>34</v>
      </c>
      <c r="Q114">
        <v>17</v>
      </c>
      <c r="R114">
        <v>21</v>
      </c>
      <c r="S114">
        <v>3.5681586764647601</v>
      </c>
      <c r="T114">
        <v>3.4594961184167299</v>
      </c>
      <c r="U114">
        <v>2.8330281830939699</v>
      </c>
      <c r="V114">
        <v>3.2220109243389299</v>
      </c>
      <c r="W114">
        <v>184.34655733748301</v>
      </c>
      <c r="X114">
        <v>183.99005288194499</v>
      </c>
      <c r="Y114">
        <v>181.93471188679101</v>
      </c>
      <c r="Z114">
        <v>183.21090198273899</v>
      </c>
      <c r="AA114">
        <v>0</v>
      </c>
      <c r="AB114">
        <v>0</v>
      </c>
      <c r="AC114">
        <v>1</v>
      </c>
      <c r="AD114">
        <v>0</v>
      </c>
      <c r="AE114">
        <v>48</v>
      </c>
      <c r="AF114">
        <v>1</v>
      </c>
    </row>
    <row r="115" spans="1:32" x14ac:dyDescent="0.3">
      <c r="A115" t="s">
        <v>46</v>
      </c>
      <c r="B115">
        <v>227</v>
      </c>
      <c r="C115">
        <v>0.31785471826204997</v>
      </c>
      <c r="D115">
        <v>0.273455532926001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0</v>
      </c>
      <c r="L115">
        <v>1</v>
      </c>
      <c r="M115">
        <v>1.351</v>
      </c>
      <c r="N115">
        <v>0</v>
      </c>
      <c r="O115">
        <v>17</v>
      </c>
      <c r="P115">
        <v>29</v>
      </c>
      <c r="Q115">
        <v>15</v>
      </c>
      <c r="R115">
        <v>14</v>
      </c>
      <c r="S115">
        <v>2.6884648551503001</v>
      </c>
      <c r="T115">
        <v>2.63000699593039</v>
      </c>
      <c r="U115">
        <v>2.21701753933114</v>
      </c>
      <c r="V115">
        <v>2.39061252335194</v>
      </c>
      <c r="W115">
        <v>181.460422753118</v>
      </c>
      <c r="X115">
        <v>181.268631876412</v>
      </c>
      <c r="Y115">
        <v>179.91367959098099</v>
      </c>
      <c r="Z115">
        <v>180.483216940131</v>
      </c>
      <c r="AA115">
        <v>0</v>
      </c>
      <c r="AB115">
        <v>0</v>
      </c>
      <c r="AC115">
        <v>1</v>
      </c>
      <c r="AD115">
        <v>0</v>
      </c>
      <c r="AE115">
        <v>12</v>
      </c>
      <c r="AF115">
        <v>1</v>
      </c>
    </row>
    <row r="116" spans="1:32" x14ac:dyDescent="0.3">
      <c r="A116" t="s">
        <v>48</v>
      </c>
      <c r="B116">
        <v>229</v>
      </c>
      <c r="C116">
        <v>3.9646978954514599E-2</v>
      </c>
      <c r="D116">
        <v>9.6673455532926E-2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0.17849999999999999</v>
      </c>
      <c r="O116">
        <v>32</v>
      </c>
      <c r="P116">
        <v>25</v>
      </c>
      <c r="Q116">
        <v>18</v>
      </c>
      <c r="R116">
        <v>21</v>
      </c>
      <c r="S116">
        <v>3.2848682006191501</v>
      </c>
      <c r="T116">
        <v>3.3676135066968098</v>
      </c>
      <c r="U116">
        <v>3.0184985822513699</v>
      </c>
      <c r="V116">
        <v>3.3116294969325502</v>
      </c>
      <c r="W116">
        <v>183.417126642451</v>
      </c>
      <c r="X116">
        <v>183.68860074375601</v>
      </c>
      <c r="Y116">
        <v>182.54321057169099</v>
      </c>
      <c r="Z116">
        <v>183.50492617103899</v>
      </c>
      <c r="AA116">
        <v>0</v>
      </c>
      <c r="AB116">
        <v>0</v>
      </c>
      <c r="AC116">
        <v>1</v>
      </c>
      <c r="AD116">
        <v>0</v>
      </c>
      <c r="AE116">
        <v>14</v>
      </c>
      <c r="AF116">
        <v>1</v>
      </c>
    </row>
    <row r="117" spans="1:32" x14ac:dyDescent="0.3">
      <c r="A117" t="s">
        <v>50</v>
      </c>
      <c r="B117">
        <v>231</v>
      </c>
      <c r="C117">
        <v>6.1778682959945701E-2</v>
      </c>
      <c r="D117">
        <v>6.5987780040733204E-2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1</v>
      </c>
      <c r="L117">
        <v>0</v>
      </c>
      <c r="M117">
        <v>0.38150000000000001</v>
      </c>
      <c r="N117">
        <v>0.60550000000000004</v>
      </c>
      <c r="O117">
        <v>34</v>
      </c>
      <c r="P117">
        <v>32</v>
      </c>
      <c r="Q117">
        <v>17</v>
      </c>
      <c r="R117">
        <v>24</v>
      </c>
      <c r="S117">
        <v>3.4393005032516299</v>
      </c>
      <c r="T117">
        <v>3.3904893762735999</v>
      </c>
      <c r="U117">
        <v>3.03295606030929</v>
      </c>
      <c r="V117">
        <v>3.08836476672752</v>
      </c>
      <c r="W117">
        <v>183.923794302007</v>
      </c>
      <c r="X117">
        <v>183.76365280929701</v>
      </c>
      <c r="Y117">
        <v>182.59064324248499</v>
      </c>
      <c r="Z117">
        <v>182.772430337033</v>
      </c>
      <c r="AA117">
        <v>0</v>
      </c>
      <c r="AB117">
        <v>0</v>
      </c>
      <c r="AC117">
        <v>1</v>
      </c>
      <c r="AD117">
        <v>0</v>
      </c>
      <c r="AE117">
        <v>37</v>
      </c>
      <c r="AF117">
        <v>1</v>
      </c>
    </row>
    <row r="118" spans="1:32" x14ac:dyDescent="0.3">
      <c r="A118" t="s">
        <v>52</v>
      </c>
      <c r="B118">
        <v>233</v>
      </c>
      <c r="C118">
        <v>0.273455532926001</v>
      </c>
      <c r="D118">
        <v>0.144602851323829</v>
      </c>
      <c r="E118">
        <v>1</v>
      </c>
      <c r="F118">
        <v>0</v>
      </c>
      <c r="G118">
        <v>0</v>
      </c>
      <c r="H118">
        <v>1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25</v>
      </c>
      <c r="P118">
        <v>35</v>
      </c>
      <c r="Q118">
        <v>16</v>
      </c>
      <c r="R118">
        <v>16</v>
      </c>
      <c r="S118">
        <v>3.1603659535605102</v>
      </c>
      <c r="T118">
        <v>3.4080070681696801</v>
      </c>
      <c r="U118">
        <v>2.3742171226451201</v>
      </c>
      <c r="V118">
        <v>2.94136256459735</v>
      </c>
      <c r="W118">
        <v>183.00865470328301</v>
      </c>
      <c r="X118">
        <v>183.82112555173799</v>
      </c>
      <c r="Y118">
        <v>180.429426255397</v>
      </c>
      <c r="Z118">
        <v>182.29013964762899</v>
      </c>
      <c r="AA118">
        <v>0</v>
      </c>
      <c r="AB118">
        <v>0</v>
      </c>
      <c r="AC118">
        <v>1</v>
      </c>
      <c r="AD118">
        <v>0</v>
      </c>
      <c r="AE118">
        <v>35</v>
      </c>
      <c r="AF118">
        <v>1</v>
      </c>
    </row>
    <row r="119" spans="1:32" x14ac:dyDescent="0.3">
      <c r="A119" t="s">
        <v>54</v>
      </c>
      <c r="B119">
        <v>235</v>
      </c>
      <c r="C119">
        <v>9.6673455532926E-2</v>
      </c>
      <c r="D119">
        <v>0.31785471826204997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0.13300000000000001</v>
      </c>
      <c r="O119">
        <v>37</v>
      </c>
      <c r="P119">
        <v>36</v>
      </c>
      <c r="Q119">
        <v>25</v>
      </c>
      <c r="R119">
        <v>17</v>
      </c>
      <c r="S119">
        <v>3.5494412620142399</v>
      </c>
      <c r="T119">
        <v>3.23915301208479</v>
      </c>
      <c r="U119">
        <v>2.8258402483057101</v>
      </c>
      <c r="V119">
        <v>2.5177546999771199</v>
      </c>
      <c r="W119">
        <v>184.285148497422</v>
      </c>
      <c r="X119">
        <v>183.26714242809999</v>
      </c>
      <c r="Y119">
        <v>181.91112942357501</v>
      </c>
      <c r="Z119">
        <v>180.900350065542</v>
      </c>
      <c r="AA119">
        <v>0</v>
      </c>
      <c r="AB119">
        <v>0</v>
      </c>
      <c r="AC119">
        <v>1</v>
      </c>
      <c r="AD119">
        <v>0</v>
      </c>
      <c r="AE119">
        <v>72</v>
      </c>
      <c r="AF119">
        <v>1</v>
      </c>
    </row>
    <row r="120" spans="1:32" x14ac:dyDescent="0.3">
      <c r="A120" t="s">
        <v>56</v>
      </c>
      <c r="B120">
        <v>237</v>
      </c>
      <c r="C120">
        <v>6.5987780040733204E-2</v>
      </c>
      <c r="D120">
        <v>3.9646978954514599E-2</v>
      </c>
      <c r="E120">
        <v>0</v>
      </c>
      <c r="F120">
        <v>0</v>
      </c>
      <c r="G120">
        <v>0</v>
      </c>
      <c r="H120">
        <v>0</v>
      </c>
      <c r="I120">
        <v>1</v>
      </c>
      <c r="J120">
        <v>1</v>
      </c>
      <c r="K120">
        <v>0</v>
      </c>
      <c r="L120">
        <v>0</v>
      </c>
      <c r="M120">
        <v>0.85399999999999998</v>
      </c>
      <c r="N120">
        <v>0</v>
      </c>
      <c r="O120">
        <v>35</v>
      </c>
      <c r="P120">
        <v>30</v>
      </c>
      <c r="Q120">
        <v>23</v>
      </c>
      <c r="R120">
        <v>21</v>
      </c>
      <c r="S120">
        <v>3.1045637874555601</v>
      </c>
      <c r="T120">
        <v>2.71764799795409</v>
      </c>
      <c r="U120">
        <v>2.2949646006505402</v>
      </c>
      <c r="V120">
        <v>2.5071564861102802</v>
      </c>
      <c r="W120">
        <v>182.825576730497</v>
      </c>
      <c r="X120">
        <v>181.55616797229001</v>
      </c>
      <c r="Y120">
        <v>180.16941141945699</v>
      </c>
      <c r="Z120">
        <v>180.86557902267199</v>
      </c>
      <c r="AA120">
        <v>0</v>
      </c>
      <c r="AB120">
        <v>0</v>
      </c>
      <c r="AC120">
        <v>1</v>
      </c>
      <c r="AD120">
        <v>0</v>
      </c>
      <c r="AE120">
        <v>21</v>
      </c>
      <c r="AF120">
        <v>1</v>
      </c>
    </row>
    <row r="121" spans="1:32" x14ac:dyDescent="0.3">
      <c r="A121" t="s">
        <v>58</v>
      </c>
      <c r="B121">
        <v>239</v>
      </c>
      <c r="C121">
        <v>0.144602851323829</v>
      </c>
      <c r="D121">
        <v>6.1778682959945701E-2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1.5645</v>
      </c>
      <c r="N121">
        <v>0</v>
      </c>
      <c r="O121">
        <v>37</v>
      </c>
      <c r="P121">
        <v>31</v>
      </c>
      <c r="Q121">
        <v>22</v>
      </c>
      <c r="R121">
        <v>18</v>
      </c>
      <c r="S121">
        <v>2.8344187843281099</v>
      </c>
      <c r="T121">
        <v>2.73039125540175</v>
      </c>
      <c r="U121">
        <v>2.44560468705129</v>
      </c>
      <c r="V121">
        <v>2.6264438303745599</v>
      </c>
      <c r="W121">
        <v>181.93927422679801</v>
      </c>
      <c r="X121">
        <v>181.59797655971701</v>
      </c>
      <c r="Y121">
        <v>180.66363742470901</v>
      </c>
      <c r="Z121">
        <v>181.256941700704</v>
      </c>
      <c r="AA121">
        <v>0</v>
      </c>
      <c r="AB121">
        <v>0</v>
      </c>
      <c r="AC121">
        <v>1</v>
      </c>
      <c r="AD121">
        <v>0</v>
      </c>
      <c r="AE121">
        <v>83</v>
      </c>
      <c r="AF121">
        <v>1</v>
      </c>
    </row>
    <row r="122" spans="1:32" x14ac:dyDescent="0.3">
      <c r="A122" t="s">
        <v>60</v>
      </c>
      <c r="B122">
        <v>241</v>
      </c>
      <c r="C122">
        <v>0.31785471826204997</v>
      </c>
      <c r="D122">
        <v>0.273455532926001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40</v>
      </c>
      <c r="P122">
        <v>39</v>
      </c>
      <c r="Q122">
        <v>21</v>
      </c>
      <c r="R122">
        <v>18</v>
      </c>
      <c r="S122">
        <v>3.0737316304947502</v>
      </c>
      <c r="T122">
        <v>2.6149165324742398</v>
      </c>
      <c r="U122">
        <v>2.51696831269753</v>
      </c>
      <c r="V122">
        <v>2.0083717502627199</v>
      </c>
      <c r="W122">
        <v>182.72442135989101</v>
      </c>
      <c r="X122">
        <v>181.21912248187101</v>
      </c>
      <c r="Y122">
        <v>180.897770054782</v>
      </c>
      <c r="Z122">
        <v>179.22914616227899</v>
      </c>
      <c r="AA122">
        <v>0</v>
      </c>
      <c r="AB122">
        <v>0</v>
      </c>
      <c r="AC122">
        <v>1</v>
      </c>
      <c r="AD122">
        <v>0</v>
      </c>
      <c r="AE122">
        <v>226</v>
      </c>
      <c r="AF122">
        <v>1</v>
      </c>
    </row>
    <row r="123" spans="1:32" x14ac:dyDescent="0.3">
      <c r="A123" t="s">
        <v>62</v>
      </c>
      <c r="B123">
        <v>243</v>
      </c>
      <c r="C123">
        <v>3.9646978954514599E-2</v>
      </c>
      <c r="D123">
        <v>9.6673455532926E-2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7.0000000000000007E-2</v>
      </c>
      <c r="N123">
        <v>0</v>
      </c>
      <c r="O123">
        <v>30</v>
      </c>
      <c r="P123">
        <v>38</v>
      </c>
      <c r="Q123">
        <v>28</v>
      </c>
      <c r="R123">
        <v>25</v>
      </c>
      <c r="S123">
        <v>3.10758751050354</v>
      </c>
      <c r="T123">
        <v>3.4476141244495202</v>
      </c>
      <c r="U123">
        <v>2.9508628750762602</v>
      </c>
      <c r="V123">
        <v>2.4519899515968402</v>
      </c>
      <c r="W123">
        <v>182.835497081705</v>
      </c>
      <c r="X123">
        <v>183.95106996210501</v>
      </c>
      <c r="Y123">
        <v>182.321308645263</v>
      </c>
      <c r="Z123">
        <v>180.68458645537001</v>
      </c>
      <c r="AA123">
        <v>0</v>
      </c>
      <c r="AB123">
        <v>0</v>
      </c>
      <c r="AC123">
        <v>1</v>
      </c>
      <c r="AD123">
        <v>0</v>
      </c>
      <c r="AE123">
        <v>2</v>
      </c>
      <c r="AF123">
        <v>1</v>
      </c>
    </row>
    <row r="124" spans="1:32" x14ac:dyDescent="0.3">
      <c r="A124" t="s">
        <v>64</v>
      </c>
      <c r="B124">
        <v>245</v>
      </c>
      <c r="C124">
        <v>6.1778682959945701E-2</v>
      </c>
      <c r="D124">
        <v>6.5987780040733204E-2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0.42699999999999999</v>
      </c>
      <c r="O124">
        <v>36</v>
      </c>
      <c r="P124">
        <v>31</v>
      </c>
      <c r="Q124">
        <v>14</v>
      </c>
      <c r="R124">
        <v>21</v>
      </c>
      <c r="S124">
        <v>2.5801948003965101</v>
      </c>
      <c r="T124">
        <v>3.0930010543036701</v>
      </c>
      <c r="U124">
        <v>2.0259268824518299</v>
      </c>
      <c r="V124">
        <v>2.9808936165014401</v>
      </c>
      <c r="W124">
        <v>181.10520603804599</v>
      </c>
      <c r="X124">
        <v>182.78764125427699</v>
      </c>
      <c r="Y124">
        <v>179.28674174032801</v>
      </c>
      <c r="Z124">
        <v>182.41983469980801</v>
      </c>
      <c r="AA124">
        <v>0</v>
      </c>
      <c r="AB124">
        <v>0</v>
      </c>
      <c r="AC124">
        <v>1</v>
      </c>
      <c r="AD124">
        <v>0</v>
      </c>
      <c r="AE124">
        <v>51</v>
      </c>
      <c r="AF124">
        <v>1</v>
      </c>
    </row>
    <row r="125" spans="1:32" x14ac:dyDescent="0.3">
      <c r="A125" t="s">
        <v>66</v>
      </c>
      <c r="B125">
        <v>247</v>
      </c>
      <c r="C125">
        <v>0.273455532926001</v>
      </c>
      <c r="D125">
        <v>0.144602851323829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8.0500000000000002E-2</v>
      </c>
      <c r="N125">
        <v>0</v>
      </c>
      <c r="O125">
        <v>34</v>
      </c>
      <c r="P125">
        <v>34</v>
      </c>
      <c r="Q125">
        <v>20</v>
      </c>
      <c r="R125">
        <v>15</v>
      </c>
      <c r="S125">
        <v>2.8282645737680898</v>
      </c>
      <c r="T125">
        <v>2.8853251518414802</v>
      </c>
      <c r="U125">
        <v>2.48789918807655</v>
      </c>
      <c r="V125">
        <v>2.3034599042854902</v>
      </c>
      <c r="W125">
        <v>181.919083247271</v>
      </c>
      <c r="X125">
        <v>182.10628986824599</v>
      </c>
      <c r="Y125">
        <v>180.80239891101201</v>
      </c>
      <c r="Z125">
        <v>180.197283150543</v>
      </c>
      <c r="AA125">
        <v>0</v>
      </c>
      <c r="AB125">
        <v>0</v>
      </c>
      <c r="AC125">
        <v>1</v>
      </c>
      <c r="AD125">
        <v>0</v>
      </c>
      <c r="AE125">
        <v>51</v>
      </c>
      <c r="AF125">
        <v>1</v>
      </c>
    </row>
    <row r="126" spans="1:32" x14ac:dyDescent="0.3">
      <c r="A126" t="s">
        <v>68</v>
      </c>
      <c r="B126">
        <v>249</v>
      </c>
      <c r="C126">
        <v>9.6673455532926E-2</v>
      </c>
      <c r="D126">
        <v>0.31785471826204997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9.8000000000000004E-2</v>
      </c>
      <c r="N126">
        <v>4.5499999999999999E-2</v>
      </c>
      <c r="O126">
        <v>40</v>
      </c>
      <c r="P126">
        <v>37</v>
      </c>
      <c r="Q126">
        <v>23</v>
      </c>
      <c r="R126">
        <v>23</v>
      </c>
      <c r="S126">
        <v>3.3870555800073801</v>
      </c>
      <c r="T126">
        <v>3.1521504947544998</v>
      </c>
      <c r="U126">
        <v>2.29403987565804</v>
      </c>
      <c r="V126">
        <v>2.5392023603058602</v>
      </c>
      <c r="W126">
        <v>183.752387073515</v>
      </c>
      <c r="X126">
        <v>182.98170109827601</v>
      </c>
      <c r="Y126">
        <v>180.16637754480999</v>
      </c>
      <c r="Z126">
        <v>180.97071640520301</v>
      </c>
      <c r="AA126">
        <v>0</v>
      </c>
      <c r="AB126">
        <v>0</v>
      </c>
      <c r="AC126">
        <v>1</v>
      </c>
      <c r="AD126">
        <v>0</v>
      </c>
      <c r="AE126">
        <v>55</v>
      </c>
      <c r="AF126">
        <v>1</v>
      </c>
    </row>
    <row r="127" spans="1:32" x14ac:dyDescent="0.3">
      <c r="A127" t="s">
        <v>70</v>
      </c>
      <c r="B127">
        <v>251</v>
      </c>
      <c r="C127">
        <v>6.5987780040733204E-2</v>
      </c>
      <c r="D127">
        <v>3.9646978954514599E-2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35</v>
      </c>
      <c r="P127">
        <v>37</v>
      </c>
      <c r="Q127">
        <v>23</v>
      </c>
      <c r="R127">
        <v>24</v>
      </c>
      <c r="S127">
        <v>2.8728049890614402</v>
      </c>
      <c r="T127">
        <v>3.3059533155824199</v>
      </c>
      <c r="U127">
        <v>2.6095079448896699</v>
      </c>
      <c r="V127">
        <v>2.45996599355973</v>
      </c>
      <c r="W127">
        <v>182.065213218705</v>
      </c>
      <c r="X127">
        <v>183.48630352881401</v>
      </c>
      <c r="Y127">
        <v>181.20137777194799</v>
      </c>
      <c r="Z127">
        <v>180.710754572046</v>
      </c>
      <c r="AA127">
        <v>0</v>
      </c>
      <c r="AB127">
        <v>0</v>
      </c>
      <c r="AC127">
        <v>1</v>
      </c>
      <c r="AD127">
        <v>0</v>
      </c>
      <c r="AE127">
        <v>44</v>
      </c>
      <c r="AF127">
        <v>1</v>
      </c>
    </row>
    <row r="128" spans="1:32" x14ac:dyDescent="0.3">
      <c r="A128" t="s">
        <v>72</v>
      </c>
      <c r="B128">
        <v>253</v>
      </c>
      <c r="C128">
        <v>0.144602851323829</v>
      </c>
      <c r="D128">
        <v>6.1778682959945701E-2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35</v>
      </c>
      <c r="P128">
        <v>33</v>
      </c>
      <c r="Q128">
        <v>17</v>
      </c>
      <c r="R128">
        <v>20</v>
      </c>
      <c r="S128">
        <v>3.1190529547614201</v>
      </c>
      <c r="T128">
        <v>2.9486984154107798</v>
      </c>
      <c r="U128">
        <v>2.7743486327862499</v>
      </c>
      <c r="V128">
        <v>2.3374490822005498</v>
      </c>
      <c r="W128">
        <v>182.87311336863999</v>
      </c>
      <c r="X128">
        <v>182.31420739964199</v>
      </c>
      <c r="Y128">
        <v>181.74219367712001</v>
      </c>
      <c r="Z128">
        <v>180.30879620144501</v>
      </c>
      <c r="AA128">
        <v>0</v>
      </c>
      <c r="AB128">
        <v>0</v>
      </c>
      <c r="AC128">
        <v>1</v>
      </c>
      <c r="AD128">
        <v>0</v>
      </c>
      <c r="AE128">
        <v>56</v>
      </c>
      <c r="AF128">
        <v>1</v>
      </c>
    </row>
    <row r="129" spans="1:32" x14ac:dyDescent="0.3">
      <c r="A129" t="s">
        <v>74</v>
      </c>
      <c r="B129">
        <v>255</v>
      </c>
      <c r="C129">
        <v>0.31785471826204997</v>
      </c>
      <c r="D129">
        <v>0.273455532926001</v>
      </c>
      <c r="E129">
        <v>0</v>
      </c>
      <c r="F129">
        <v>0</v>
      </c>
      <c r="G129">
        <v>0</v>
      </c>
      <c r="H129">
        <v>0</v>
      </c>
      <c r="I129">
        <v>1</v>
      </c>
      <c r="J129">
        <v>1</v>
      </c>
      <c r="K129">
        <v>0</v>
      </c>
      <c r="L129">
        <v>0</v>
      </c>
      <c r="M129">
        <v>1.0500000000000001E-2</v>
      </c>
      <c r="N129">
        <v>0</v>
      </c>
      <c r="O129">
        <v>33</v>
      </c>
      <c r="P129">
        <v>35</v>
      </c>
      <c r="Q129">
        <v>20</v>
      </c>
      <c r="R129">
        <v>17</v>
      </c>
      <c r="S129">
        <v>2.9203386055044298</v>
      </c>
      <c r="T129">
        <v>3.1208404904763101</v>
      </c>
      <c r="U129">
        <v>2.0465011733700398</v>
      </c>
      <c r="V129">
        <v>2.5073596782788101</v>
      </c>
      <c r="W129">
        <v>182.22116340388601</v>
      </c>
      <c r="X129">
        <v>182.878977987127</v>
      </c>
      <c r="Y129">
        <v>179.35424269478401</v>
      </c>
      <c r="Z129">
        <v>180.86624566364401</v>
      </c>
      <c r="AA129">
        <v>0</v>
      </c>
      <c r="AB129">
        <v>0</v>
      </c>
      <c r="AC129">
        <v>1</v>
      </c>
      <c r="AD129">
        <v>0</v>
      </c>
      <c r="AE129">
        <v>77</v>
      </c>
      <c r="AF129">
        <v>1</v>
      </c>
    </row>
    <row r="130" spans="1:32" x14ac:dyDescent="0.3">
      <c r="A130" t="s">
        <v>76</v>
      </c>
      <c r="B130">
        <v>257</v>
      </c>
      <c r="C130">
        <v>3.9646978954514599E-2</v>
      </c>
      <c r="D130">
        <v>9.6673455532926E-2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9.8000000000000004E-2</v>
      </c>
      <c r="N130">
        <v>1.0500000000000001E-2</v>
      </c>
      <c r="O130">
        <v>39</v>
      </c>
      <c r="P130">
        <v>34</v>
      </c>
      <c r="Q130">
        <v>24</v>
      </c>
      <c r="R130">
        <v>23</v>
      </c>
      <c r="S130">
        <v>3.0250373497722398</v>
      </c>
      <c r="T130">
        <v>2.9862764790177998</v>
      </c>
      <c r="U130">
        <v>2.1531476460742001</v>
      </c>
      <c r="V130">
        <v>1.9752050568136501</v>
      </c>
      <c r="W130">
        <v>182.56466322103799</v>
      </c>
      <c r="X130">
        <v>182.437495009901</v>
      </c>
      <c r="Y130">
        <v>179.704132697094</v>
      </c>
      <c r="Z130">
        <v>179.120331551226</v>
      </c>
      <c r="AA130">
        <v>0</v>
      </c>
      <c r="AB130">
        <v>0</v>
      </c>
      <c r="AC130">
        <v>1</v>
      </c>
      <c r="AD130">
        <v>0</v>
      </c>
      <c r="AE130">
        <v>30</v>
      </c>
      <c r="AF130">
        <v>1</v>
      </c>
    </row>
    <row r="131" spans="1:32" x14ac:dyDescent="0.3">
      <c r="A131" t="s">
        <v>78</v>
      </c>
      <c r="B131">
        <v>259</v>
      </c>
      <c r="C131">
        <v>6.1778682959945701E-2</v>
      </c>
      <c r="D131">
        <v>6.5987780040733204E-2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9.8000000000000004E-2</v>
      </c>
      <c r="O131">
        <v>32</v>
      </c>
      <c r="P131">
        <v>42</v>
      </c>
      <c r="Q131">
        <v>23</v>
      </c>
      <c r="R131">
        <v>22</v>
      </c>
      <c r="S131">
        <v>2.6207388963318099</v>
      </c>
      <c r="T131">
        <v>3.0966998424001599</v>
      </c>
      <c r="U131">
        <v>1.7741758769868201</v>
      </c>
      <c r="V131">
        <v>2.30275202315807</v>
      </c>
      <c r="W131">
        <v>181.23822472549799</v>
      </c>
      <c r="X131">
        <v>182.79977638582699</v>
      </c>
      <c r="Y131">
        <v>178.46078699798801</v>
      </c>
      <c r="Z131">
        <v>180.19496070589901</v>
      </c>
      <c r="AA131">
        <v>0</v>
      </c>
      <c r="AB131">
        <v>0</v>
      </c>
      <c r="AC131">
        <v>1</v>
      </c>
      <c r="AD131">
        <v>0</v>
      </c>
      <c r="AE131">
        <v>12</v>
      </c>
      <c r="AF131">
        <v>1</v>
      </c>
    </row>
    <row r="132" spans="1:32" x14ac:dyDescent="0.3">
      <c r="A132" t="s">
        <v>80</v>
      </c>
      <c r="B132">
        <v>261</v>
      </c>
      <c r="C132">
        <v>0.273455532926001</v>
      </c>
      <c r="D132">
        <v>0.144602851323829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0.59499999999999997</v>
      </c>
      <c r="O132">
        <v>39</v>
      </c>
      <c r="P132">
        <v>39</v>
      </c>
      <c r="Q132">
        <v>18</v>
      </c>
      <c r="R132">
        <v>20</v>
      </c>
      <c r="S132">
        <v>3.0199581677326601</v>
      </c>
      <c r="T132">
        <v>3.1440955930777101</v>
      </c>
      <c r="U132">
        <v>2.4294424511102202</v>
      </c>
      <c r="V132">
        <v>2.3865821231379898</v>
      </c>
      <c r="W132">
        <v>182.54799923796801</v>
      </c>
      <c r="X132">
        <v>182.95527425550401</v>
      </c>
      <c r="Y132">
        <v>180.61061171624101</v>
      </c>
      <c r="Z132">
        <v>180.469993842316</v>
      </c>
      <c r="AA132">
        <v>0</v>
      </c>
      <c r="AB132">
        <v>0</v>
      </c>
      <c r="AC132">
        <v>1</v>
      </c>
      <c r="AD132">
        <v>0</v>
      </c>
      <c r="AE132">
        <v>151</v>
      </c>
      <c r="AF132">
        <v>1</v>
      </c>
    </row>
    <row r="133" spans="1:32" x14ac:dyDescent="0.3">
      <c r="A133" t="s">
        <v>82</v>
      </c>
      <c r="B133">
        <v>263</v>
      </c>
      <c r="C133">
        <v>9.6673455532926E-2</v>
      </c>
      <c r="D133">
        <v>0.31785471826204997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1.0500000000000001E-2</v>
      </c>
      <c r="O133">
        <v>36</v>
      </c>
      <c r="P133">
        <v>36</v>
      </c>
      <c r="Q133">
        <v>25</v>
      </c>
      <c r="R133">
        <v>17</v>
      </c>
      <c r="S133">
        <v>3.0236331761974098</v>
      </c>
      <c r="T133">
        <v>2.8834229024826699</v>
      </c>
      <c r="U133">
        <v>2.4108405581824699</v>
      </c>
      <c r="V133">
        <v>2.4293778437214399</v>
      </c>
      <c r="W133">
        <v>182.560056352354</v>
      </c>
      <c r="X133">
        <v>182.10004889266</v>
      </c>
      <c r="Y133">
        <v>180.54958188380101</v>
      </c>
      <c r="Z133">
        <v>180.61039974974199</v>
      </c>
      <c r="AA133">
        <v>0</v>
      </c>
      <c r="AB133">
        <v>0</v>
      </c>
      <c r="AC133">
        <v>1</v>
      </c>
      <c r="AD133">
        <v>0</v>
      </c>
      <c r="AE133">
        <v>54</v>
      </c>
      <c r="AF133">
        <v>1</v>
      </c>
    </row>
    <row r="134" spans="1:32" x14ac:dyDescent="0.3">
      <c r="A134" t="s">
        <v>0</v>
      </c>
      <c r="B134">
        <v>265</v>
      </c>
      <c r="C134">
        <v>6.5987780040733204E-2</v>
      </c>
      <c r="D134">
        <v>3.9646978954514599E-2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0.80149999999999999</v>
      </c>
      <c r="N134">
        <v>0</v>
      </c>
      <c r="O134">
        <v>36</v>
      </c>
      <c r="P134">
        <v>39</v>
      </c>
      <c r="Q134">
        <v>19</v>
      </c>
      <c r="R134">
        <v>25</v>
      </c>
      <c r="S134">
        <v>3.0138319011208901</v>
      </c>
      <c r="T134">
        <v>2.8382892570009401</v>
      </c>
      <c r="U134">
        <v>2.0780594406425799</v>
      </c>
      <c r="V134">
        <v>2.57771233848363</v>
      </c>
      <c r="W134">
        <v>182.52789993806101</v>
      </c>
      <c r="X134">
        <v>181.951972627956</v>
      </c>
      <c r="Y134">
        <v>179.45778031706899</v>
      </c>
      <c r="Z134">
        <v>181.09706147796501</v>
      </c>
      <c r="AA134">
        <v>0</v>
      </c>
      <c r="AB134">
        <v>0</v>
      </c>
      <c r="AC134">
        <v>1</v>
      </c>
      <c r="AD134">
        <v>0</v>
      </c>
      <c r="AE134">
        <v>45</v>
      </c>
      <c r="AF134">
        <v>1</v>
      </c>
    </row>
    <row r="135" spans="1:32" x14ac:dyDescent="0.3">
      <c r="A135" t="s">
        <v>85</v>
      </c>
      <c r="B135">
        <v>267</v>
      </c>
      <c r="C135">
        <v>0.144602851323829</v>
      </c>
      <c r="D135">
        <v>6.1778682959945701E-2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36</v>
      </c>
      <c r="P135">
        <v>35</v>
      </c>
      <c r="Q135">
        <v>20</v>
      </c>
      <c r="R135">
        <v>18</v>
      </c>
      <c r="S135">
        <v>3.3349657401912798</v>
      </c>
      <c r="T135">
        <v>3.1466341695436699</v>
      </c>
      <c r="U135">
        <v>2.5560580066162402</v>
      </c>
      <c r="V135">
        <v>2.2192763758193701</v>
      </c>
      <c r="W135">
        <v>183.581488648922</v>
      </c>
      <c r="X135">
        <v>182.96360291844999</v>
      </c>
      <c r="Y135">
        <v>181.02601708207399</v>
      </c>
      <c r="Z135">
        <v>179.921090471848</v>
      </c>
      <c r="AA135">
        <v>0</v>
      </c>
      <c r="AB135">
        <v>0</v>
      </c>
      <c r="AC135">
        <v>1</v>
      </c>
      <c r="AD135">
        <v>0</v>
      </c>
      <c r="AE135">
        <v>76</v>
      </c>
      <c r="AF135">
        <v>1</v>
      </c>
    </row>
    <row r="136" spans="1:32" x14ac:dyDescent="0.3">
      <c r="A136" t="s">
        <v>87</v>
      </c>
      <c r="B136">
        <v>269</v>
      </c>
      <c r="C136">
        <v>0.31785471826204997</v>
      </c>
      <c r="D136">
        <v>0.273455532926001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37</v>
      </c>
      <c r="P136">
        <v>36</v>
      </c>
      <c r="Q136">
        <v>18</v>
      </c>
      <c r="R136">
        <v>16</v>
      </c>
      <c r="S136">
        <v>2.84432691941646</v>
      </c>
      <c r="T136">
        <v>3.1397741928697398</v>
      </c>
      <c r="U136">
        <v>2.0866321225840601</v>
      </c>
      <c r="V136">
        <v>2.396361559442</v>
      </c>
      <c r="W136">
        <v>181.97178123168101</v>
      </c>
      <c r="X136">
        <v>182.9410964333</v>
      </c>
      <c r="Y136">
        <v>179.48590591399</v>
      </c>
      <c r="Z136">
        <v>180.50207860709301</v>
      </c>
      <c r="AA136">
        <v>0</v>
      </c>
      <c r="AB136">
        <v>0</v>
      </c>
      <c r="AC136">
        <v>1</v>
      </c>
      <c r="AD136">
        <v>0</v>
      </c>
      <c r="AE136">
        <v>185</v>
      </c>
      <c r="AF136">
        <v>1</v>
      </c>
    </row>
    <row r="137" spans="1:32" x14ac:dyDescent="0.3">
      <c r="A137" t="s">
        <v>90</v>
      </c>
      <c r="B137">
        <v>271</v>
      </c>
      <c r="C137">
        <v>6.1778682959945701E-2</v>
      </c>
      <c r="D137">
        <v>6.5987780040733204E-2</v>
      </c>
      <c r="E137">
        <v>0</v>
      </c>
      <c r="F137">
        <v>0</v>
      </c>
      <c r="G137">
        <v>0</v>
      </c>
      <c r="H137">
        <v>1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0.92</v>
      </c>
      <c r="O137">
        <v>37</v>
      </c>
      <c r="P137">
        <v>35</v>
      </c>
      <c r="Q137">
        <v>20</v>
      </c>
      <c r="R137">
        <v>21</v>
      </c>
      <c r="S137">
        <v>3.04321180857717</v>
      </c>
      <c r="T137">
        <v>3.3790975304142798</v>
      </c>
      <c r="U137">
        <v>2.2132802106938998</v>
      </c>
      <c r="V137">
        <v>2.63979634084445</v>
      </c>
      <c r="W137">
        <v>182.62429071055499</v>
      </c>
      <c r="X137">
        <v>183.726277986924</v>
      </c>
      <c r="Y137">
        <v>179.90141801408799</v>
      </c>
      <c r="Z137">
        <v>181.30074914975199</v>
      </c>
      <c r="AA137">
        <v>0</v>
      </c>
      <c r="AB137">
        <v>0</v>
      </c>
      <c r="AC137">
        <v>1</v>
      </c>
      <c r="AD137">
        <v>0</v>
      </c>
      <c r="AE137">
        <v>61</v>
      </c>
      <c r="AF137">
        <v>1</v>
      </c>
    </row>
    <row r="138" spans="1:32" x14ac:dyDescent="0.3">
      <c r="A138" t="s">
        <v>92</v>
      </c>
      <c r="B138">
        <v>273</v>
      </c>
      <c r="C138">
        <v>0.273455532926001</v>
      </c>
      <c r="D138">
        <v>0.144602851323829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39</v>
      </c>
      <c r="P138">
        <v>37</v>
      </c>
      <c r="Q138">
        <v>20</v>
      </c>
      <c r="R138">
        <v>21</v>
      </c>
      <c r="S138">
        <v>3.0141445431664202</v>
      </c>
      <c r="T138">
        <v>2.95137179645827</v>
      </c>
      <c r="U138">
        <v>2.3777530414816401</v>
      </c>
      <c r="V138">
        <v>2.1102183510966501</v>
      </c>
      <c r="W138">
        <v>182.528925666557</v>
      </c>
      <c r="X138">
        <v>182.32297833483699</v>
      </c>
      <c r="Y138">
        <v>180.44102703898201</v>
      </c>
      <c r="Z138">
        <v>179.563288553467</v>
      </c>
      <c r="AA138">
        <v>0</v>
      </c>
      <c r="AB138">
        <v>0</v>
      </c>
      <c r="AC138">
        <v>1</v>
      </c>
      <c r="AD138">
        <v>0</v>
      </c>
      <c r="AE138">
        <v>143</v>
      </c>
      <c r="AF138">
        <v>1</v>
      </c>
    </row>
    <row r="139" spans="1:32" x14ac:dyDescent="0.3">
      <c r="A139" t="s">
        <v>94</v>
      </c>
      <c r="B139">
        <v>275</v>
      </c>
      <c r="C139">
        <v>9.6673455532926E-2</v>
      </c>
      <c r="D139">
        <v>0.31785471826204997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0.48</v>
      </c>
      <c r="O139">
        <v>42</v>
      </c>
      <c r="P139">
        <v>41</v>
      </c>
      <c r="Q139">
        <v>21</v>
      </c>
      <c r="R139">
        <v>21</v>
      </c>
      <c r="S139">
        <v>3.0680796797693302</v>
      </c>
      <c r="T139">
        <v>3.0844557460744002</v>
      </c>
      <c r="U139">
        <v>2.0526259079836802</v>
      </c>
      <c r="V139">
        <v>2.14018929241045</v>
      </c>
      <c r="W139">
        <v>182.705878214466</v>
      </c>
      <c r="X139">
        <v>182.75960546612299</v>
      </c>
      <c r="Y139">
        <v>179.37433696845</v>
      </c>
      <c r="Z139">
        <v>179.66161841342</v>
      </c>
      <c r="AA139">
        <v>0</v>
      </c>
      <c r="AB139">
        <v>0</v>
      </c>
      <c r="AC139">
        <v>1</v>
      </c>
      <c r="AD139">
        <v>0</v>
      </c>
      <c r="AE139">
        <v>65</v>
      </c>
      <c r="AF139">
        <v>1</v>
      </c>
    </row>
    <row r="140" spans="1:32" x14ac:dyDescent="0.3">
      <c r="A140" t="s">
        <v>96</v>
      </c>
      <c r="B140">
        <v>277</v>
      </c>
      <c r="C140">
        <v>6.5987780040733204E-2</v>
      </c>
      <c r="D140">
        <v>3.9646978954514599E-2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0.17</v>
      </c>
      <c r="O140">
        <v>41</v>
      </c>
      <c r="P140">
        <v>41</v>
      </c>
      <c r="Q140">
        <v>24</v>
      </c>
      <c r="R140">
        <v>23</v>
      </c>
      <c r="S140">
        <v>3.1802381056562301</v>
      </c>
      <c r="T140">
        <v>3.1868377366175098</v>
      </c>
      <c r="U140">
        <v>2.2299869337594198</v>
      </c>
      <c r="V140">
        <v>2.02899065528042</v>
      </c>
      <c r="W140">
        <v>183.07385205267801</v>
      </c>
      <c r="X140">
        <v>183.095504385228</v>
      </c>
      <c r="Y140">
        <v>179.95623009763599</v>
      </c>
      <c r="Z140">
        <v>179.29679348845301</v>
      </c>
      <c r="AA140">
        <v>0</v>
      </c>
      <c r="AB140">
        <v>0</v>
      </c>
      <c r="AC140">
        <v>1</v>
      </c>
      <c r="AD140">
        <v>0</v>
      </c>
      <c r="AE140">
        <v>43</v>
      </c>
      <c r="AF140">
        <v>1</v>
      </c>
    </row>
    <row r="141" spans="1:32" x14ac:dyDescent="0.3">
      <c r="A141" t="s">
        <v>98</v>
      </c>
      <c r="B141">
        <v>279</v>
      </c>
      <c r="C141">
        <v>0.144602851323829</v>
      </c>
      <c r="D141">
        <v>6.1778682959945701E-2</v>
      </c>
      <c r="E141">
        <v>0</v>
      </c>
      <c r="F141">
        <v>0</v>
      </c>
      <c r="G141">
        <v>0</v>
      </c>
      <c r="H141">
        <v>1</v>
      </c>
      <c r="I141">
        <v>0</v>
      </c>
      <c r="J141">
        <v>1</v>
      </c>
      <c r="K141">
        <v>0</v>
      </c>
      <c r="L141">
        <v>0</v>
      </c>
      <c r="M141">
        <v>0.06</v>
      </c>
      <c r="N141">
        <v>0</v>
      </c>
      <c r="O141">
        <v>37</v>
      </c>
      <c r="P141">
        <v>36</v>
      </c>
      <c r="Q141">
        <v>22</v>
      </c>
      <c r="R141">
        <v>24</v>
      </c>
      <c r="S141">
        <v>3.02182131651533</v>
      </c>
      <c r="T141">
        <v>3.3253153662707202</v>
      </c>
      <c r="U141">
        <v>2.7202962146299998</v>
      </c>
      <c r="V141">
        <v>2.2786336495903101</v>
      </c>
      <c r="W141">
        <v>182.554111930825</v>
      </c>
      <c r="X141">
        <v>183.549827317161</v>
      </c>
      <c r="Y141">
        <v>181.56485634721099</v>
      </c>
      <c r="Z141">
        <v>180.11583218369501</v>
      </c>
      <c r="AA141">
        <v>0</v>
      </c>
      <c r="AB141">
        <v>0</v>
      </c>
      <c r="AC141">
        <v>1</v>
      </c>
      <c r="AD141">
        <v>0</v>
      </c>
      <c r="AE141">
        <v>18</v>
      </c>
      <c r="AF141">
        <v>1</v>
      </c>
    </row>
    <row r="142" spans="1:32" x14ac:dyDescent="0.3">
      <c r="A142" t="s">
        <v>100</v>
      </c>
      <c r="B142">
        <v>281</v>
      </c>
      <c r="C142">
        <v>0.31785471826204997</v>
      </c>
      <c r="D142">
        <v>0.273455532926001</v>
      </c>
      <c r="E142">
        <v>0</v>
      </c>
      <c r="F142">
        <v>0</v>
      </c>
      <c r="G142">
        <v>0</v>
      </c>
      <c r="H142">
        <v>1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0.65</v>
      </c>
      <c r="O142">
        <v>27</v>
      </c>
      <c r="P142">
        <v>40</v>
      </c>
      <c r="Q142">
        <v>19</v>
      </c>
      <c r="R142">
        <v>18</v>
      </c>
      <c r="S142">
        <v>2.1575916763177401</v>
      </c>
      <c r="T142">
        <v>2.5724462250998501</v>
      </c>
      <c r="U142">
        <v>1.62145500490676</v>
      </c>
      <c r="V142">
        <v>2.04245257336152</v>
      </c>
      <c r="W142">
        <v>179.71871284881101</v>
      </c>
      <c r="X142">
        <v>181.07978420308299</v>
      </c>
      <c r="Y142">
        <v>177.959734268067</v>
      </c>
      <c r="Z142">
        <v>179.34095988635701</v>
      </c>
      <c r="AA142">
        <v>0</v>
      </c>
      <c r="AB142">
        <v>0</v>
      </c>
      <c r="AC142">
        <v>1</v>
      </c>
      <c r="AD142">
        <v>0</v>
      </c>
      <c r="AE142">
        <v>38</v>
      </c>
      <c r="AF142">
        <v>1</v>
      </c>
    </row>
    <row r="143" spans="1:32" x14ac:dyDescent="0.3">
      <c r="A143" t="s">
        <v>102</v>
      </c>
      <c r="B143">
        <v>283</v>
      </c>
      <c r="C143">
        <v>3.9646978954514599E-2</v>
      </c>
      <c r="D143">
        <v>9.6673455532926E-2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0.03</v>
      </c>
      <c r="O143">
        <v>29</v>
      </c>
      <c r="P143">
        <v>39</v>
      </c>
      <c r="Q143">
        <v>26</v>
      </c>
      <c r="R143">
        <v>22</v>
      </c>
      <c r="S143">
        <v>3.4183521132655201</v>
      </c>
      <c r="T143">
        <v>3.15149123480525</v>
      </c>
      <c r="U143">
        <v>2.9742954630799798</v>
      </c>
      <c r="V143">
        <v>2.0829988656907701</v>
      </c>
      <c r="W143">
        <v>183.85506598840399</v>
      </c>
      <c r="X143">
        <v>182.979538171933</v>
      </c>
      <c r="Y143">
        <v>182.39818721482899</v>
      </c>
      <c r="Z143">
        <v>179.473985779825</v>
      </c>
      <c r="AA143">
        <v>0</v>
      </c>
      <c r="AB143">
        <v>0</v>
      </c>
      <c r="AC143">
        <v>1</v>
      </c>
      <c r="AD143">
        <v>0</v>
      </c>
      <c r="AE143">
        <v>2</v>
      </c>
      <c r="AF143">
        <v>1</v>
      </c>
    </row>
    <row r="144" spans="1:32" x14ac:dyDescent="0.3">
      <c r="A144" t="s">
        <v>104</v>
      </c>
      <c r="B144">
        <v>285</v>
      </c>
      <c r="C144">
        <v>6.1778682959945701E-2</v>
      </c>
      <c r="D144">
        <v>6.5987780040733204E-2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1.59</v>
      </c>
      <c r="O144">
        <v>32</v>
      </c>
      <c r="P144">
        <v>34</v>
      </c>
      <c r="Q144">
        <v>18</v>
      </c>
      <c r="R144">
        <v>23</v>
      </c>
      <c r="S144">
        <v>3.00296801473413</v>
      </c>
      <c r="T144">
        <v>3.2658176236902299</v>
      </c>
      <c r="U144">
        <v>2.632352483874</v>
      </c>
      <c r="V144">
        <v>2.4572778467671701</v>
      </c>
      <c r="W144">
        <v>182.49225726618801</v>
      </c>
      <c r="X144">
        <v>183.35462474964001</v>
      </c>
      <c r="Y144">
        <v>181.276327046831</v>
      </c>
      <c r="Z144">
        <v>180.70193519280599</v>
      </c>
      <c r="AA144">
        <v>0</v>
      </c>
      <c r="AB144">
        <v>0</v>
      </c>
      <c r="AC144">
        <v>1</v>
      </c>
      <c r="AD144">
        <v>0</v>
      </c>
      <c r="AE144">
        <v>26</v>
      </c>
      <c r="AF144">
        <v>1</v>
      </c>
    </row>
    <row r="145" spans="1:32" x14ac:dyDescent="0.3">
      <c r="A145" t="s">
        <v>106</v>
      </c>
      <c r="B145">
        <v>287</v>
      </c>
      <c r="C145">
        <v>0.273455532926001</v>
      </c>
      <c r="D145">
        <v>0.144602851323829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35</v>
      </c>
      <c r="P145">
        <v>39</v>
      </c>
      <c r="Q145">
        <v>17</v>
      </c>
      <c r="R145">
        <v>17</v>
      </c>
      <c r="S145">
        <v>2.9688744484679401</v>
      </c>
      <c r="T145">
        <v>2.8180245196931502</v>
      </c>
      <c r="U145">
        <v>2.6865443469864001</v>
      </c>
      <c r="V145">
        <v>2.5112835034578098</v>
      </c>
      <c r="W145">
        <v>182.38040173381901</v>
      </c>
      <c r="X145">
        <v>181.88548726933399</v>
      </c>
      <c r="Y145">
        <v>181.45412187331499</v>
      </c>
      <c r="Z145">
        <v>180.87911910583301</v>
      </c>
      <c r="AA145">
        <v>0</v>
      </c>
      <c r="AB145">
        <v>0</v>
      </c>
      <c r="AC145">
        <v>1</v>
      </c>
      <c r="AD145">
        <v>0</v>
      </c>
      <c r="AE145">
        <v>147</v>
      </c>
      <c r="AF145">
        <v>1</v>
      </c>
    </row>
    <row r="146" spans="1:32" x14ac:dyDescent="0.3">
      <c r="A146" t="s">
        <v>108</v>
      </c>
      <c r="B146">
        <v>289</v>
      </c>
      <c r="C146">
        <v>9.6673455532926E-2</v>
      </c>
      <c r="D146">
        <v>0.31785471826204997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38</v>
      </c>
      <c r="P146">
        <v>36</v>
      </c>
      <c r="Q146">
        <v>22</v>
      </c>
      <c r="R146">
        <v>19</v>
      </c>
      <c r="S146">
        <v>3.04568235385103</v>
      </c>
      <c r="T146">
        <v>3.3783949803314002</v>
      </c>
      <c r="U146">
        <v>2.5319440787486598</v>
      </c>
      <c r="V146">
        <v>2.6768222335156602</v>
      </c>
      <c r="W146">
        <v>182.63239617405199</v>
      </c>
      <c r="X146">
        <v>183.72397303258299</v>
      </c>
      <c r="Y146">
        <v>180.94690314550101</v>
      </c>
      <c r="Z146">
        <v>181.42222517557599</v>
      </c>
      <c r="AA146">
        <v>0</v>
      </c>
      <c r="AB146">
        <v>0</v>
      </c>
      <c r="AC146">
        <v>1</v>
      </c>
      <c r="AD146">
        <v>0</v>
      </c>
      <c r="AE146">
        <v>42</v>
      </c>
      <c r="AF146">
        <v>1</v>
      </c>
    </row>
    <row r="147" spans="1:32" x14ac:dyDescent="0.3">
      <c r="A147" t="s">
        <v>110</v>
      </c>
      <c r="B147">
        <v>291</v>
      </c>
      <c r="C147">
        <v>6.5987780040733204E-2</v>
      </c>
      <c r="D147">
        <v>3.9646978954514599E-2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42</v>
      </c>
      <c r="P147">
        <v>42</v>
      </c>
      <c r="Q147">
        <v>22</v>
      </c>
      <c r="R147">
        <v>19</v>
      </c>
      <c r="S147">
        <v>2.8898811771351598</v>
      </c>
      <c r="T147">
        <v>3.02259548764675</v>
      </c>
      <c r="U147">
        <v>2.6232131948681499</v>
      </c>
      <c r="V147">
        <v>2.2241682711104498</v>
      </c>
      <c r="W147">
        <v>182.121237457793</v>
      </c>
      <c r="X147">
        <v>182.556651862358</v>
      </c>
      <c r="Y147">
        <v>181.24634250284799</v>
      </c>
      <c r="Z147">
        <v>179.937139997082</v>
      </c>
      <c r="AA147">
        <v>0</v>
      </c>
      <c r="AB147">
        <v>0</v>
      </c>
      <c r="AC147">
        <v>1</v>
      </c>
      <c r="AD147">
        <v>0</v>
      </c>
      <c r="AE147">
        <v>44</v>
      </c>
      <c r="AF147">
        <v>1</v>
      </c>
    </row>
    <row r="148" spans="1:32" x14ac:dyDescent="0.3">
      <c r="A148" t="s">
        <v>112</v>
      </c>
      <c r="B148">
        <v>293</v>
      </c>
      <c r="C148">
        <v>0.144602851323829</v>
      </c>
      <c r="D148">
        <v>6.1778682959945701E-2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39</v>
      </c>
      <c r="P148">
        <v>39</v>
      </c>
      <c r="Q148">
        <v>21</v>
      </c>
      <c r="R148">
        <v>21</v>
      </c>
      <c r="S148">
        <v>3.1286914308571001</v>
      </c>
      <c r="T148">
        <v>3.2285230308995598</v>
      </c>
      <c r="U148">
        <v>2.80382323542592</v>
      </c>
      <c r="V148">
        <v>2.5324843494864702</v>
      </c>
      <c r="W148">
        <v>182.90473566554201</v>
      </c>
      <c r="X148">
        <v>183.23226716174401</v>
      </c>
      <c r="Y148">
        <v>181.83889512934999</v>
      </c>
      <c r="Z148">
        <v>180.948675687292</v>
      </c>
      <c r="AA148">
        <v>0</v>
      </c>
      <c r="AB148">
        <v>0</v>
      </c>
      <c r="AC148">
        <v>1</v>
      </c>
      <c r="AD148">
        <v>0</v>
      </c>
      <c r="AE148">
        <v>41</v>
      </c>
      <c r="AF148">
        <v>1</v>
      </c>
    </row>
    <row r="149" spans="1:32" x14ac:dyDescent="0.3">
      <c r="A149" t="s">
        <v>114</v>
      </c>
      <c r="B149">
        <v>295</v>
      </c>
      <c r="C149">
        <v>0.31785471826204997</v>
      </c>
      <c r="D149">
        <v>0.273455532926001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44</v>
      </c>
      <c r="P149">
        <v>41</v>
      </c>
      <c r="Q149">
        <v>18</v>
      </c>
      <c r="R149">
        <v>16</v>
      </c>
      <c r="S149">
        <v>2.9149156923419701</v>
      </c>
      <c r="T149">
        <v>2.8032373042770602</v>
      </c>
      <c r="U149">
        <v>2.0919060584220199</v>
      </c>
      <c r="V149">
        <v>2.2268365987455798</v>
      </c>
      <c r="W149">
        <v>182.20337169403501</v>
      </c>
      <c r="X149">
        <v>181.83697278306099</v>
      </c>
      <c r="Y149">
        <v>179.503208853091</v>
      </c>
      <c r="Z149">
        <v>179.94589435284001</v>
      </c>
      <c r="AA149">
        <v>0</v>
      </c>
      <c r="AB149">
        <v>0</v>
      </c>
      <c r="AC149">
        <v>1</v>
      </c>
      <c r="AD149">
        <v>0</v>
      </c>
      <c r="AE149">
        <v>209</v>
      </c>
      <c r="AF149">
        <v>1</v>
      </c>
    </row>
    <row r="150" spans="1:32" x14ac:dyDescent="0.3">
      <c r="A150" t="s">
        <v>116</v>
      </c>
      <c r="B150">
        <v>297</v>
      </c>
      <c r="C150">
        <v>3.9646978954514599E-2</v>
      </c>
      <c r="D150">
        <v>9.6673455532926E-2</v>
      </c>
      <c r="E150">
        <v>0</v>
      </c>
      <c r="F150">
        <v>1</v>
      </c>
      <c r="G150">
        <v>1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44</v>
      </c>
      <c r="P150">
        <v>43</v>
      </c>
      <c r="Q150">
        <v>24</v>
      </c>
      <c r="R150">
        <v>17</v>
      </c>
      <c r="S150">
        <v>3.30917813816807</v>
      </c>
      <c r="T150">
        <v>2.7916910823877501</v>
      </c>
      <c r="U150">
        <v>2.1548792413867601</v>
      </c>
      <c r="V150">
        <v>1.8399879520046201</v>
      </c>
      <c r="W150">
        <v>183.496883655407</v>
      </c>
      <c r="X150">
        <v>181.79909147764999</v>
      </c>
      <c r="Y150">
        <v>179.709813784077</v>
      </c>
      <c r="Z150">
        <v>178.67670587928001</v>
      </c>
      <c r="AA150">
        <v>0</v>
      </c>
      <c r="AB150">
        <v>0</v>
      </c>
      <c r="AC150">
        <v>1</v>
      </c>
      <c r="AD150">
        <v>0</v>
      </c>
      <c r="AE150">
        <v>35</v>
      </c>
      <c r="AF150">
        <v>1</v>
      </c>
    </row>
    <row r="151" spans="1:32" x14ac:dyDescent="0.3">
      <c r="A151" t="s">
        <v>118</v>
      </c>
      <c r="B151">
        <v>299</v>
      </c>
      <c r="C151">
        <v>6.1778682959945701E-2</v>
      </c>
      <c r="D151">
        <v>6.5987780040733204E-2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0.78</v>
      </c>
      <c r="N151">
        <v>0</v>
      </c>
      <c r="O151">
        <v>26</v>
      </c>
      <c r="P151">
        <v>39</v>
      </c>
      <c r="Q151">
        <v>24</v>
      </c>
      <c r="R151">
        <v>22</v>
      </c>
      <c r="S151">
        <v>3.0488197407085398</v>
      </c>
      <c r="T151">
        <v>3.3103495882328602</v>
      </c>
      <c r="U151">
        <v>2.8229531405844401</v>
      </c>
      <c r="V151">
        <v>2.4686014398962599</v>
      </c>
      <c r="W151">
        <v>182.64268943802</v>
      </c>
      <c r="X151">
        <v>183.50072699551501</v>
      </c>
      <c r="Y151">
        <v>181.90165728538199</v>
      </c>
      <c r="Z151">
        <v>180.739086088899</v>
      </c>
      <c r="AA151">
        <v>0</v>
      </c>
      <c r="AB151">
        <v>0</v>
      </c>
      <c r="AC151">
        <v>1</v>
      </c>
      <c r="AD151">
        <v>0</v>
      </c>
      <c r="AE151">
        <v>5</v>
      </c>
      <c r="AF151">
        <v>1</v>
      </c>
    </row>
    <row r="152" spans="1:32" x14ac:dyDescent="0.3">
      <c r="A152" t="s">
        <v>120</v>
      </c>
      <c r="B152">
        <v>301</v>
      </c>
      <c r="C152">
        <v>0.273455532926001</v>
      </c>
      <c r="D152">
        <v>0.144602851323829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0.05</v>
      </c>
      <c r="N152">
        <v>0.68</v>
      </c>
      <c r="O152">
        <v>35</v>
      </c>
      <c r="P152">
        <v>38</v>
      </c>
      <c r="Q152">
        <v>16</v>
      </c>
      <c r="R152">
        <v>17</v>
      </c>
      <c r="S152">
        <v>3.1194607274842601</v>
      </c>
      <c r="T152">
        <v>3.17733137443863</v>
      </c>
      <c r="U152">
        <v>2.3219016317345198</v>
      </c>
      <c r="V152">
        <v>2.7104820658264401</v>
      </c>
      <c r="W152">
        <v>182.87445120565701</v>
      </c>
      <c r="X152">
        <v>183.06431553293501</v>
      </c>
      <c r="Y152">
        <v>180.257787505691</v>
      </c>
      <c r="Z152">
        <v>181.53265769628101</v>
      </c>
      <c r="AA152">
        <v>0</v>
      </c>
      <c r="AB152">
        <v>0</v>
      </c>
      <c r="AC152">
        <v>1</v>
      </c>
      <c r="AD152">
        <v>0</v>
      </c>
      <c r="AE152">
        <v>83</v>
      </c>
      <c r="AF152">
        <v>1</v>
      </c>
    </row>
    <row r="153" spans="1:32" x14ac:dyDescent="0.3">
      <c r="A153" t="s">
        <v>122</v>
      </c>
      <c r="B153">
        <v>303</v>
      </c>
      <c r="C153">
        <v>9.6673455532926E-2</v>
      </c>
      <c r="D153">
        <v>0.31785471826204997</v>
      </c>
      <c r="E153">
        <v>0</v>
      </c>
      <c r="F153">
        <v>0</v>
      </c>
      <c r="G153">
        <v>0</v>
      </c>
      <c r="H153">
        <v>0</v>
      </c>
      <c r="I153">
        <v>1</v>
      </c>
      <c r="J153">
        <v>0</v>
      </c>
      <c r="K153">
        <v>1</v>
      </c>
      <c r="L153">
        <v>0</v>
      </c>
      <c r="M153">
        <v>0.72</v>
      </c>
      <c r="N153">
        <v>0.16</v>
      </c>
      <c r="O153">
        <v>20</v>
      </c>
      <c r="P153">
        <v>24</v>
      </c>
      <c r="Q153">
        <v>19</v>
      </c>
      <c r="R153">
        <v>18</v>
      </c>
      <c r="S153">
        <v>2.90782461407102</v>
      </c>
      <c r="T153">
        <v>2.9213840972238398</v>
      </c>
      <c r="U153">
        <v>2.89030256356292</v>
      </c>
      <c r="V153">
        <v>2.74099545841091</v>
      </c>
      <c r="W153">
        <v>182.180107001545</v>
      </c>
      <c r="X153">
        <v>182.22459349482901</v>
      </c>
      <c r="Y153">
        <v>182.12261995919599</v>
      </c>
      <c r="Z153">
        <v>181.63276725200399</v>
      </c>
      <c r="AA153">
        <v>0</v>
      </c>
      <c r="AB153">
        <v>0</v>
      </c>
      <c r="AC153">
        <v>1</v>
      </c>
      <c r="AD153">
        <v>0</v>
      </c>
      <c r="AE153">
        <v>2</v>
      </c>
      <c r="AF153">
        <v>1</v>
      </c>
    </row>
    <row r="154" spans="1:32" x14ac:dyDescent="0.3">
      <c r="A154" s="26" t="s">
        <v>10</v>
      </c>
      <c r="B154">
        <v>305</v>
      </c>
      <c r="C154">
        <v>0.14209004543577</v>
      </c>
      <c r="D154">
        <v>6.0994079581440201E-2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28</v>
      </c>
      <c r="P154">
        <v>25</v>
      </c>
      <c r="Q154">
        <v>14</v>
      </c>
      <c r="R154">
        <v>16</v>
      </c>
      <c r="S154">
        <v>3.30745907556603</v>
      </c>
      <c r="T154">
        <v>3.3138898043287202</v>
      </c>
      <c r="U154">
        <v>2.6968742989510202</v>
      </c>
      <c r="V154">
        <v>2.8571812924574198</v>
      </c>
      <c r="W154">
        <v>183.55124368624001</v>
      </c>
      <c r="X154">
        <v>183.572341877719</v>
      </c>
      <c r="Y154">
        <v>181.548012791834</v>
      </c>
      <c r="Z154">
        <v>182.07395437157899</v>
      </c>
      <c r="AA154">
        <v>0</v>
      </c>
      <c r="AB154">
        <v>0</v>
      </c>
      <c r="AC154">
        <v>0</v>
      </c>
      <c r="AD154">
        <v>1</v>
      </c>
      <c r="AE154">
        <v>21</v>
      </c>
      <c r="AF154">
        <v>1</v>
      </c>
    </row>
    <row r="155" spans="1:32" x14ac:dyDescent="0.3">
      <c r="A155" t="s">
        <v>12</v>
      </c>
      <c r="B155">
        <v>307</v>
      </c>
      <c r="C155">
        <v>0.32190554867134802</v>
      </c>
      <c r="D155">
        <v>0.27110009637890697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35</v>
      </c>
      <c r="P155">
        <v>27</v>
      </c>
      <c r="Q155">
        <v>9</v>
      </c>
      <c r="R155">
        <v>6</v>
      </c>
      <c r="S155">
        <v>2.7141767339608802</v>
      </c>
      <c r="T155">
        <v>3.0610368064600202</v>
      </c>
      <c r="U155">
        <v>2.1278792560472102</v>
      </c>
      <c r="V155">
        <v>2.8218256889659101</v>
      </c>
      <c r="W155">
        <v>181.604779310895</v>
      </c>
      <c r="X155">
        <v>182.74277167473801</v>
      </c>
      <c r="Y155">
        <v>179.68123115501101</v>
      </c>
      <c r="Z155">
        <v>181.957958297132</v>
      </c>
      <c r="AA155">
        <v>0</v>
      </c>
      <c r="AB155">
        <v>0</v>
      </c>
      <c r="AC155">
        <v>0</v>
      </c>
      <c r="AD155">
        <v>1</v>
      </c>
      <c r="AE155">
        <v>173</v>
      </c>
      <c r="AF155">
        <v>1</v>
      </c>
    </row>
    <row r="156" spans="1:32" x14ac:dyDescent="0.3">
      <c r="A156" t="s">
        <v>14</v>
      </c>
      <c r="B156">
        <v>309</v>
      </c>
      <c r="C156">
        <v>4.0066088393225903E-2</v>
      </c>
      <c r="D156">
        <v>9.7067327550598895E-2</v>
      </c>
      <c r="E156">
        <v>0</v>
      </c>
      <c r="F156">
        <v>1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32</v>
      </c>
      <c r="P156">
        <v>32</v>
      </c>
      <c r="Q156">
        <v>20</v>
      </c>
      <c r="R156">
        <v>16</v>
      </c>
      <c r="S156">
        <v>3.0008899082617599</v>
      </c>
      <c r="T156">
        <v>2.9869687916580401</v>
      </c>
      <c r="U156">
        <v>2.5889431311490401</v>
      </c>
      <c r="V156">
        <v>2.8635976143222099</v>
      </c>
      <c r="W156">
        <v>182.545439331567</v>
      </c>
      <c r="X156">
        <v>182.49976637683099</v>
      </c>
      <c r="Y156">
        <v>181.19390791059399</v>
      </c>
      <c r="Z156">
        <v>182.095005296333</v>
      </c>
      <c r="AA156">
        <v>0</v>
      </c>
      <c r="AB156">
        <v>0</v>
      </c>
      <c r="AC156">
        <v>0</v>
      </c>
      <c r="AD156">
        <v>1</v>
      </c>
      <c r="AE156">
        <v>13</v>
      </c>
      <c r="AF156">
        <v>1</v>
      </c>
    </row>
    <row r="157" spans="1:32" x14ac:dyDescent="0.3">
      <c r="A157" t="s">
        <v>16</v>
      </c>
      <c r="B157">
        <v>311</v>
      </c>
      <c r="C157">
        <v>6.0994079581440201E-2</v>
      </c>
      <c r="D157">
        <v>6.6776813988709896E-2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0.34649999999999997</v>
      </c>
      <c r="N157">
        <v>0</v>
      </c>
      <c r="O157">
        <v>31</v>
      </c>
      <c r="P157">
        <v>33</v>
      </c>
      <c r="Q157">
        <v>21</v>
      </c>
      <c r="R157">
        <v>21</v>
      </c>
      <c r="S157">
        <v>3.3028932025522</v>
      </c>
      <c r="T157">
        <v>3.0373703327080799</v>
      </c>
      <c r="U157">
        <v>2.0114901384452999</v>
      </c>
      <c r="V157">
        <v>1.93276204159497</v>
      </c>
      <c r="W157">
        <v>183.53626378790099</v>
      </c>
      <c r="X157">
        <v>182.66512576347799</v>
      </c>
      <c r="Y157">
        <v>179.29937709463701</v>
      </c>
      <c r="Z157">
        <v>179.04108281363199</v>
      </c>
      <c r="AA157">
        <v>0</v>
      </c>
      <c r="AB157">
        <v>0</v>
      </c>
      <c r="AC157">
        <v>0</v>
      </c>
      <c r="AD157">
        <v>1</v>
      </c>
      <c r="AE157">
        <v>10</v>
      </c>
      <c r="AF157">
        <v>1</v>
      </c>
    </row>
    <row r="158" spans="1:32" x14ac:dyDescent="0.3">
      <c r="A158" t="s">
        <v>18</v>
      </c>
      <c r="B158">
        <v>313</v>
      </c>
      <c r="C158">
        <v>0.27110009637890697</v>
      </c>
      <c r="D158">
        <v>0.14209004543577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9.8000000000000004E-2</v>
      </c>
      <c r="O158">
        <v>34</v>
      </c>
      <c r="P158">
        <v>34</v>
      </c>
      <c r="Q158">
        <v>17</v>
      </c>
      <c r="R158">
        <v>16</v>
      </c>
      <c r="S158">
        <v>3.24291491041935</v>
      </c>
      <c r="T158">
        <v>3.4735812407406099</v>
      </c>
      <c r="U158">
        <v>2.3532816664095999</v>
      </c>
      <c r="V158">
        <v>2.4215599341995002</v>
      </c>
      <c r="W158">
        <v>183.33948461423699</v>
      </c>
      <c r="X158">
        <v>184.096263913191</v>
      </c>
      <c r="Y158">
        <v>180.42074037536</v>
      </c>
      <c r="Z158">
        <v>180.644750440287</v>
      </c>
      <c r="AA158">
        <v>0</v>
      </c>
      <c r="AB158">
        <v>0</v>
      </c>
      <c r="AC158">
        <v>0</v>
      </c>
      <c r="AD158">
        <v>1</v>
      </c>
      <c r="AE158">
        <v>142</v>
      </c>
      <c r="AF158">
        <v>1</v>
      </c>
    </row>
    <row r="159" spans="1:32" x14ac:dyDescent="0.3">
      <c r="A159" t="s">
        <v>20</v>
      </c>
      <c r="B159">
        <v>315</v>
      </c>
      <c r="C159">
        <v>9.7067327550598895E-2</v>
      </c>
      <c r="D159">
        <v>0.32190554867134802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0.33950000000000002</v>
      </c>
      <c r="N159">
        <v>1.0500000000000001E-2</v>
      </c>
      <c r="O159">
        <v>14</v>
      </c>
      <c r="P159">
        <v>22</v>
      </c>
      <c r="Q159">
        <v>13</v>
      </c>
      <c r="R159">
        <v>15</v>
      </c>
      <c r="S159">
        <v>2.80283619613233</v>
      </c>
      <c r="T159">
        <v>3.0906863606070001</v>
      </c>
      <c r="U159">
        <v>2.7727926758282901</v>
      </c>
      <c r="V159">
        <v>2.4080264220868899</v>
      </c>
      <c r="W159">
        <v>181.895656811458</v>
      </c>
      <c r="X159">
        <v>182.84004711485201</v>
      </c>
      <c r="Y159">
        <v>181.79708883145801</v>
      </c>
      <c r="Z159">
        <v>180.60034915382801</v>
      </c>
      <c r="AA159">
        <v>0</v>
      </c>
      <c r="AB159">
        <v>0</v>
      </c>
      <c r="AC159">
        <v>0</v>
      </c>
      <c r="AD159">
        <v>1</v>
      </c>
      <c r="AE159">
        <v>2</v>
      </c>
      <c r="AF159">
        <v>1</v>
      </c>
    </row>
    <row r="160" spans="1:32" x14ac:dyDescent="0.3">
      <c r="A160" t="s">
        <v>22</v>
      </c>
      <c r="B160">
        <v>317</v>
      </c>
      <c r="C160">
        <v>6.6776813988709896E-2</v>
      </c>
      <c r="D160">
        <v>4.0066088393225903E-2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1.7500000000000002E-2</v>
      </c>
      <c r="N160">
        <v>1.379</v>
      </c>
      <c r="O160">
        <v>33</v>
      </c>
      <c r="P160">
        <v>17</v>
      </c>
      <c r="Q160">
        <v>24</v>
      </c>
      <c r="R160">
        <v>12</v>
      </c>
      <c r="S160">
        <v>3.2525748060153599</v>
      </c>
      <c r="T160">
        <v>3.4135681845418699</v>
      </c>
      <c r="U160">
        <v>3.02410608236011</v>
      </c>
      <c r="V160">
        <v>3.1532239441105099</v>
      </c>
      <c r="W160">
        <v>183.37117718509</v>
      </c>
      <c r="X160">
        <v>183.89937068419201</v>
      </c>
      <c r="Y160">
        <v>182.62160788175899</v>
      </c>
      <c r="Z160">
        <v>183.04522291374801</v>
      </c>
      <c r="AA160">
        <v>0</v>
      </c>
      <c r="AB160">
        <v>0</v>
      </c>
      <c r="AC160">
        <v>0</v>
      </c>
      <c r="AD160">
        <v>1</v>
      </c>
      <c r="AE160">
        <v>8</v>
      </c>
      <c r="AF160">
        <v>1</v>
      </c>
    </row>
    <row r="161" spans="1:32" x14ac:dyDescent="0.3">
      <c r="A161" t="s">
        <v>24</v>
      </c>
      <c r="B161">
        <v>319</v>
      </c>
      <c r="C161">
        <v>0.14209004543577</v>
      </c>
      <c r="D161">
        <v>6.0994079581440201E-2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29</v>
      </c>
      <c r="P161">
        <v>28</v>
      </c>
      <c r="Q161">
        <v>15</v>
      </c>
      <c r="R161">
        <v>14</v>
      </c>
      <c r="S161">
        <v>3.27001571237088</v>
      </c>
      <c r="T161">
        <v>3.2901384934346498</v>
      </c>
      <c r="U161">
        <v>2.90390633167168</v>
      </c>
      <c r="V161">
        <v>2.6811025885794399</v>
      </c>
      <c r="W161">
        <v>183.42839800646601</v>
      </c>
      <c r="X161">
        <v>183.494417629379</v>
      </c>
      <c r="Y161">
        <v>182.22725174433</v>
      </c>
      <c r="Z161">
        <v>181.49626833523399</v>
      </c>
      <c r="AA161">
        <v>0</v>
      </c>
      <c r="AB161">
        <v>0</v>
      </c>
      <c r="AC161">
        <v>0</v>
      </c>
      <c r="AD161">
        <v>1</v>
      </c>
      <c r="AE161">
        <v>37</v>
      </c>
      <c r="AF161">
        <v>1</v>
      </c>
    </row>
    <row r="162" spans="1:32" x14ac:dyDescent="0.3">
      <c r="A162" t="s">
        <v>26</v>
      </c>
      <c r="B162">
        <v>321</v>
      </c>
      <c r="C162">
        <v>0.32190554867134802</v>
      </c>
      <c r="D162">
        <v>0.27110009637890697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29</v>
      </c>
      <c r="P162">
        <v>29</v>
      </c>
      <c r="Q162">
        <v>9</v>
      </c>
      <c r="R162">
        <v>17</v>
      </c>
      <c r="S162">
        <v>3.2154735624350099</v>
      </c>
      <c r="T162">
        <v>3.3671785745120801</v>
      </c>
      <c r="U162">
        <v>2.9107592990647002</v>
      </c>
      <c r="V162">
        <v>2.6169533778604102</v>
      </c>
      <c r="W162">
        <v>183.24945394499699</v>
      </c>
      <c r="X162">
        <v>183.74717380089299</v>
      </c>
      <c r="Y162">
        <v>182.24973523315199</v>
      </c>
      <c r="Z162">
        <v>181.28580504547401</v>
      </c>
      <c r="AA162">
        <v>0</v>
      </c>
      <c r="AB162">
        <v>0</v>
      </c>
      <c r="AC162">
        <v>0</v>
      </c>
      <c r="AD162">
        <v>1</v>
      </c>
      <c r="AE162">
        <v>142</v>
      </c>
      <c r="AF162">
        <v>1</v>
      </c>
    </row>
    <row r="163" spans="1:32" x14ac:dyDescent="0.3">
      <c r="A163" t="s">
        <v>28</v>
      </c>
      <c r="B163">
        <v>323</v>
      </c>
      <c r="C163">
        <v>4.0066088393225903E-2</v>
      </c>
      <c r="D163">
        <v>9.7067327550598895E-2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0.434</v>
      </c>
      <c r="N163">
        <v>0</v>
      </c>
      <c r="O163">
        <v>29</v>
      </c>
      <c r="P163">
        <v>19</v>
      </c>
      <c r="Q163">
        <v>17</v>
      </c>
      <c r="R163">
        <v>19</v>
      </c>
      <c r="S163">
        <v>2.9960352592556898</v>
      </c>
      <c r="T163">
        <v>2.89170775527043</v>
      </c>
      <c r="U163">
        <v>2.2710694121370998</v>
      </c>
      <c r="V163">
        <v>2.89170775527043</v>
      </c>
      <c r="W163">
        <v>182.529512005432</v>
      </c>
      <c r="X163">
        <v>182.18723016820999</v>
      </c>
      <c r="Y163">
        <v>180.15101513168301</v>
      </c>
      <c r="Z163">
        <v>182.18723016820999</v>
      </c>
      <c r="AA163">
        <v>0</v>
      </c>
      <c r="AB163">
        <v>0</v>
      </c>
      <c r="AC163">
        <v>0</v>
      </c>
      <c r="AD163">
        <v>1</v>
      </c>
      <c r="AE163">
        <v>12</v>
      </c>
      <c r="AF163">
        <v>1</v>
      </c>
    </row>
    <row r="164" spans="1:32" x14ac:dyDescent="0.3">
      <c r="A164" t="s">
        <v>30</v>
      </c>
      <c r="B164">
        <v>325</v>
      </c>
      <c r="C164">
        <v>6.0994079581440201E-2</v>
      </c>
      <c r="D164">
        <v>6.6776813988709896E-2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0.11550000000000001</v>
      </c>
      <c r="O164">
        <v>36</v>
      </c>
      <c r="P164">
        <v>32</v>
      </c>
      <c r="Q164">
        <v>25</v>
      </c>
      <c r="R164">
        <v>16</v>
      </c>
      <c r="S164">
        <v>3.4210381443217299</v>
      </c>
      <c r="T164">
        <v>3.0262108148687998</v>
      </c>
      <c r="U164">
        <v>2.8793308024352999</v>
      </c>
      <c r="V164">
        <v>2.47866582581227</v>
      </c>
      <c r="W164">
        <v>183.923878426252</v>
      </c>
      <c r="X164">
        <v>182.62851317214199</v>
      </c>
      <c r="Y164">
        <v>182.14662336756999</v>
      </c>
      <c r="Z164">
        <v>180.832105727731</v>
      </c>
      <c r="AA164">
        <v>0</v>
      </c>
      <c r="AB164">
        <v>0</v>
      </c>
      <c r="AC164">
        <v>0</v>
      </c>
      <c r="AD164">
        <v>1</v>
      </c>
      <c r="AE164">
        <v>30</v>
      </c>
      <c r="AF164">
        <v>1</v>
      </c>
    </row>
    <row r="165" spans="1:32" x14ac:dyDescent="0.3">
      <c r="A165" t="s">
        <v>32</v>
      </c>
      <c r="B165">
        <v>327</v>
      </c>
      <c r="C165">
        <v>0.27110009637890697</v>
      </c>
      <c r="D165">
        <v>0.14209004543577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0.27650000000000002</v>
      </c>
      <c r="N165">
        <v>0</v>
      </c>
      <c r="O165">
        <v>37</v>
      </c>
      <c r="P165">
        <v>35</v>
      </c>
      <c r="Q165">
        <v>21</v>
      </c>
      <c r="R165">
        <v>19</v>
      </c>
      <c r="S165">
        <v>3.09283809548314</v>
      </c>
      <c r="T165">
        <v>3.3382956201288398</v>
      </c>
      <c r="U165">
        <v>2.84309104773864</v>
      </c>
      <c r="V165">
        <v>2.6264968656798202</v>
      </c>
      <c r="W165">
        <v>182.847106612478</v>
      </c>
      <c r="X165">
        <v>183.65241345186601</v>
      </c>
      <c r="Y165">
        <v>182.027726534576</v>
      </c>
      <c r="Z165">
        <v>181.317115701049</v>
      </c>
      <c r="AA165">
        <v>0</v>
      </c>
      <c r="AB165">
        <v>0</v>
      </c>
      <c r="AC165">
        <v>0</v>
      </c>
      <c r="AD165">
        <v>1</v>
      </c>
      <c r="AE165">
        <v>100</v>
      </c>
      <c r="AF165">
        <v>1</v>
      </c>
    </row>
    <row r="166" spans="1:32" x14ac:dyDescent="0.3">
      <c r="A166" t="s">
        <v>35</v>
      </c>
      <c r="B166">
        <v>329</v>
      </c>
      <c r="C166">
        <v>6.6776813988709896E-2</v>
      </c>
      <c r="D166">
        <v>4.0066088393225903E-2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0.47249999999999998</v>
      </c>
      <c r="O166">
        <v>31</v>
      </c>
      <c r="P166">
        <v>23</v>
      </c>
      <c r="Q166">
        <v>17</v>
      </c>
      <c r="R166">
        <v>22</v>
      </c>
      <c r="S166">
        <v>2.8928053904531401</v>
      </c>
      <c r="T166">
        <v>2.75303649556859</v>
      </c>
      <c r="U166">
        <v>2.4737482598337599</v>
      </c>
      <c r="V166">
        <v>2.7070014210887199</v>
      </c>
      <c r="W166">
        <v>182.19083133350799</v>
      </c>
      <c r="X166">
        <v>181.73227196708899</v>
      </c>
      <c r="Y166">
        <v>180.81597198108199</v>
      </c>
      <c r="Z166">
        <v>181.581238258165</v>
      </c>
      <c r="AA166">
        <v>0</v>
      </c>
      <c r="AB166">
        <v>0</v>
      </c>
      <c r="AC166">
        <v>0</v>
      </c>
      <c r="AD166">
        <v>1</v>
      </c>
      <c r="AE166">
        <v>20</v>
      </c>
      <c r="AF166">
        <v>1</v>
      </c>
    </row>
    <row r="167" spans="1:32" x14ac:dyDescent="0.3">
      <c r="A167" t="s">
        <v>37</v>
      </c>
      <c r="B167">
        <v>331</v>
      </c>
      <c r="C167">
        <v>0.14209004543577</v>
      </c>
      <c r="D167">
        <v>6.0994079581440201E-2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34</v>
      </c>
      <c r="P167">
        <v>28</v>
      </c>
      <c r="Q167">
        <v>19</v>
      </c>
      <c r="R167">
        <v>15</v>
      </c>
      <c r="S167">
        <v>3.2819546872238399</v>
      </c>
      <c r="T167">
        <v>2.9528045967740399</v>
      </c>
      <c r="U167">
        <v>2.6886504549980499</v>
      </c>
      <c r="V167">
        <v>2.4503514182825699</v>
      </c>
      <c r="W167">
        <v>183.46756787146899</v>
      </c>
      <c r="X167">
        <v>182.38767912327401</v>
      </c>
      <c r="Y167">
        <v>181.52103167650299</v>
      </c>
      <c r="Z167">
        <v>180.73921068990299</v>
      </c>
      <c r="AA167">
        <v>0</v>
      </c>
      <c r="AB167">
        <v>0</v>
      </c>
      <c r="AC167">
        <v>0</v>
      </c>
      <c r="AD167">
        <v>1</v>
      </c>
      <c r="AE167">
        <v>74</v>
      </c>
      <c r="AF167">
        <v>1</v>
      </c>
    </row>
    <row r="168" spans="1:32" x14ac:dyDescent="0.3">
      <c r="A168" t="s">
        <v>39</v>
      </c>
      <c r="B168">
        <v>333</v>
      </c>
      <c r="C168">
        <v>0.32190554867134802</v>
      </c>
      <c r="D168">
        <v>0.27110009637890697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0.44450000000000001</v>
      </c>
      <c r="N168">
        <v>0</v>
      </c>
      <c r="O168">
        <v>37</v>
      </c>
      <c r="P168">
        <v>29</v>
      </c>
      <c r="Q168">
        <v>19</v>
      </c>
      <c r="R168">
        <v>12</v>
      </c>
      <c r="S168">
        <v>3.29462302346528</v>
      </c>
      <c r="T168">
        <v>2.7925979423073199</v>
      </c>
      <c r="U168">
        <v>2.5621060475492201</v>
      </c>
      <c r="V168">
        <v>2.3459295301659302</v>
      </c>
      <c r="W168">
        <v>183.50913065441401</v>
      </c>
      <c r="X168">
        <v>181.86206673985299</v>
      </c>
      <c r="Y168">
        <v>181.10585973605399</v>
      </c>
      <c r="Z168">
        <v>180.39661919345801</v>
      </c>
      <c r="AA168">
        <v>0</v>
      </c>
      <c r="AB168">
        <v>0</v>
      </c>
      <c r="AC168">
        <v>0</v>
      </c>
      <c r="AD168">
        <v>1</v>
      </c>
      <c r="AE168">
        <v>36</v>
      </c>
      <c r="AF168">
        <v>1</v>
      </c>
    </row>
    <row r="169" spans="1:32" x14ac:dyDescent="0.3">
      <c r="A169" t="s">
        <v>41</v>
      </c>
      <c r="B169">
        <v>335</v>
      </c>
      <c r="C169">
        <v>4.0066088393225903E-2</v>
      </c>
      <c r="D169">
        <v>9.7067327550598895E-2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0.49</v>
      </c>
      <c r="O169">
        <v>31</v>
      </c>
      <c r="P169">
        <v>38</v>
      </c>
      <c r="Q169">
        <v>21</v>
      </c>
      <c r="R169">
        <v>24</v>
      </c>
      <c r="S169">
        <v>3.5764898605134099</v>
      </c>
      <c r="T169">
        <v>3.4997923727285198</v>
      </c>
      <c r="U169">
        <v>3.0912602877512398</v>
      </c>
      <c r="V169">
        <v>2.6183422349941998</v>
      </c>
      <c r="W169">
        <v>184.433890618482</v>
      </c>
      <c r="X169">
        <v>184.18225844071</v>
      </c>
      <c r="Y169">
        <v>182.84193007792399</v>
      </c>
      <c r="Z169">
        <v>181.29036166336701</v>
      </c>
      <c r="AA169">
        <v>0</v>
      </c>
      <c r="AB169">
        <v>0</v>
      </c>
      <c r="AC169">
        <v>0</v>
      </c>
      <c r="AD169">
        <v>1</v>
      </c>
      <c r="AE169">
        <v>6</v>
      </c>
      <c r="AF169">
        <v>1</v>
      </c>
    </row>
    <row r="170" spans="1:32" x14ac:dyDescent="0.3">
      <c r="A170" t="s">
        <v>43</v>
      </c>
      <c r="B170">
        <v>337</v>
      </c>
      <c r="C170">
        <v>6.0994079581440201E-2</v>
      </c>
      <c r="D170">
        <v>6.6776813988709896E-2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0.15049999999999999</v>
      </c>
      <c r="O170">
        <v>34</v>
      </c>
      <c r="P170">
        <v>30</v>
      </c>
      <c r="Q170">
        <v>20</v>
      </c>
      <c r="R170">
        <v>17</v>
      </c>
      <c r="S170">
        <v>3.4843650963933199</v>
      </c>
      <c r="T170">
        <v>3.5869428496788398</v>
      </c>
      <c r="U170">
        <v>3.24513759739507</v>
      </c>
      <c r="V170">
        <v>3.2770335588727999</v>
      </c>
      <c r="W170">
        <v>184.13164401703801</v>
      </c>
      <c r="X170">
        <v>184.468185202358</v>
      </c>
      <c r="Y170">
        <v>183.34677689434099</v>
      </c>
      <c r="Z170">
        <v>183.451422437247</v>
      </c>
      <c r="AA170">
        <v>0</v>
      </c>
      <c r="AB170">
        <v>0</v>
      </c>
      <c r="AC170">
        <v>0</v>
      </c>
      <c r="AD170">
        <v>1</v>
      </c>
      <c r="AE170">
        <v>32</v>
      </c>
      <c r="AF170">
        <v>1</v>
      </c>
    </row>
    <row r="171" spans="1:32" x14ac:dyDescent="0.3">
      <c r="A171" t="s">
        <v>45</v>
      </c>
      <c r="B171">
        <v>339</v>
      </c>
      <c r="C171">
        <v>0.27110009637890697</v>
      </c>
      <c r="D171">
        <v>0.14209004543577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1</v>
      </c>
      <c r="L171">
        <v>0</v>
      </c>
      <c r="M171">
        <v>0</v>
      </c>
      <c r="N171">
        <v>3.5000000000000003E-2</v>
      </c>
      <c r="O171">
        <v>28</v>
      </c>
      <c r="P171">
        <v>34</v>
      </c>
      <c r="Q171">
        <v>14</v>
      </c>
      <c r="R171">
        <v>16</v>
      </c>
      <c r="S171">
        <v>2.67511141187348</v>
      </c>
      <c r="T171">
        <v>3.5856711986984902</v>
      </c>
      <c r="U171">
        <v>2.4230813889214602</v>
      </c>
      <c r="V171">
        <v>2.8842607341872002</v>
      </c>
      <c r="W171">
        <v>181.476612243679</v>
      </c>
      <c r="X171">
        <v>184.46401311909</v>
      </c>
      <c r="Y171">
        <v>180.64974208963699</v>
      </c>
      <c r="Z171">
        <v>182.162797684341</v>
      </c>
      <c r="AA171">
        <v>0</v>
      </c>
      <c r="AB171">
        <v>0</v>
      </c>
      <c r="AC171">
        <v>0</v>
      </c>
      <c r="AD171">
        <v>1</v>
      </c>
      <c r="AE171">
        <v>87</v>
      </c>
      <c r="AF171">
        <v>1</v>
      </c>
    </row>
    <row r="172" spans="1:32" x14ac:dyDescent="0.3">
      <c r="A172" t="s">
        <v>47</v>
      </c>
      <c r="B172">
        <v>341</v>
      </c>
      <c r="C172">
        <v>9.7067327550598895E-2</v>
      </c>
      <c r="D172">
        <v>0.32190554867134802</v>
      </c>
      <c r="E172">
        <v>0</v>
      </c>
      <c r="F172">
        <v>0</v>
      </c>
      <c r="G172">
        <v>0</v>
      </c>
      <c r="H172">
        <v>0</v>
      </c>
      <c r="I172">
        <v>1</v>
      </c>
      <c r="J172">
        <v>0</v>
      </c>
      <c r="K172">
        <v>1</v>
      </c>
      <c r="L172">
        <v>0</v>
      </c>
      <c r="M172">
        <v>0.17849999999999999</v>
      </c>
      <c r="N172">
        <v>1.351</v>
      </c>
      <c r="O172">
        <v>24</v>
      </c>
      <c r="P172">
        <v>17</v>
      </c>
      <c r="Q172">
        <v>20</v>
      </c>
      <c r="R172">
        <v>14</v>
      </c>
      <c r="S172">
        <v>3.3938533016168901</v>
      </c>
      <c r="T172">
        <v>2.7193452665566298</v>
      </c>
      <c r="U172">
        <v>3.3363428778751398</v>
      </c>
      <c r="V172">
        <v>2.2487025378658299</v>
      </c>
      <c r="W172">
        <v>183.83468930976699</v>
      </c>
      <c r="X172">
        <v>181.62173643883401</v>
      </c>
      <c r="Y172">
        <v>183.64600681717599</v>
      </c>
      <c r="Z172">
        <v>180.077632998247</v>
      </c>
      <c r="AA172">
        <v>0</v>
      </c>
      <c r="AB172">
        <v>0</v>
      </c>
      <c r="AC172">
        <v>0</v>
      </c>
      <c r="AD172">
        <v>1</v>
      </c>
      <c r="AE172">
        <v>10</v>
      </c>
      <c r="AF172">
        <v>1</v>
      </c>
    </row>
    <row r="173" spans="1:32" x14ac:dyDescent="0.3">
      <c r="A173" t="s">
        <v>49</v>
      </c>
      <c r="B173">
        <v>343</v>
      </c>
      <c r="C173">
        <v>6.6776813988709896E-2</v>
      </c>
      <c r="D173">
        <v>4.0066088393225903E-2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0.60550000000000004</v>
      </c>
      <c r="N173">
        <v>0</v>
      </c>
      <c r="O173">
        <v>32</v>
      </c>
      <c r="P173">
        <v>32</v>
      </c>
      <c r="Q173">
        <v>24</v>
      </c>
      <c r="R173">
        <v>17</v>
      </c>
      <c r="S173">
        <v>3.4258276680225901</v>
      </c>
      <c r="T173">
        <v>3.3079097647092199</v>
      </c>
      <c r="U173">
        <v>3.1129905151449702</v>
      </c>
      <c r="V173">
        <v>3.0493745724987602</v>
      </c>
      <c r="W173">
        <v>183.93959208668801</v>
      </c>
      <c r="X173">
        <v>183.552722325161</v>
      </c>
      <c r="Y173">
        <v>182.913223474885</v>
      </c>
      <c r="Z173">
        <v>182.70450975229301</v>
      </c>
      <c r="AA173">
        <v>0</v>
      </c>
      <c r="AB173">
        <v>0</v>
      </c>
      <c r="AC173">
        <v>0</v>
      </c>
      <c r="AD173">
        <v>1</v>
      </c>
      <c r="AE173">
        <v>5</v>
      </c>
      <c r="AF173">
        <v>1</v>
      </c>
    </row>
    <row r="174" spans="1:32" x14ac:dyDescent="0.3">
      <c r="A174" t="s">
        <v>51</v>
      </c>
      <c r="B174">
        <v>345</v>
      </c>
      <c r="C174">
        <v>0.14209004543577</v>
      </c>
      <c r="D174">
        <v>6.0994079581440201E-2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0.38150000000000001</v>
      </c>
      <c r="O174">
        <v>35</v>
      </c>
      <c r="P174">
        <v>34</v>
      </c>
      <c r="Q174">
        <v>17</v>
      </c>
      <c r="R174">
        <v>17</v>
      </c>
      <c r="S174">
        <v>3.4385564590342201</v>
      </c>
      <c r="T174">
        <v>3.4724997887116098</v>
      </c>
      <c r="U174">
        <v>3.0168855286656102</v>
      </c>
      <c r="V174">
        <v>3.0644223186603998</v>
      </c>
      <c r="W174">
        <v>183.98135321205501</v>
      </c>
      <c r="X174">
        <v>184.09271584223001</v>
      </c>
      <c r="Y174">
        <v>182.597918401134</v>
      </c>
      <c r="Z174">
        <v>182.75387899822999</v>
      </c>
      <c r="AA174">
        <v>0</v>
      </c>
      <c r="AB174">
        <v>0</v>
      </c>
      <c r="AC174">
        <v>0</v>
      </c>
      <c r="AD174">
        <v>1</v>
      </c>
      <c r="AE174">
        <v>147</v>
      </c>
      <c r="AF174">
        <v>1</v>
      </c>
    </row>
    <row r="175" spans="1:32" x14ac:dyDescent="0.3">
      <c r="A175" t="s">
        <v>53</v>
      </c>
      <c r="B175">
        <v>347</v>
      </c>
      <c r="C175">
        <v>0.32190554867134802</v>
      </c>
      <c r="D175">
        <v>0.27110009637890697</v>
      </c>
      <c r="E175">
        <v>0</v>
      </c>
      <c r="F175">
        <v>1</v>
      </c>
      <c r="G175">
        <v>1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0.13300000000000001</v>
      </c>
      <c r="N175">
        <v>0</v>
      </c>
      <c r="O175">
        <v>36</v>
      </c>
      <c r="P175">
        <v>25</v>
      </c>
      <c r="Q175">
        <v>17</v>
      </c>
      <c r="R175">
        <v>16</v>
      </c>
      <c r="S175">
        <v>3.2709531642576102</v>
      </c>
      <c r="T175">
        <v>3.1924475923686302</v>
      </c>
      <c r="U175">
        <v>2.5540484960878702</v>
      </c>
      <c r="V175">
        <v>2.4097026812121398</v>
      </c>
      <c r="W175">
        <v>183.43147363601599</v>
      </c>
      <c r="X175">
        <v>183.17390942378199</v>
      </c>
      <c r="Y175">
        <v>181.079424199763</v>
      </c>
      <c r="Z175">
        <v>180.605848691641</v>
      </c>
      <c r="AA175">
        <v>0</v>
      </c>
      <c r="AB175">
        <v>0</v>
      </c>
      <c r="AC175">
        <v>0</v>
      </c>
      <c r="AD175">
        <v>1</v>
      </c>
      <c r="AE175">
        <v>235</v>
      </c>
      <c r="AF175">
        <v>1</v>
      </c>
    </row>
    <row r="176" spans="1:32" x14ac:dyDescent="0.3">
      <c r="A176" t="s">
        <v>55</v>
      </c>
      <c r="B176">
        <v>349</v>
      </c>
      <c r="C176">
        <v>4.0066088393225903E-2</v>
      </c>
      <c r="D176">
        <v>9.7067327550598895E-2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30</v>
      </c>
      <c r="P176">
        <v>37</v>
      </c>
      <c r="Q176">
        <v>21</v>
      </c>
      <c r="R176">
        <v>25</v>
      </c>
      <c r="S176">
        <v>2.7499298514865602</v>
      </c>
      <c r="T176">
        <v>3.5795403580946998</v>
      </c>
      <c r="U176">
        <v>2.5393067445887598</v>
      </c>
      <c r="V176">
        <v>2.8584819889750199</v>
      </c>
      <c r="W176">
        <v>181.722079565245</v>
      </c>
      <c r="X176">
        <v>184.44389881264701</v>
      </c>
      <c r="Y176">
        <v>181.03105887332299</v>
      </c>
      <c r="Z176">
        <v>182.07822174860601</v>
      </c>
      <c r="AA176">
        <v>0</v>
      </c>
      <c r="AB176">
        <v>0</v>
      </c>
      <c r="AC176">
        <v>0</v>
      </c>
      <c r="AD176">
        <v>1</v>
      </c>
      <c r="AE176">
        <v>10</v>
      </c>
      <c r="AF176">
        <v>1</v>
      </c>
    </row>
    <row r="177" spans="1:32" x14ac:dyDescent="0.3">
      <c r="A177" t="s">
        <v>57</v>
      </c>
      <c r="B177">
        <v>351</v>
      </c>
      <c r="C177">
        <v>6.0994079581440201E-2</v>
      </c>
      <c r="D177">
        <v>6.6776813988709896E-2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0.85399999999999998</v>
      </c>
      <c r="O177">
        <v>30</v>
      </c>
      <c r="P177">
        <v>36</v>
      </c>
      <c r="Q177">
        <v>17</v>
      </c>
      <c r="R177">
        <v>23</v>
      </c>
      <c r="S177">
        <v>2.7625156939890601</v>
      </c>
      <c r="T177">
        <v>3.1368580167499398</v>
      </c>
      <c r="U177">
        <v>2.6574299244520501</v>
      </c>
      <c r="V177">
        <v>2.3225679048907302</v>
      </c>
      <c r="W177">
        <v>181.76337169943901</v>
      </c>
      <c r="X177">
        <v>182.99152892634501</v>
      </c>
      <c r="Y177">
        <v>181.418602114344</v>
      </c>
      <c r="Z177">
        <v>180.31997344124301</v>
      </c>
      <c r="AA177">
        <v>0</v>
      </c>
      <c r="AB177">
        <v>0</v>
      </c>
      <c r="AC177">
        <v>0</v>
      </c>
      <c r="AD177">
        <v>1</v>
      </c>
      <c r="AE177">
        <v>37</v>
      </c>
      <c r="AF177">
        <v>1</v>
      </c>
    </row>
    <row r="178" spans="1:32" x14ac:dyDescent="0.3">
      <c r="A178" t="s">
        <v>59</v>
      </c>
      <c r="B178">
        <v>353</v>
      </c>
      <c r="C178">
        <v>0.27110009637890697</v>
      </c>
      <c r="D178">
        <v>0.14209004543577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1.5645</v>
      </c>
      <c r="O178">
        <v>39</v>
      </c>
      <c r="P178">
        <v>37</v>
      </c>
      <c r="Q178">
        <v>17</v>
      </c>
      <c r="R178">
        <v>21</v>
      </c>
      <c r="S178">
        <v>2.6469655637469098</v>
      </c>
      <c r="T178">
        <v>2.8960080039462901</v>
      </c>
      <c r="U178">
        <v>2.04291049626669</v>
      </c>
      <c r="V178">
        <v>2.48240187557494</v>
      </c>
      <c r="W178">
        <v>181.38427022226699</v>
      </c>
      <c r="X178">
        <v>182.20133859562401</v>
      </c>
      <c r="Y178">
        <v>179.40246225809301</v>
      </c>
      <c r="Z178">
        <v>180.844363108842</v>
      </c>
      <c r="AA178">
        <v>0</v>
      </c>
      <c r="AB178">
        <v>0</v>
      </c>
      <c r="AC178">
        <v>0</v>
      </c>
      <c r="AD178">
        <v>1</v>
      </c>
      <c r="AE178">
        <v>165</v>
      </c>
      <c r="AF178">
        <v>1</v>
      </c>
    </row>
    <row r="179" spans="1:32" x14ac:dyDescent="0.3">
      <c r="A179" t="s">
        <v>61</v>
      </c>
      <c r="B179">
        <v>355</v>
      </c>
      <c r="C179">
        <v>9.7067327550598895E-2</v>
      </c>
      <c r="D179">
        <v>0.32190554867134802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38</v>
      </c>
      <c r="P179">
        <v>40</v>
      </c>
      <c r="Q179">
        <v>24</v>
      </c>
      <c r="R179">
        <v>21</v>
      </c>
      <c r="S179">
        <v>3.4800308881612199</v>
      </c>
      <c r="T179">
        <v>3.10520636080365</v>
      </c>
      <c r="U179">
        <v>2.4881310713168898</v>
      </c>
      <c r="V179">
        <v>2.5508359054991399</v>
      </c>
      <c r="W179">
        <v>184.117424173757</v>
      </c>
      <c r="X179">
        <v>182.887684910773</v>
      </c>
      <c r="Y179">
        <v>180.863159682798</v>
      </c>
      <c r="Z179">
        <v>181.06888420439401</v>
      </c>
      <c r="AA179">
        <v>0</v>
      </c>
      <c r="AB179">
        <v>0</v>
      </c>
      <c r="AC179">
        <v>0</v>
      </c>
      <c r="AD179">
        <v>1</v>
      </c>
      <c r="AE179">
        <v>23</v>
      </c>
      <c r="AF179">
        <v>1</v>
      </c>
    </row>
    <row r="180" spans="1:32" x14ac:dyDescent="0.3">
      <c r="A180" t="s">
        <v>63</v>
      </c>
      <c r="B180">
        <v>357</v>
      </c>
      <c r="C180">
        <v>6.6776813988709896E-2</v>
      </c>
      <c r="D180">
        <v>4.0066088393225903E-2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0.42699999999999999</v>
      </c>
      <c r="N180">
        <v>7.0000000000000007E-2</v>
      </c>
      <c r="O180">
        <v>32</v>
      </c>
      <c r="P180">
        <v>30</v>
      </c>
      <c r="Q180">
        <v>20</v>
      </c>
      <c r="R180">
        <v>29</v>
      </c>
      <c r="S180">
        <v>3.1243782280999501</v>
      </c>
      <c r="T180">
        <v>3.13985784568598</v>
      </c>
      <c r="U180">
        <v>2.99421567920424</v>
      </c>
      <c r="V180">
        <v>2.9860484256084301</v>
      </c>
      <c r="W180">
        <v>182.95058473786099</v>
      </c>
      <c r="X180">
        <v>183.00137088479701</v>
      </c>
      <c r="Y180">
        <v>182.52354225460701</v>
      </c>
      <c r="Z180">
        <v>182.49674680317699</v>
      </c>
      <c r="AA180">
        <v>0</v>
      </c>
      <c r="AB180">
        <v>0</v>
      </c>
      <c r="AC180">
        <v>0</v>
      </c>
      <c r="AD180">
        <v>1</v>
      </c>
      <c r="AE180">
        <v>24</v>
      </c>
      <c r="AF180">
        <v>1</v>
      </c>
    </row>
    <row r="181" spans="1:32" x14ac:dyDescent="0.3">
      <c r="A181" t="s">
        <v>65</v>
      </c>
      <c r="B181">
        <v>359</v>
      </c>
      <c r="C181">
        <v>0.14209004543577</v>
      </c>
      <c r="D181">
        <v>6.0994079581440201E-2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34</v>
      </c>
      <c r="P181">
        <v>36</v>
      </c>
      <c r="Q181">
        <v>15</v>
      </c>
      <c r="R181">
        <v>14</v>
      </c>
      <c r="S181">
        <v>2.9116029069496601</v>
      </c>
      <c r="T181">
        <v>2.6118477959600099</v>
      </c>
      <c r="U181">
        <v>2.34821595120478</v>
      </c>
      <c r="V181">
        <v>2.0563478732415699</v>
      </c>
      <c r="W181">
        <v>182.25250297555701</v>
      </c>
      <c r="X181">
        <v>181.269054448688</v>
      </c>
      <c r="Y181">
        <v>180.40412057481899</v>
      </c>
      <c r="Z181">
        <v>179.44654814055599</v>
      </c>
      <c r="AA181">
        <v>0</v>
      </c>
      <c r="AB181">
        <v>0</v>
      </c>
      <c r="AC181">
        <v>0</v>
      </c>
      <c r="AD181">
        <v>1</v>
      </c>
      <c r="AE181">
        <v>84</v>
      </c>
      <c r="AF181">
        <v>1</v>
      </c>
    </row>
    <row r="182" spans="1:32" x14ac:dyDescent="0.3">
      <c r="A182" t="s">
        <v>67</v>
      </c>
      <c r="B182">
        <v>361</v>
      </c>
      <c r="C182">
        <v>0.32190554867134802</v>
      </c>
      <c r="D182">
        <v>0.27110009637890697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4.5499999999999999E-2</v>
      </c>
      <c r="N182">
        <v>8.0500000000000002E-2</v>
      </c>
      <c r="O182">
        <v>37</v>
      </c>
      <c r="P182">
        <v>33</v>
      </c>
      <c r="Q182">
        <v>23</v>
      </c>
      <c r="R182">
        <v>20</v>
      </c>
      <c r="S182">
        <v>3.18445229705417</v>
      </c>
      <c r="T182">
        <v>2.86183639898193</v>
      </c>
      <c r="U182">
        <v>2.5734240928507099</v>
      </c>
      <c r="V182">
        <v>2.5199894389395001</v>
      </c>
      <c r="W182">
        <v>183.147678139942</v>
      </c>
      <c r="X182">
        <v>182.08922703078099</v>
      </c>
      <c r="Y182">
        <v>181.14299243061299</v>
      </c>
      <c r="Z182">
        <v>180.967681886284</v>
      </c>
      <c r="AA182">
        <v>0</v>
      </c>
      <c r="AB182">
        <v>0</v>
      </c>
      <c r="AC182">
        <v>0</v>
      </c>
      <c r="AD182">
        <v>1</v>
      </c>
      <c r="AE182">
        <v>206</v>
      </c>
      <c r="AF182">
        <v>1</v>
      </c>
    </row>
    <row r="183" spans="1:32" x14ac:dyDescent="0.3">
      <c r="A183" t="s">
        <v>69</v>
      </c>
      <c r="B183">
        <v>363</v>
      </c>
      <c r="C183">
        <v>4.0066088393225903E-2</v>
      </c>
      <c r="D183">
        <v>9.7067327550598895E-2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9.8000000000000004E-2</v>
      </c>
      <c r="O183">
        <v>37</v>
      </c>
      <c r="P183">
        <v>41</v>
      </c>
      <c r="Q183">
        <v>24</v>
      </c>
      <c r="R183">
        <v>22</v>
      </c>
      <c r="S183">
        <v>3.33719051888351</v>
      </c>
      <c r="T183">
        <v>3.41783723669429</v>
      </c>
      <c r="U183">
        <v>2.5009391887233599</v>
      </c>
      <c r="V183">
        <v>2.3312508809219801</v>
      </c>
      <c r="W183">
        <v>183.64878779161299</v>
      </c>
      <c r="X183">
        <v>183.91337676080801</v>
      </c>
      <c r="Y183">
        <v>180.90518106536501</v>
      </c>
      <c r="Z183">
        <v>180.34846089541301</v>
      </c>
      <c r="AA183">
        <v>0</v>
      </c>
      <c r="AB183">
        <v>0</v>
      </c>
      <c r="AC183">
        <v>0</v>
      </c>
      <c r="AD183">
        <v>1</v>
      </c>
      <c r="AE183">
        <v>43</v>
      </c>
      <c r="AF183">
        <v>1</v>
      </c>
    </row>
    <row r="184" spans="1:32" x14ac:dyDescent="0.3">
      <c r="A184" t="s">
        <v>71</v>
      </c>
      <c r="B184">
        <v>365</v>
      </c>
      <c r="C184">
        <v>6.0994079581440201E-2</v>
      </c>
      <c r="D184">
        <v>6.6776813988709896E-2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34</v>
      </c>
      <c r="P184">
        <v>36</v>
      </c>
      <c r="Q184">
        <v>19</v>
      </c>
      <c r="R184">
        <v>22</v>
      </c>
      <c r="S184">
        <v>2.9980706443925098</v>
      </c>
      <c r="T184">
        <v>2.9008732421152601</v>
      </c>
      <c r="U184">
        <v>2.37424303323108</v>
      </c>
      <c r="V184">
        <v>2.6434905583845199</v>
      </c>
      <c r="W184">
        <v>182.53618977819099</v>
      </c>
      <c r="X184">
        <v>182.21730066310801</v>
      </c>
      <c r="Y184">
        <v>180.48951126388201</v>
      </c>
      <c r="Z184">
        <v>181.372869286038</v>
      </c>
      <c r="AA184">
        <v>0</v>
      </c>
      <c r="AB184">
        <v>0</v>
      </c>
      <c r="AC184">
        <v>0</v>
      </c>
      <c r="AD184">
        <v>1</v>
      </c>
      <c r="AE184">
        <v>40</v>
      </c>
      <c r="AF184">
        <v>1</v>
      </c>
    </row>
    <row r="185" spans="1:32" x14ac:dyDescent="0.3">
      <c r="A185" t="s">
        <v>73</v>
      </c>
      <c r="B185">
        <v>367</v>
      </c>
      <c r="C185">
        <v>0.27110009637890697</v>
      </c>
      <c r="D185">
        <v>0.14209004543577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36</v>
      </c>
      <c r="P185">
        <v>35</v>
      </c>
      <c r="Q185">
        <v>17</v>
      </c>
      <c r="R185">
        <v>17</v>
      </c>
      <c r="S185">
        <v>3.15159135159342</v>
      </c>
      <c r="T185">
        <v>3.1525700049008698</v>
      </c>
      <c r="U185">
        <v>2.54550346672367</v>
      </c>
      <c r="V185">
        <v>2.8098570459379002</v>
      </c>
      <c r="W185">
        <v>183.039866639086</v>
      </c>
      <c r="X185">
        <v>183.04307744389999</v>
      </c>
      <c r="Y185">
        <v>181.05138932652099</v>
      </c>
      <c r="Z185">
        <v>181.91869109559701</v>
      </c>
      <c r="AA185">
        <v>0</v>
      </c>
      <c r="AB185">
        <v>0</v>
      </c>
      <c r="AC185">
        <v>0</v>
      </c>
      <c r="AD185">
        <v>1</v>
      </c>
      <c r="AE185">
        <v>201</v>
      </c>
      <c r="AF185">
        <v>1</v>
      </c>
    </row>
    <row r="186" spans="1:32" x14ac:dyDescent="0.3">
      <c r="A186" t="s">
        <v>75</v>
      </c>
      <c r="B186">
        <v>369</v>
      </c>
      <c r="C186">
        <v>9.7067327550598895E-2</v>
      </c>
      <c r="D186">
        <v>0.32190554867134802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1.0500000000000001E-2</v>
      </c>
      <c r="N186">
        <v>1.0500000000000001E-2</v>
      </c>
      <c r="O186">
        <v>34</v>
      </c>
      <c r="P186">
        <v>33</v>
      </c>
      <c r="Q186">
        <v>22</v>
      </c>
      <c r="R186">
        <v>20</v>
      </c>
      <c r="S186">
        <v>3.0343998355965001</v>
      </c>
      <c r="T186">
        <v>2.9548104257557202</v>
      </c>
      <c r="U186">
        <v>2.01759256858506</v>
      </c>
      <c r="V186">
        <v>2.0890290475775899</v>
      </c>
      <c r="W186">
        <v>182.65538003804599</v>
      </c>
      <c r="X186">
        <v>182.39425992701999</v>
      </c>
      <c r="Y186">
        <v>179.31939819089601</v>
      </c>
      <c r="Z186">
        <v>179.553769841134</v>
      </c>
      <c r="AA186">
        <v>0</v>
      </c>
      <c r="AB186">
        <v>0</v>
      </c>
      <c r="AC186">
        <v>0</v>
      </c>
      <c r="AD186">
        <v>1</v>
      </c>
      <c r="AE186">
        <v>13</v>
      </c>
      <c r="AF186">
        <v>1</v>
      </c>
    </row>
    <row r="187" spans="1:32" x14ac:dyDescent="0.3">
      <c r="A187" t="s">
        <v>77</v>
      </c>
      <c r="B187">
        <v>371</v>
      </c>
      <c r="C187">
        <v>6.6776813988709896E-2</v>
      </c>
      <c r="D187">
        <v>4.0066088393225903E-2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9.8000000000000004E-2</v>
      </c>
      <c r="N187">
        <v>9.8000000000000004E-2</v>
      </c>
      <c r="O187">
        <v>42</v>
      </c>
      <c r="P187">
        <v>39</v>
      </c>
      <c r="Q187">
        <v>22</v>
      </c>
      <c r="R187">
        <v>24</v>
      </c>
      <c r="S187">
        <v>3.1292313971055998</v>
      </c>
      <c r="T187">
        <v>3.0650637594290799</v>
      </c>
      <c r="U187">
        <v>2.35252463415681</v>
      </c>
      <c r="V187">
        <v>2.1939091170890199</v>
      </c>
      <c r="W187">
        <v>182.966507208352</v>
      </c>
      <c r="X187">
        <v>182.75598346269399</v>
      </c>
      <c r="Y187">
        <v>180.418256673743</v>
      </c>
      <c r="Z187">
        <v>179.89786455737899</v>
      </c>
      <c r="AA187">
        <v>0</v>
      </c>
      <c r="AB187">
        <v>0</v>
      </c>
      <c r="AC187">
        <v>0</v>
      </c>
      <c r="AD187">
        <v>1</v>
      </c>
      <c r="AE187">
        <v>84</v>
      </c>
      <c r="AF187">
        <v>1</v>
      </c>
    </row>
    <row r="188" spans="1:32" x14ac:dyDescent="0.3">
      <c r="A188" t="s">
        <v>79</v>
      </c>
      <c r="B188">
        <v>373</v>
      </c>
      <c r="C188">
        <v>0.14209004543577</v>
      </c>
      <c r="D188">
        <v>6.0994079581440201E-2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0.59499999999999997</v>
      </c>
      <c r="N188">
        <v>0</v>
      </c>
      <c r="O188">
        <v>39</v>
      </c>
      <c r="P188">
        <v>32</v>
      </c>
      <c r="Q188">
        <v>20</v>
      </c>
      <c r="R188">
        <v>23</v>
      </c>
      <c r="S188">
        <v>3.1845510315906398</v>
      </c>
      <c r="T188">
        <v>2.6643693170572398</v>
      </c>
      <c r="U188">
        <v>2.4306595579105901</v>
      </c>
      <c r="V188">
        <v>1.8217822633946701</v>
      </c>
      <c r="W188">
        <v>183.14800207214799</v>
      </c>
      <c r="X188">
        <v>181.44136915044999</v>
      </c>
      <c r="Y188">
        <v>180.67460484878799</v>
      </c>
      <c r="Z188">
        <v>178.67697592977299</v>
      </c>
      <c r="AA188">
        <v>0</v>
      </c>
      <c r="AB188">
        <v>0</v>
      </c>
      <c r="AC188">
        <v>0</v>
      </c>
      <c r="AD188">
        <v>1</v>
      </c>
      <c r="AE188">
        <v>98</v>
      </c>
      <c r="AF188">
        <v>1</v>
      </c>
    </row>
    <row r="189" spans="1:32" x14ac:dyDescent="0.3">
      <c r="A189" t="s">
        <v>81</v>
      </c>
      <c r="B189">
        <v>375</v>
      </c>
      <c r="C189">
        <v>0.32190554867134802</v>
      </c>
      <c r="D189">
        <v>0.27110009637890697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1.0500000000000001E-2</v>
      </c>
      <c r="N189">
        <v>0</v>
      </c>
      <c r="O189">
        <v>35</v>
      </c>
      <c r="P189">
        <v>38</v>
      </c>
      <c r="Q189">
        <v>16</v>
      </c>
      <c r="R189">
        <v>18</v>
      </c>
      <c r="S189">
        <v>2.9225071261839601</v>
      </c>
      <c r="T189">
        <v>3.0702347770718199</v>
      </c>
      <c r="U189">
        <v>2.4730295551910002</v>
      </c>
      <c r="V189">
        <v>2.4762564282218702</v>
      </c>
      <c r="W189">
        <v>182.28827797304399</v>
      </c>
      <c r="X189">
        <v>182.77294874367399</v>
      </c>
      <c r="Y189">
        <v>180.81361402621701</v>
      </c>
      <c r="Z189">
        <v>180.82420087999299</v>
      </c>
      <c r="AA189">
        <v>0</v>
      </c>
      <c r="AB189">
        <v>0</v>
      </c>
      <c r="AC189">
        <v>0</v>
      </c>
      <c r="AD189">
        <v>1</v>
      </c>
      <c r="AE189">
        <v>181</v>
      </c>
      <c r="AF189">
        <v>1</v>
      </c>
    </row>
    <row r="190" spans="1:32" x14ac:dyDescent="0.3">
      <c r="A190" t="s">
        <v>83</v>
      </c>
      <c r="B190">
        <v>377</v>
      </c>
      <c r="C190">
        <v>4.0066088393225903E-2</v>
      </c>
      <c r="D190">
        <v>9.7067327550598895E-2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39</v>
      </c>
      <c r="P190">
        <v>36</v>
      </c>
      <c r="Q190">
        <v>25</v>
      </c>
      <c r="R190">
        <v>25</v>
      </c>
      <c r="S190">
        <v>2.9137838805893002</v>
      </c>
      <c r="T190">
        <v>3.07297139599171</v>
      </c>
      <c r="U190">
        <v>2.6340364929501301</v>
      </c>
      <c r="V190">
        <v>2.4531760727929099</v>
      </c>
      <c r="W190">
        <v>182.25965840088401</v>
      </c>
      <c r="X190">
        <v>182.78192715220399</v>
      </c>
      <c r="Y190">
        <v>181.341852010991</v>
      </c>
      <c r="Z190">
        <v>180.748477929111</v>
      </c>
      <c r="AA190">
        <v>0</v>
      </c>
      <c r="AB190">
        <v>0</v>
      </c>
      <c r="AC190">
        <v>0</v>
      </c>
      <c r="AD190">
        <v>1</v>
      </c>
      <c r="AE190">
        <v>22</v>
      </c>
      <c r="AF190">
        <v>1</v>
      </c>
    </row>
    <row r="191" spans="1:32" x14ac:dyDescent="0.3">
      <c r="A191" t="s">
        <v>84</v>
      </c>
      <c r="B191">
        <v>379</v>
      </c>
      <c r="C191">
        <v>6.0994079581440201E-2</v>
      </c>
      <c r="D191">
        <v>6.6776813988709896E-2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0.80149999999999999</v>
      </c>
      <c r="O191">
        <v>35</v>
      </c>
      <c r="P191">
        <v>36</v>
      </c>
      <c r="Q191">
        <v>18</v>
      </c>
      <c r="R191">
        <v>19</v>
      </c>
      <c r="S191">
        <v>3.18460900659742</v>
      </c>
      <c r="T191">
        <v>3.07236256765903</v>
      </c>
      <c r="U191">
        <v>2.2661937722477901</v>
      </c>
      <c r="V191">
        <v>2.1070720947334101</v>
      </c>
      <c r="W191">
        <v>183.14819227886301</v>
      </c>
      <c r="X191">
        <v>182.77992968392101</v>
      </c>
      <c r="Y191">
        <v>180.135018937821</v>
      </c>
      <c r="Z191">
        <v>179.61296619007001</v>
      </c>
      <c r="AA191">
        <v>0</v>
      </c>
      <c r="AB191">
        <v>0</v>
      </c>
      <c r="AC191">
        <v>0</v>
      </c>
      <c r="AD191">
        <v>1</v>
      </c>
      <c r="AE191">
        <v>42</v>
      </c>
      <c r="AF191">
        <v>1</v>
      </c>
    </row>
    <row r="192" spans="1:32" x14ac:dyDescent="0.3">
      <c r="A192" t="s">
        <v>86</v>
      </c>
      <c r="B192">
        <v>381</v>
      </c>
      <c r="C192">
        <v>0.27110009637890697</v>
      </c>
      <c r="D192">
        <v>0.14209004543577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37</v>
      </c>
      <c r="P192">
        <v>38</v>
      </c>
      <c r="Q192">
        <v>16</v>
      </c>
      <c r="R192">
        <v>20</v>
      </c>
      <c r="S192">
        <v>3.1751559250586898</v>
      </c>
      <c r="T192">
        <v>3.3746451013868102</v>
      </c>
      <c r="U192">
        <v>2.4406601457865</v>
      </c>
      <c r="V192">
        <v>2.5978393725443398</v>
      </c>
      <c r="W192">
        <v>183.11717823181999</v>
      </c>
      <c r="X192">
        <v>183.77167028014</v>
      </c>
      <c r="Y192">
        <v>180.70741517646499</v>
      </c>
      <c r="Z192">
        <v>181.22309505427901</v>
      </c>
      <c r="AA192">
        <v>0</v>
      </c>
      <c r="AB192">
        <v>0</v>
      </c>
      <c r="AC192">
        <v>0</v>
      </c>
      <c r="AD192">
        <v>1</v>
      </c>
      <c r="AE192">
        <v>170</v>
      </c>
      <c r="AF192">
        <v>1</v>
      </c>
    </row>
    <row r="193" spans="1:32" x14ac:dyDescent="0.3">
      <c r="A193" t="s">
        <v>88</v>
      </c>
      <c r="B193">
        <v>383</v>
      </c>
      <c r="C193">
        <v>9.7067327550598895E-2</v>
      </c>
      <c r="D193">
        <v>0.32190554867134802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34</v>
      </c>
      <c r="P193">
        <v>37</v>
      </c>
      <c r="Q193">
        <v>24</v>
      </c>
      <c r="R193">
        <v>18</v>
      </c>
      <c r="S193">
        <v>3.1084807673942101</v>
      </c>
      <c r="T193">
        <v>2.8801967778942998</v>
      </c>
      <c r="U193">
        <v>2.3978259627614502</v>
      </c>
      <c r="V193">
        <v>2.1330767685969301</v>
      </c>
      <c r="W193">
        <v>182.89842771454801</v>
      </c>
      <c r="X193">
        <v>182.14946449440399</v>
      </c>
      <c r="Y193">
        <v>180.56688307992599</v>
      </c>
      <c r="Z193">
        <v>179.69828336153799</v>
      </c>
      <c r="AA193">
        <v>0</v>
      </c>
      <c r="AB193">
        <v>0</v>
      </c>
      <c r="AC193">
        <v>0</v>
      </c>
      <c r="AD193">
        <v>1</v>
      </c>
      <c r="AE193">
        <v>42</v>
      </c>
      <c r="AF193">
        <v>1</v>
      </c>
    </row>
    <row r="194" spans="1:32" x14ac:dyDescent="0.3">
      <c r="A194" t="s">
        <v>91</v>
      </c>
      <c r="B194">
        <v>385</v>
      </c>
      <c r="C194">
        <v>0.14209004543577</v>
      </c>
      <c r="D194">
        <v>6.0994079581440201E-2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37</v>
      </c>
      <c r="P194">
        <v>36</v>
      </c>
      <c r="Q194">
        <v>21</v>
      </c>
      <c r="R194">
        <v>19</v>
      </c>
      <c r="S194">
        <v>3.0263524985612902</v>
      </c>
      <c r="T194">
        <v>3.0770049069274301</v>
      </c>
      <c r="U194">
        <v>2.1558792669354001</v>
      </c>
      <c r="V194">
        <v>2.26033441980403</v>
      </c>
      <c r="W194">
        <v>182.62897801365301</v>
      </c>
      <c r="X194">
        <v>182.79516045579899</v>
      </c>
      <c r="Y194">
        <v>179.77309470779301</v>
      </c>
      <c r="Z194">
        <v>180.11579534056401</v>
      </c>
      <c r="AA194">
        <v>0</v>
      </c>
      <c r="AB194">
        <v>0</v>
      </c>
      <c r="AC194">
        <v>0</v>
      </c>
      <c r="AD194">
        <v>1</v>
      </c>
      <c r="AE194">
        <v>61</v>
      </c>
      <c r="AF194">
        <v>1</v>
      </c>
    </row>
    <row r="195" spans="1:32" x14ac:dyDescent="0.3">
      <c r="A195" t="s">
        <v>93</v>
      </c>
      <c r="B195">
        <v>387</v>
      </c>
      <c r="C195">
        <v>0.32190554867134802</v>
      </c>
      <c r="D195">
        <v>0.27110009637890697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0.48</v>
      </c>
      <c r="N195">
        <v>0</v>
      </c>
      <c r="O195">
        <v>42</v>
      </c>
      <c r="P195">
        <v>38</v>
      </c>
      <c r="Q195">
        <v>21</v>
      </c>
      <c r="R195">
        <v>20</v>
      </c>
      <c r="S195">
        <v>3.1243299815364698</v>
      </c>
      <c r="T195">
        <v>3.0597423124188601</v>
      </c>
      <c r="U195">
        <v>2.1959621091833101</v>
      </c>
      <c r="V195">
        <v>2.42581642082164</v>
      </c>
      <c r="W195">
        <v>182.95042644860999</v>
      </c>
      <c r="X195">
        <v>182.73852464704299</v>
      </c>
      <c r="Y195">
        <v>179.90460009574599</v>
      </c>
      <c r="Z195">
        <v>180.65871529141</v>
      </c>
      <c r="AA195">
        <v>0</v>
      </c>
      <c r="AB195">
        <v>0</v>
      </c>
      <c r="AC195">
        <v>0</v>
      </c>
      <c r="AD195">
        <v>1</v>
      </c>
      <c r="AE195">
        <v>207</v>
      </c>
      <c r="AF195">
        <v>1</v>
      </c>
    </row>
    <row r="196" spans="1:32" x14ac:dyDescent="0.3">
      <c r="A196" t="s">
        <v>95</v>
      </c>
      <c r="B196">
        <v>389</v>
      </c>
      <c r="C196">
        <v>4.0066088393225903E-2</v>
      </c>
      <c r="D196">
        <v>9.7067327550598895E-2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0.17</v>
      </c>
      <c r="N196">
        <v>0</v>
      </c>
      <c r="O196">
        <v>41</v>
      </c>
      <c r="P196">
        <v>43</v>
      </c>
      <c r="Q196">
        <v>23</v>
      </c>
      <c r="R196">
        <v>21</v>
      </c>
      <c r="S196">
        <v>3.2214090571415701</v>
      </c>
      <c r="T196">
        <v>3.107502596117</v>
      </c>
      <c r="U196">
        <v>2.0732817920457598</v>
      </c>
      <c r="V196">
        <v>2.0988623128691399</v>
      </c>
      <c r="W196">
        <v>183.26892735282701</v>
      </c>
      <c r="X196">
        <v>182.895218491197</v>
      </c>
      <c r="Y196">
        <v>179.502105616948</v>
      </c>
      <c r="Z196">
        <v>179.58603121020101</v>
      </c>
      <c r="AA196">
        <v>0</v>
      </c>
      <c r="AB196">
        <v>0</v>
      </c>
      <c r="AC196">
        <v>0</v>
      </c>
      <c r="AD196">
        <v>1</v>
      </c>
      <c r="AE196">
        <v>50</v>
      </c>
      <c r="AF196">
        <v>1</v>
      </c>
    </row>
    <row r="197" spans="1:32" x14ac:dyDescent="0.3">
      <c r="A197" t="s">
        <v>97</v>
      </c>
      <c r="B197">
        <v>391</v>
      </c>
      <c r="C197">
        <v>6.0994079581440201E-2</v>
      </c>
      <c r="D197">
        <v>6.6776813988709896E-2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37</v>
      </c>
      <c r="P197">
        <v>41</v>
      </c>
      <c r="Q197">
        <v>24</v>
      </c>
      <c r="R197">
        <v>24</v>
      </c>
      <c r="S197">
        <v>3.3589616578697501</v>
      </c>
      <c r="T197">
        <v>3.2147276825084301</v>
      </c>
      <c r="U197">
        <v>2.3231345282795202</v>
      </c>
      <c r="V197">
        <v>2.27855597070559</v>
      </c>
      <c r="W197">
        <v>183.720215412958</v>
      </c>
      <c r="X197">
        <v>183.247006832377</v>
      </c>
      <c r="Y197">
        <v>180.321832441862</v>
      </c>
      <c r="Z197">
        <v>180.175577331711</v>
      </c>
      <c r="AA197">
        <v>0</v>
      </c>
      <c r="AB197">
        <v>0</v>
      </c>
      <c r="AC197">
        <v>0</v>
      </c>
      <c r="AD197">
        <v>1</v>
      </c>
      <c r="AE197">
        <v>24</v>
      </c>
      <c r="AF197">
        <v>1</v>
      </c>
    </row>
    <row r="198" spans="1:32" x14ac:dyDescent="0.3">
      <c r="A198" t="s">
        <v>99</v>
      </c>
      <c r="B198">
        <v>393</v>
      </c>
      <c r="C198">
        <v>0.27110009637890697</v>
      </c>
      <c r="D198">
        <v>0.14209004543577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0.65</v>
      </c>
      <c r="N198">
        <v>0.06</v>
      </c>
      <c r="O198">
        <v>41</v>
      </c>
      <c r="P198">
        <v>37</v>
      </c>
      <c r="Q198">
        <v>18</v>
      </c>
      <c r="R198">
        <v>22</v>
      </c>
      <c r="S198">
        <v>2.6069177584875498</v>
      </c>
      <c r="T198">
        <v>3.0746669200310301</v>
      </c>
      <c r="U198">
        <v>2.0864869275167601</v>
      </c>
      <c r="V198">
        <v>2.76231893385257</v>
      </c>
      <c r="W198">
        <v>181.25287978506401</v>
      </c>
      <c r="X198">
        <v>182.78748989511499</v>
      </c>
      <c r="Y198">
        <v>179.54542955222001</v>
      </c>
      <c r="Z198">
        <v>181.76272616093399</v>
      </c>
      <c r="AA198">
        <v>0</v>
      </c>
      <c r="AB198">
        <v>0</v>
      </c>
      <c r="AC198">
        <v>0</v>
      </c>
      <c r="AD198">
        <v>1</v>
      </c>
      <c r="AE198">
        <v>133</v>
      </c>
      <c r="AF198">
        <v>1</v>
      </c>
    </row>
    <row r="199" spans="1:32" x14ac:dyDescent="0.3">
      <c r="A199" t="s">
        <v>101</v>
      </c>
      <c r="B199">
        <v>395</v>
      </c>
      <c r="C199">
        <v>9.7067327550598895E-2</v>
      </c>
      <c r="D199">
        <v>0.32190554867134802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0.03</v>
      </c>
      <c r="N199">
        <v>0</v>
      </c>
      <c r="O199">
        <v>40</v>
      </c>
      <c r="P199">
        <v>27</v>
      </c>
      <c r="Q199">
        <v>22</v>
      </c>
      <c r="R199">
        <v>19</v>
      </c>
      <c r="S199">
        <v>3.1856778382319302</v>
      </c>
      <c r="T199">
        <v>2.1957630654829199</v>
      </c>
      <c r="U199">
        <v>2.1220274728302302</v>
      </c>
      <c r="V199">
        <v>1.65784787865496</v>
      </c>
      <c r="W199">
        <v>183.15169894433001</v>
      </c>
      <c r="X199">
        <v>179.90394706523301</v>
      </c>
      <c r="Y199">
        <v>179.66203239117499</v>
      </c>
      <c r="Z199">
        <v>178.139133460154</v>
      </c>
      <c r="AA199">
        <v>0</v>
      </c>
      <c r="AB199">
        <v>0</v>
      </c>
      <c r="AC199">
        <v>0</v>
      </c>
      <c r="AD199">
        <v>1</v>
      </c>
      <c r="AE199">
        <v>36</v>
      </c>
      <c r="AF199">
        <v>1</v>
      </c>
    </row>
    <row r="200" spans="1:32" x14ac:dyDescent="0.3">
      <c r="A200" t="s">
        <v>103</v>
      </c>
      <c r="B200">
        <v>397</v>
      </c>
      <c r="C200">
        <v>6.6776813988709896E-2</v>
      </c>
      <c r="D200">
        <v>4.0066088393225903E-2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1.59</v>
      </c>
      <c r="N200">
        <v>0</v>
      </c>
      <c r="O200">
        <v>36</v>
      </c>
      <c r="P200">
        <v>27</v>
      </c>
      <c r="Q200">
        <v>23</v>
      </c>
      <c r="R200">
        <v>27</v>
      </c>
      <c r="S200">
        <v>3.2986207735725102</v>
      </c>
      <c r="T200">
        <v>3.4546419173882001</v>
      </c>
      <c r="U200">
        <v>2.4959404580259301</v>
      </c>
      <c r="V200">
        <v>3.4546419173882001</v>
      </c>
      <c r="W200">
        <v>183.52224663245599</v>
      </c>
      <c r="X200">
        <v>184.03412702555201</v>
      </c>
      <c r="Y200">
        <v>180.888781030269</v>
      </c>
      <c r="Z200">
        <v>184.03412702555201</v>
      </c>
      <c r="AA200">
        <v>0</v>
      </c>
      <c r="AB200">
        <v>0</v>
      </c>
      <c r="AC200">
        <v>0</v>
      </c>
      <c r="AD200">
        <v>1</v>
      </c>
      <c r="AE200">
        <v>24</v>
      </c>
      <c r="AF200">
        <v>1</v>
      </c>
    </row>
    <row r="201" spans="1:32" x14ac:dyDescent="0.3">
      <c r="A201" t="s">
        <v>105</v>
      </c>
      <c r="B201">
        <v>399</v>
      </c>
      <c r="C201">
        <v>0.14209004543577</v>
      </c>
      <c r="D201">
        <v>6.0994079581440201E-2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37</v>
      </c>
      <c r="P201">
        <v>32</v>
      </c>
      <c r="Q201">
        <v>17</v>
      </c>
      <c r="R201">
        <v>23</v>
      </c>
      <c r="S201">
        <v>2.7899076627286301</v>
      </c>
      <c r="T201">
        <v>3.0387981941826201</v>
      </c>
      <c r="U201">
        <v>2.5444777960045899</v>
      </c>
      <c r="V201">
        <v>2.6707993547349802</v>
      </c>
      <c r="W201">
        <v>181.85324036328299</v>
      </c>
      <c r="X201">
        <v>182.669810348368</v>
      </c>
      <c r="Y201">
        <v>181.04802426510699</v>
      </c>
      <c r="Z201">
        <v>181.46246507459</v>
      </c>
      <c r="AA201">
        <v>0</v>
      </c>
      <c r="AB201">
        <v>0</v>
      </c>
      <c r="AC201">
        <v>0</v>
      </c>
      <c r="AD201">
        <v>1</v>
      </c>
      <c r="AE201">
        <v>64</v>
      </c>
      <c r="AF201">
        <v>1</v>
      </c>
    </row>
    <row r="202" spans="1:32" x14ac:dyDescent="0.3">
      <c r="A202" t="s">
        <v>107</v>
      </c>
      <c r="B202">
        <v>401</v>
      </c>
      <c r="C202">
        <v>0.32190554867134802</v>
      </c>
      <c r="D202">
        <v>0.27110009637890697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35</v>
      </c>
      <c r="P202">
        <v>35</v>
      </c>
      <c r="Q202">
        <v>19</v>
      </c>
      <c r="R202">
        <v>17</v>
      </c>
      <c r="S202">
        <v>3.3738036636329198</v>
      </c>
      <c r="T202">
        <v>2.9285489300107499</v>
      </c>
      <c r="U202">
        <v>2.6665689565537001</v>
      </c>
      <c r="V202">
        <v>2.66103720796331</v>
      </c>
      <c r="W202">
        <v>183.76890965758801</v>
      </c>
      <c r="X202">
        <v>182.30810016407699</v>
      </c>
      <c r="Y202">
        <v>181.44858581546501</v>
      </c>
      <c r="Z202">
        <v>181.43043703399999</v>
      </c>
      <c r="AA202">
        <v>0</v>
      </c>
      <c r="AB202">
        <v>0</v>
      </c>
      <c r="AC202">
        <v>0</v>
      </c>
      <c r="AD202">
        <v>1</v>
      </c>
      <c r="AE202">
        <v>204</v>
      </c>
      <c r="AF202">
        <v>1</v>
      </c>
    </row>
    <row r="203" spans="1:32" x14ac:dyDescent="0.3">
      <c r="A203" t="s">
        <v>109</v>
      </c>
      <c r="B203">
        <v>403</v>
      </c>
      <c r="C203">
        <v>4.0066088393225903E-2</v>
      </c>
      <c r="D203">
        <v>9.7067327550598895E-2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41</v>
      </c>
      <c r="P203">
        <v>38</v>
      </c>
      <c r="Q203">
        <v>19</v>
      </c>
      <c r="R203">
        <v>23</v>
      </c>
      <c r="S203">
        <v>3.01213519800582</v>
      </c>
      <c r="T203">
        <v>3.0412324180523398</v>
      </c>
      <c r="U203">
        <v>2.2077857991169201</v>
      </c>
      <c r="V203">
        <v>2.5168834119433399</v>
      </c>
      <c r="W203">
        <v>182.582333326791</v>
      </c>
      <c r="X203">
        <v>182.677796647153</v>
      </c>
      <c r="Y203">
        <v>179.94339172938601</v>
      </c>
      <c r="Z203">
        <v>180.95749150899999</v>
      </c>
      <c r="AA203">
        <v>0</v>
      </c>
      <c r="AB203">
        <v>0</v>
      </c>
      <c r="AC203">
        <v>0</v>
      </c>
      <c r="AD203">
        <v>1</v>
      </c>
      <c r="AE203">
        <v>47</v>
      </c>
      <c r="AF203">
        <v>1</v>
      </c>
    </row>
    <row r="204" spans="1:32" x14ac:dyDescent="0.3">
      <c r="A204" t="s">
        <v>111</v>
      </c>
      <c r="B204">
        <v>405</v>
      </c>
      <c r="C204">
        <v>6.0994079581440201E-2</v>
      </c>
      <c r="D204">
        <v>6.6776813988709896E-2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39</v>
      </c>
      <c r="P204">
        <v>41</v>
      </c>
      <c r="Q204">
        <v>22</v>
      </c>
      <c r="R204">
        <v>22</v>
      </c>
      <c r="S204">
        <v>3.2235886745676101</v>
      </c>
      <c r="T204">
        <v>2.8894556535309301</v>
      </c>
      <c r="U204">
        <v>2.5153210469134</v>
      </c>
      <c r="V204">
        <v>2.6223230768571799</v>
      </c>
      <c r="W204">
        <v>183.27607832863399</v>
      </c>
      <c r="X204">
        <v>182.17984138297501</v>
      </c>
      <c r="Y204">
        <v>180.95236563948001</v>
      </c>
      <c r="Z204">
        <v>181.303422168167</v>
      </c>
      <c r="AA204">
        <v>0</v>
      </c>
      <c r="AB204">
        <v>0</v>
      </c>
      <c r="AC204">
        <v>0</v>
      </c>
      <c r="AD204">
        <v>1</v>
      </c>
      <c r="AE204">
        <v>21</v>
      </c>
      <c r="AF204">
        <v>1</v>
      </c>
    </row>
    <row r="205" spans="1:32" x14ac:dyDescent="0.3">
      <c r="A205" t="s">
        <v>113</v>
      </c>
      <c r="B205">
        <v>407</v>
      </c>
      <c r="C205">
        <v>0.27110009637890697</v>
      </c>
      <c r="D205">
        <v>0.14209004543577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40</v>
      </c>
      <c r="P205">
        <v>38</v>
      </c>
      <c r="Q205">
        <v>16</v>
      </c>
      <c r="R205">
        <v>21</v>
      </c>
      <c r="S205">
        <v>2.7995778075892899</v>
      </c>
      <c r="T205">
        <v>3.12119998222005</v>
      </c>
      <c r="U205">
        <v>2.2161309791474801</v>
      </c>
      <c r="V205">
        <v>2.8077759088861298</v>
      </c>
      <c r="W205">
        <v>181.884966560332</v>
      </c>
      <c r="X205">
        <v>182.94015742198201</v>
      </c>
      <c r="Y205">
        <v>179.970770928962</v>
      </c>
      <c r="Z205">
        <v>181.91186321813001</v>
      </c>
      <c r="AA205">
        <v>0</v>
      </c>
      <c r="AB205">
        <v>0</v>
      </c>
      <c r="AC205">
        <v>0</v>
      </c>
      <c r="AD205">
        <v>1</v>
      </c>
      <c r="AE205">
        <v>192</v>
      </c>
      <c r="AF205">
        <v>1</v>
      </c>
    </row>
    <row r="206" spans="1:32" x14ac:dyDescent="0.3">
      <c r="A206" t="s">
        <v>115</v>
      </c>
      <c r="B206">
        <v>409</v>
      </c>
      <c r="C206">
        <v>9.7067327550598895E-2</v>
      </c>
      <c r="D206">
        <v>0.32190554867134802</v>
      </c>
      <c r="E206">
        <v>1</v>
      </c>
      <c r="F206">
        <v>0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43</v>
      </c>
      <c r="P206">
        <v>42</v>
      </c>
      <c r="Q206">
        <v>18</v>
      </c>
      <c r="R206">
        <v>18</v>
      </c>
      <c r="S206">
        <v>2.7871757441615301</v>
      </c>
      <c r="T206">
        <v>2.88931643913322</v>
      </c>
      <c r="U206">
        <v>1.8338352820227899</v>
      </c>
      <c r="V206">
        <v>2.0859291551005099</v>
      </c>
      <c r="W206">
        <v>181.84427737585801</v>
      </c>
      <c r="X206">
        <v>182.17938464282599</v>
      </c>
      <c r="Y206">
        <v>178.716519954143</v>
      </c>
      <c r="Z206">
        <v>179.543599590225</v>
      </c>
      <c r="AA206">
        <v>0</v>
      </c>
      <c r="AB206">
        <v>0</v>
      </c>
      <c r="AC206">
        <v>0</v>
      </c>
      <c r="AD206">
        <v>1</v>
      </c>
      <c r="AE206">
        <v>202</v>
      </c>
      <c r="AF206">
        <v>1</v>
      </c>
    </row>
    <row r="207" spans="1:32" x14ac:dyDescent="0.3">
      <c r="A207" t="s">
        <v>117</v>
      </c>
      <c r="B207">
        <v>411</v>
      </c>
      <c r="C207">
        <v>6.6776813988709896E-2</v>
      </c>
      <c r="D207">
        <v>4.0066088393225903E-2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39</v>
      </c>
      <c r="P207">
        <v>43</v>
      </c>
      <c r="Q207">
        <v>22</v>
      </c>
      <c r="R207">
        <v>24</v>
      </c>
      <c r="S207">
        <v>3.3074010264487201</v>
      </c>
      <c r="T207">
        <v>3.3064218826999001</v>
      </c>
      <c r="U207">
        <v>2.4574281061104002</v>
      </c>
      <c r="V207">
        <v>2.1448170129117701</v>
      </c>
      <c r="W207">
        <v>183.55105323638</v>
      </c>
      <c r="X207">
        <v>183.547840822506</v>
      </c>
      <c r="Y207">
        <v>180.76242816965399</v>
      </c>
      <c r="Z207">
        <v>179.736801223464</v>
      </c>
      <c r="AA207">
        <v>0</v>
      </c>
      <c r="AB207">
        <v>0</v>
      </c>
      <c r="AC207">
        <v>0</v>
      </c>
      <c r="AD207">
        <v>1</v>
      </c>
      <c r="AE207">
        <v>46</v>
      </c>
      <c r="AF207">
        <v>1</v>
      </c>
    </row>
    <row r="208" spans="1:32" x14ac:dyDescent="0.3">
      <c r="A208" t="s">
        <v>119</v>
      </c>
      <c r="B208">
        <v>413</v>
      </c>
      <c r="C208">
        <v>0.14209004543577</v>
      </c>
      <c r="D208">
        <v>6.0994079581440201E-2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0.68</v>
      </c>
      <c r="N208">
        <v>0.78</v>
      </c>
      <c r="O208">
        <v>36</v>
      </c>
      <c r="P208">
        <v>27</v>
      </c>
      <c r="Q208">
        <v>18</v>
      </c>
      <c r="R208">
        <v>24</v>
      </c>
      <c r="S208">
        <v>3.1729569543979999</v>
      </c>
      <c r="T208">
        <v>2.9675731681712301</v>
      </c>
      <c r="U208">
        <v>2.6904742287645398</v>
      </c>
      <c r="V208">
        <v>2.80688720553725</v>
      </c>
      <c r="W208">
        <v>183.10996376114801</v>
      </c>
      <c r="X208">
        <v>182.436132441507</v>
      </c>
      <c r="Y208">
        <v>181.52701518623499</v>
      </c>
      <c r="Z208">
        <v>181.908947524729</v>
      </c>
      <c r="AA208">
        <v>0</v>
      </c>
      <c r="AB208">
        <v>0</v>
      </c>
      <c r="AC208">
        <v>0</v>
      </c>
      <c r="AD208">
        <v>1</v>
      </c>
      <c r="AE208">
        <v>21</v>
      </c>
      <c r="AF208">
        <v>1</v>
      </c>
    </row>
    <row r="209" spans="1:32" x14ac:dyDescent="0.3">
      <c r="A209" t="s">
        <v>121</v>
      </c>
      <c r="B209">
        <v>415</v>
      </c>
      <c r="C209">
        <v>0.32190554867134802</v>
      </c>
      <c r="D209">
        <v>0.27110009637890697</v>
      </c>
      <c r="E209">
        <v>0</v>
      </c>
      <c r="F209">
        <v>0</v>
      </c>
      <c r="G209">
        <v>0</v>
      </c>
      <c r="H209">
        <v>1</v>
      </c>
      <c r="I209">
        <v>0</v>
      </c>
      <c r="J209">
        <v>1</v>
      </c>
      <c r="K209">
        <v>0</v>
      </c>
      <c r="L209">
        <v>0</v>
      </c>
      <c r="M209">
        <v>0.16</v>
      </c>
      <c r="N209">
        <v>0.05</v>
      </c>
      <c r="O209">
        <v>24</v>
      </c>
      <c r="P209">
        <v>35</v>
      </c>
      <c r="Q209">
        <v>19</v>
      </c>
      <c r="R209">
        <v>16</v>
      </c>
      <c r="S209">
        <v>2.8980036154421902</v>
      </c>
      <c r="T209">
        <v>3.1163345303513199</v>
      </c>
      <c r="U209">
        <v>2.7177850454084802</v>
      </c>
      <c r="V209">
        <v>2.2839516361177901</v>
      </c>
      <c r="W209">
        <v>182.20788587743499</v>
      </c>
      <c r="X209">
        <v>182.92419465338401</v>
      </c>
      <c r="Y209">
        <v>181.616617603046</v>
      </c>
      <c r="Z209">
        <v>180.193279646056</v>
      </c>
      <c r="AA209">
        <v>0</v>
      </c>
      <c r="AB209">
        <v>0</v>
      </c>
      <c r="AC209">
        <v>0</v>
      </c>
      <c r="AD209">
        <v>1</v>
      </c>
      <c r="AE209">
        <v>8</v>
      </c>
      <c r="AF209">
        <v>1</v>
      </c>
    </row>
    <row r="210" spans="1:32" x14ac:dyDescent="0.3">
      <c r="A210" t="s">
        <v>95</v>
      </c>
      <c r="B210">
        <v>82</v>
      </c>
      <c r="C210">
        <v>3.3426183844011102E-2</v>
      </c>
      <c r="D210">
        <v>7.7994428969359306E-2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0.17</v>
      </c>
      <c r="N210">
        <v>0</v>
      </c>
      <c r="O210">
        <v>28</v>
      </c>
      <c r="P210">
        <v>42</v>
      </c>
      <c r="Q210">
        <v>28</v>
      </c>
      <c r="R210">
        <v>33</v>
      </c>
      <c r="S210">
        <v>0.39163094191130099</v>
      </c>
      <c r="T210">
        <v>1.18171223264558</v>
      </c>
      <c r="U210">
        <v>0.39163094191130099</v>
      </c>
      <c r="V210">
        <v>0.37384817155676803</v>
      </c>
      <c r="W210">
        <v>180.39487841834401</v>
      </c>
      <c r="X210">
        <v>182.98700863728899</v>
      </c>
      <c r="Y210">
        <v>180.39487841834401</v>
      </c>
      <c r="Z210">
        <v>180.336535995921</v>
      </c>
      <c r="AA210">
        <v>1</v>
      </c>
      <c r="AB210">
        <v>0</v>
      </c>
      <c r="AC210">
        <v>0</v>
      </c>
      <c r="AD210">
        <v>0</v>
      </c>
      <c r="AE210">
        <v>1</v>
      </c>
      <c r="AF210">
        <v>1</v>
      </c>
    </row>
    <row r="211" spans="1:32" x14ac:dyDescent="0.3">
      <c r="A211" t="s">
        <v>79</v>
      </c>
      <c r="B211">
        <v>150</v>
      </c>
      <c r="C211">
        <v>0.13018867924528299</v>
      </c>
      <c r="D211">
        <v>6.2641509433962295E-2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1</v>
      </c>
      <c r="L211">
        <v>0</v>
      </c>
      <c r="M211">
        <v>0.59499999999999997</v>
      </c>
      <c r="N211">
        <v>0</v>
      </c>
      <c r="O211">
        <v>35</v>
      </c>
      <c r="P211">
        <v>37</v>
      </c>
      <c r="Q211">
        <v>18</v>
      </c>
      <c r="R211">
        <v>33</v>
      </c>
      <c r="S211">
        <v>1.90562431779238</v>
      </c>
      <c r="T211">
        <v>0.51874534609116996</v>
      </c>
      <c r="U211">
        <v>1.1219583909219599</v>
      </c>
      <c r="V211">
        <v>0.51701459304529596</v>
      </c>
      <c r="W211">
        <v>183.14204828672001</v>
      </c>
      <c r="X211">
        <v>178.591920426808</v>
      </c>
      <c r="Y211">
        <v>180.57096584948201</v>
      </c>
      <c r="Z211">
        <v>178.586242103167</v>
      </c>
      <c r="AA211">
        <v>0</v>
      </c>
      <c r="AB211">
        <v>1</v>
      </c>
      <c r="AC211">
        <v>0</v>
      </c>
      <c r="AD211">
        <v>0</v>
      </c>
      <c r="AE211">
        <v>36</v>
      </c>
      <c r="AF211">
        <v>1</v>
      </c>
    </row>
    <row r="212" spans="1:32" x14ac:dyDescent="0.3">
      <c r="A212" t="s">
        <v>117</v>
      </c>
      <c r="B212">
        <v>186</v>
      </c>
      <c r="C212">
        <v>5.7735849056603797E-2</v>
      </c>
      <c r="D212">
        <v>3.77358490566038E-2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39</v>
      </c>
      <c r="P212">
        <v>40</v>
      </c>
      <c r="Q212">
        <v>28</v>
      </c>
      <c r="R212">
        <v>34</v>
      </c>
      <c r="S212">
        <v>1.9987321686842801</v>
      </c>
      <c r="T212">
        <v>1.56015992969053</v>
      </c>
      <c r="U212">
        <v>1.2007173424128501</v>
      </c>
      <c r="V212">
        <v>0.89863031794165305</v>
      </c>
      <c r="W212">
        <v>183.44752023846499</v>
      </c>
      <c r="X212">
        <v>182.00863493993</v>
      </c>
      <c r="Y212">
        <v>180.829361359622</v>
      </c>
      <c r="Z212">
        <v>179.83826219797101</v>
      </c>
      <c r="AA212">
        <v>0</v>
      </c>
      <c r="AB212">
        <v>1</v>
      </c>
      <c r="AC212">
        <v>0</v>
      </c>
      <c r="AD212">
        <v>0</v>
      </c>
      <c r="AE212">
        <v>15</v>
      </c>
      <c r="AF212">
        <v>1</v>
      </c>
    </row>
    <row r="213" spans="1:32" x14ac:dyDescent="0.3">
      <c r="A213" t="s">
        <v>101</v>
      </c>
      <c r="B213">
        <v>282</v>
      </c>
      <c r="C213">
        <v>9.6673455532926E-2</v>
      </c>
      <c r="D213">
        <v>0.31785471826204997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1</v>
      </c>
      <c r="L213">
        <v>0</v>
      </c>
      <c r="M213">
        <v>0.03</v>
      </c>
      <c r="N213">
        <v>0</v>
      </c>
      <c r="O213">
        <v>39</v>
      </c>
      <c r="P213">
        <v>27</v>
      </c>
      <c r="Q213">
        <v>22</v>
      </c>
      <c r="R213">
        <v>19</v>
      </c>
      <c r="S213">
        <v>3.15149123480525</v>
      </c>
      <c r="T213">
        <v>2.1575916763177401</v>
      </c>
      <c r="U213">
        <v>2.0829988656907701</v>
      </c>
      <c r="V213">
        <v>1.62145500490676</v>
      </c>
      <c r="W213">
        <v>182.979538171933</v>
      </c>
      <c r="X213">
        <v>179.71871284881101</v>
      </c>
      <c r="Y213">
        <v>179.473985779825</v>
      </c>
      <c r="Z213">
        <v>177.959734268067</v>
      </c>
      <c r="AA213">
        <v>0</v>
      </c>
      <c r="AB213">
        <v>0</v>
      </c>
      <c r="AC213">
        <v>1</v>
      </c>
      <c r="AD213">
        <v>0</v>
      </c>
      <c r="AE213">
        <v>36</v>
      </c>
      <c r="AF213">
        <v>1</v>
      </c>
    </row>
    <row r="214" spans="1:32" x14ac:dyDescent="0.3">
      <c r="A214" t="s">
        <v>117</v>
      </c>
      <c r="B214">
        <v>298</v>
      </c>
      <c r="C214">
        <v>6.5987780040733204E-2</v>
      </c>
      <c r="D214">
        <v>3.9646978954514599E-2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39</v>
      </c>
      <c r="P214">
        <v>44</v>
      </c>
      <c r="Q214">
        <v>22</v>
      </c>
      <c r="R214">
        <v>24</v>
      </c>
      <c r="S214">
        <v>3.3103495882328602</v>
      </c>
      <c r="T214">
        <v>3.30917813816807</v>
      </c>
      <c r="U214">
        <v>2.4686014398962599</v>
      </c>
      <c r="V214">
        <v>2.1548792413867601</v>
      </c>
      <c r="W214">
        <v>183.50072699551501</v>
      </c>
      <c r="X214">
        <v>183.496883655407</v>
      </c>
      <c r="Y214">
        <v>180.739086088899</v>
      </c>
      <c r="Z214">
        <v>179.709813784077</v>
      </c>
      <c r="AA214">
        <v>0</v>
      </c>
      <c r="AB214">
        <v>0</v>
      </c>
      <c r="AC214">
        <v>1</v>
      </c>
      <c r="AD214">
        <v>0</v>
      </c>
      <c r="AE214">
        <v>41</v>
      </c>
      <c r="AF214">
        <v>1</v>
      </c>
    </row>
    <row r="215" spans="1:32" x14ac:dyDescent="0.3">
      <c r="A215" t="s">
        <v>12</v>
      </c>
      <c r="B215">
        <v>4</v>
      </c>
      <c r="C215">
        <v>0.33658310120705698</v>
      </c>
      <c r="D215">
        <v>0.24001857010213601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34</v>
      </c>
      <c r="P215">
        <v>27</v>
      </c>
      <c r="Q215">
        <v>11</v>
      </c>
      <c r="R215">
        <v>5</v>
      </c>
      <c r="S215">
        <v>0.88979821628513101</v>
      </c>
      <c r="T215">
        <v>1.1302414586262799</v>
      </c>
      <c r="U215">
        <v>0.22739874834516699</v>
      </c>
      <c r="V215">
        <v>0.83694376931608205</v>
      </c>
      <c r="W215">
        <v>182.02928548649999</v>
      </c>
      <c r="X215">
        <v>182.81814126845899</v>
      </c>
      <c r="Y215">
        <v>179.856058885647</v>
      </c>
      <c r="Z215">
        <v>181.85587850825499</v>
      </c>
      <c r="AA215">
        <v>1</v>
      </c>
      <c r="AB215">
        <v>0</v>
      </c>
      <c r="AC215">
        <v>0</v>
      </c>
      <c r="AD215">
        <v>0</v>
      </c>
      <c r="AE215">
        <v>91</v>
      </c>
      <c r="AF215">
        <v>1</v>
      </c>
    </row>
    <row r="216" spans="1:32" x14ac:dyDescent="0.3">
      <c r="A216" t="s">
        <v>16</v>
      </c>
      <c r="B216">
        <v>8</v>
      </c>
      <c r="C216">
        <v>7.6601671309192196E-2</v>
      </c>
      <c r="D216">
        <v>6.9637883008356605E-2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0.34649999999999997</v>
      </c>
      <c r="N216">
        <v>0</v>
      </c>
      <c r="O216">
        <v>33</v>
      </c>
      <c r="P216">
        <v>34</v>
      </c>
      <c r="Q216">
        <v>25</v>
      </c>
      <c r="R216">
        <v>20</v>
      </c>
      <c r="S216">
        <v>1.2347750146826599</v>
      </c>
      <c r="T216">
        <v>1.00341565307527</v>
      </c>
      <c r="U216">
        <v>0.189081967370964</v>
      </c>
      <c r="V216">
        <v>5.16141025679255E-2</v>
      </c>
      <c r="W216">
        <v>183.16109912953601</v>
      </c>
      <c r="X216">
        <v>182.40204610589001</v>
      </c>
      <c r="Y216">
        <v>179.73034766197799</v>
      </c>
      <c r="Z216">
        <v>179.27933760684999</v>
      </c>
      <c r="AA216">
        <v>1</v>
      </c>
      <c r="AB216">
        <v>0</v>
      </c>
      <c r="AC216">
        <v>0</v>
      </c>
      <c r="AD216">
        <v>0</v>
      </c>
      <c r="AE216">
        <v>4</v>
      </c>
      <c r="AF216">
        <v>1</v>
      </c>
    </row>
    <row r="217" spans="1:32" x14ac:dyDescent="0.3">
      <c r="A217" t="s">
        <v>20</v>
      </c>
      <c r="B217">
        <v>12</v>
      </c>
      <c r="C217">
        <v>7.7994428969359306E-2</v>
      </c>
      <c r="D217">
        <v>0.33658310120705698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0.33950000000000002</v>
      </c>
      <c r="N217">
        <v>1.0500000000000001E-2</v>
      </c>
      <c r="O217">
        <v>13</v>
      </c>
      <c r="P217">
        <v>21</v>
      </c>
      <c r="Q217">
        <v>12</v>
      </c>
      <c r="R217">
        <v>19</v>
      </c>
      <c r="S217">
        <v>1.12676051444211</v>
      </c>
      <c r="T217">
        <v>0.53789708941633896</v>
      </c>
      <c r="U217">
        <v>1.0715571998335101</v>
      </c>
      <c r="V217">
        <v>0.41650190461176601</v>
      </c>
      <c r="W217">
        <v>182.806720847907</v>
      </c>
      <c r="X217">
        <v>180.87475423036901</v>
      </c>
      <c r="Y217">
        <v>182.62560761100201</v>
      </c>
      <c r="Z217">
        <v>180.47647606499899</v>
      </c>
      <c r="AA217">
        <v>1</v>
      </c>
      <c r="AB217">
        <v>0</v>
      </c>
      <c r="AC217">
        <v>0</v>
      </c>
      <c r="AD217">
        <v>0</v>
      </c>
      <c r="AE217">
        <v>2</v>
      </c>
      <c r="AF217">
        <v>1</v>
      </c>
    </row>
    <row r="218" spans="1:32" x14ac:dyDescent="0.3">
      <c r="A218" t="s">
        <v>41</v>
      </c>
      <c r="B218">
        <v>32</v>
      </c>
      <c r="C218">
        <v>3.3426183844011102E-2</v>
      </c>
      <c r="D218">
        <v>7.7994428969359306E-2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0.49</v>
      </c>
      <c r="O218">
        <v>31</v>
      </c>
      <c r="P218">
        <v>37</v>
      </c>
      <c r="Q218">
        <v>17</v>
      </c>
      <c r="R218">
        <v>19</v>
      </c>
      <c r="S218">
        <v>1.9915877555875701</v>
      </c>
      <c r="T218">
        <v>1.8616952674513101</v>
      </c>
      <c r="U218">
        <v>1.7449295957795401</v>
      </c>
      <c r="V218">
        <v>1.0396119597326601</v>
      </c>
      <c r="W218">
        <v>185.64408056295099</v>
      </c>
      <c r="X218">
        <v>185.21792410581099</v>
      </c>
      <c r="Y218">
        <v>184.83483463182301</v>
      </c>
      <c r="Z218">
        <v>182.52080039282399</v>
      </c>
      <c r="AA218">
        <v>1</v>
      </c>
      <c r="AB218">
        <v>0</v>
      </c>
      <c r="AC218">
        <v>0</v>
      </c>
      <c r="AD218">
        <v>0</v>
      </c>
      <c r="AE218">
        <v>3</v>
      </c>
      <c r="AF218">
        <v>1</v>
      </c>
    </row>
    <row r="219" spans="1:32" x14ac:dyDescent="0.3">
      <c r="A219" t="s">
        <v>22</v>
      </c>
      <c r="B219">
        <v>100</v>
      </c>
      <c r="C219">
        <v>5.7735849056603797E-2</v>
      </c>
      <c r="D219">
        <v>3.77358490566038E-2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1.7500000000000002E-2</v>
      </c>
      <c r="N219">
        <v>1.379</v>
      </c>
      <c r="O219">
        <v>20</v>
      </c>
      <c r="P219">
        <v>13</v>
      </c>
      <c r="Q219">
        <v>20</v>
      </c>
      <c r="R219">
        <v>12</v>
      </c>
      <c r="S219">
        <v>2.1996296697798399</v>
      </c>
      <c r="T219">
        <v>2.45898669024663</v>
      </c>
      <c r="U219">
        <v>2.1996296697798399</v>
      </c>
      <c r="V219">
        <v>2.3475998292466702</v>
      </c>
      <c r="W219">
        <v>184.10663277486799</v>
      </c>
      <c r="X219">
        <v>184.957541634667</v>
      </c>
      <c r="Y219">
        <v>184.10663277486799</v>
      </c>
      <c r="Z219">
        <v>184.592099177318</v>
      </c>
      <c r="AA219">
        <v>0</v>
      </c>
      <c r="AB219">
        <v>1</v>
      </c>
      <c r="AC219">
        <v>0</v>
      </c>
      <c r="AD219">
        <v>0</v>
      </c>
      <c r="AE219">
        <v>1</v>
      </c>
      <c r="AF219">
        <v>1</v>
      </c>
    </row>
    <row r="220" spans="1:32" x14ac:dyDescent="0.3">
      <c r="A220" t="s">
        <v>42</v>
      </c>
      <c r="B220">
        <v>336</v>
      </c>
      <c r="C220">
        <v>6.6776813988709896E-2</v>
      </c>
      <c r="D220">
        <v>4.0066088393225903E-2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0.15049999999999999</v>
      </c>
      <c r="N220">
        <v>0</v>
      </c>
      <c r="O220">
        <v>30</v>
      </c>
      <c r="P220">
        <v>31</v>
      </c>
      <c r="Q220">
        <v>17</v>
      </c>
      <c r="R220">
        <v>21</v>
      </c>
      <c r="S220">
        <v>3.5869428496788398</v>
      </c>
      <c r="T220">
        <v>3.5764898605134099</v>
      </c>
      <c r="U220">
        <v>3.2770335588727999</v>
      </c>
      <c r="V220">
        <v>3.0912602877512398</v>
      </c>
      <c r="W220">
        <v>184.468185202358</v>
      </c>
      <c r="X220">
        <v>184.433890618482</v>
      </c>
      <c r="Y220">
        <v>183.451422437247</v>
      </c>
      <c r="Z220">
        <v>182.84193007792399</v>
      </c>
      <c r="AA220">
        <v>0</v>
      </c>
      <c r="AB220">
        <v>0</v>
      </c>
      <c r="AC220">
        <v>0</v>
      </c>
      <c r="AD220">
        <v>1</v>
      </c>
      <c r="AE220">
        <v>15</v>
      </c>
      <c r="AF220">
        <v>1</v>
      </c>
    </row>
    <row r="221" spans="1:32" x14ac:dyDescent="0.3">
      <c r="A221" t="s">
        <v>102</v>
      </c>
      <c r="B221">
        <v>396</v>
      </c>
      <c r="C221">
        <v>4.0066088393225903E-2</v>
      </c>
      <c r="D221">
        <v>9.7067327550598895E-2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0.03</v>
      </c>
      <c r="O221">
        <v>27</v>
      </c>
      <c r="P221">
        <v>40</v>
      </c>
      <c r="Q221">
        <v>27</v>
      </c>
      <c r="R221">
        <v>22</v>
      </c>
      <c r="S221">
        <v>3.4546419173882001</v>
      </c>
      <c r="T221">
        <v>3.1856778382319302</v>
      </c>
      <c r="U221">
        <v>3.4546419173882001</v>
      </c>
      <c r="V221">
        <v>2.1220274728302302</v>
      </c>
      <c r="W221">
        <v>184.03412702555201</v>
      </c>
      <c r="X221">
        <v>183.15169894433001</v>
      </c>
      <c r="Y221">
        <v>184.03412702555201</v>
      </c>
      <c r="Z221">
        <v>179.66203239117499</v>
      </c>
      <c r="AA221">
        <v>0</v>
      </c>
      <c r="AB221">
        <v>0</v>
      </c>
      <c r="AC221">
        <v>0</v>
      </c>
      <c r="AD221">
        <v>1</v>
      </c>
      <c r="AE221">
        <v>1</v>
      </c>
      <c r="AF221">
        <v>1</v>
      </c>
    </row>
    <row r="222" spans="1:32" x14ac:dyDescent="0.3">
      <c r="A222" t="s">
        <v>10</v>
      </c>
      <c r="B222">
        <v>2</v>
      </c>
      <c r="C222">
        <v>0.16573816155988899</v>
      </c>
      <c r="D222">
        <v>7.6601671309192196E-2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26</v>
      </c>
      <c r="P222">
        <v>25</v>
      </c>
      <c r="Q222">
        <v>12</v>
      </c>
      <c r="R222">
        <v>15</v>
      </c>
      <c r="S222">
        <v>1.4330244944378401</v>
      </c>
      <c r="T222">
        <v>1.46109776387834</v>
      </c>
      <c r="U222">
        <v>0.60717462934008104</v>
      </c>
      <c r="V222">
        <v>1.10867440613719</v>
      </c>
      <c r="W222">
        <v>183.81152393188299</v>
      </c>
      <c r="X222">
        <v>183.903627834247</v>
      </c>
      <c r="Y222">
        <v>181.10204274717901</v>
      </c>
      <c r="Z222">
        <v>182.74738322223499</v>
      </c>
      <c r="AA222">
        <v>1</v>
      </c>
      <c r="AB222">
        <v>0</v>
      </c>
      <c r="AC222">
        <v>0</v>
      </c>
      <c r="AD222">
        <v>0</v>
      </c>
      <c r="AE222">
        <v>15</v>
      </c>
      <c r="AF222">
        <v>2</v>
      </c>
    </row>
    <row r="223" spans="1:32" x14ac:dyDescent="0.3">
      <c r="A223" t="s">
        <v>14</v>
      </c>
      <c r="B223">
        <v>6</v>
      </c>
      <c r="C223">
        <v>3.3426183844011102E-2</v>
      </c>
      <c r="D223">
        <v>7.7994428969359306E-2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28</v>
      </c>
      <c r="P223">
        <v>35</v>
      </c>
      <c r="Q223">
        <v>21</v>
      </c>
      <c r="R223">
        <v>13</v>
      </c>
      <c r="S223">
        <v>1.11544632991407</v>
      </c>
      <c r="T223">
        <v>1.0997634732338599</v>
      </c>
      <c r="U223">
        <v>0.66619292727184498</v>
      </c>
      <c r="V223">
        <v>0.90591695721156695</v>
      </c>
      <c r="W223">
        <v>182.769600819928</v>
      </c>
      <c r="X223">
        <v>182.718147878064</v>
      </c>
      <c r="Y223">
        <v>181.295672333569</v>
      </c>
      <c r="Z223">
        <v>182.08216849478899</v>
      </c>
      <c r="AA223">
        <v>1</v>
      </c>
      <c r="AB223">
        <v>0</v>
      </c>
      <c r="AC223">
        <v>0</v>
      </c>
      <c r="AD223">
        <v>0</v>
      </c>
      <c r="AE223">
        <v>5</v>
      </c>
      <c r="AF223">
        <v>2</v>
      </c>
    </row>
    <row r="224" spans="1:32" x14ac:dyDescent="0.3">
      <c r="A224" t="s">
        <v>18</v>
      </c>
      <c r="B224">
        <v>10</v>
      </c>
      <c r="C224">
        <v>0.24001857010213601</v>
      </c>
      <c r="D224">
        <v>0.16573816155988899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9.8000000000000004E-2</v>
      </c>
      <c r="O224">
        <v>34</v>
      </c>
      <c r="P224">
        <v>35</v>
      </c>
      <c r="Q224">
        <v>16</v>
      </c>
      <c r="R224">
        <v>17</v>
      </c>
      <c r="S224">
        <v>1.35088379284124</v>
      </c>
      <c r="T224">
        <v>1.58057554479587</v>
      </c>
      <c r="U224">
        <v>0.42943140815138697</v>
      </c>
      <c r="V224">
        <v>0.48919333558950301</v>
      </c>
      <c r="W224">
        <v>183.54203344108001</v>
      </c>
      <c r="X224">
        <v>184.29561530444801</v>
      </c>
      <c r="Y224">
        <v>180.518895696035</v>
      </c>
      <c r="Z224">
        <v>180.714965011777</v>
      </c>
      <c r="AA224">
        <v>1</v>
      </c>
      <c r="AB224">
        <v>0</v>
      </c>
      <c r="AC224">
        <v>0</v>
      </c>
      <c r="AD224">
        <v>0</v>
      </c>
      <c r="AE224">
        <v>67</v>
      </c>
      <c r="AF224">
        <v>2</v>
      </c>
    </row>
    <row r="225" spans="1:32" x14ac:dyDescent="0.3">
      <c r="A225" t="s">
        <v>24</v>
      </c>
      <c r="B225">
        <v>14</v>
      </c>
      <c r="C225">
        <v>0.16573816155988899</v>
      </c>
      <c r="D225">
        <v>7.6601671309192196E-2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29</v>
      </c>
      <c r="P225">
        <v>31</v>
      </c>
      <c r="Q225">
        <v>13</v>
      </c>
      <c r="R225">
        <v>14</v>
      </c>
      <c r="S225">
        <v>1.45281076829636</v>
      </c>
      <c r="T225">
        <v>1.6152438725357301</v>
      </c>
      <c r="U225">
        <v>0.99969079094447399</v>
      </c>
      <c r="V225">
        <v>1.1609038556325799</v>
      </c>
      <c r="W225">
        <v>183.87643952853099</v>
      </c>
      <c r="X225">
        <v>184.409356537191</v>
      </c>
      <c r="Y225">
        <v>182.38982542960801</v>
      </c>
      <c r="Z225">
        <v>182.91873968383399</v>
      </c>
      <c r="AA225">
        <v>1</v>
      </c>
      <c r="AB225">
        <v>0</v>
      </c>
      <c r="AC225">
        <v>0</v>
      </c>
      <c r="AD225">
        <v>0</v>
      </c>
      <c r="AE225">
        <v>8</v>
      </c>
      <c r="AF225">
        <v>2</v>
      </c>
    </row>
    <row r="226" spans="1:32" x14ac:dyDescent="0.3">
      <c r="A226" t="s">
        <v>28</v>
      </c>
      <c r="B226">
        <v>18</v>
      </c>
      <c r="C226">
        <v>3.3426183844011102E-2</v>
      </c>
      <c r="D226">
        <v>7.7994428969359306E-2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0.434</v>
      </c>
      <c r="N226">
        <v>0</v>
      </c>
      <c r="O226">
        <v>26</v>
      </c>
      <c r="P226">
        <v>24</v>
      </c>
      <c r="Q226">
        <v>17</v>
      </c>
      <c r="R226">
        <v>17</v>
      </c>
      <c r="S226">
        <v>1.1898860902813</v>
      </c>
      <c r="T226">
        <v>1.4435272017534599</v>
      </c>
      <c r="U226">
        <v>0.56560091923872602</v>
      </c>
      <c r="V226">
        <v>1.02429143850154</v>
      </c>
      <c r="W226">
        <v>183.013825755516</v>
      </c>
      <c r="X226">
        <v>183.84598163304901</v>
      </c>
      <c r="Y226">
        <v>180.965646060495</v>
      </c>
      <c r="Z226">
        <v>182.470536215556</v>
      </c>
      <c r="AA226">
        <v>1</v>
      </c>
      <c r="AB226">
        <v>0</v>
      </c>
      <c r="AC226">
        <v>0</v>
      </c>
      <c r="AD226">
        <v>0</v>
      </c>
      <c r="AE226">
        <v>5</v>
      </c>
      <c r="AF226">
        <v>2</v>
      </c>
    </row>
    <row r="227" spans="1:32" x14ac:dyDescent="0.3">
      <c r="A227" t="s">
        <v>32</v>
      </c>
      <c r="B227">
        <v>22</v>
      </c>
      <c r="C227">
        <v>0.24001857010213601</v>
      </c>
      <c r="D227">
        <v>0.16573816155988899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0.27650000000000002</v>
      </c>
      <c r="N227">
        <v>0</v>
      </c>
      <c r="O227">
        <v>40</v>
      </c>
      <c r="P227">
        <v>36</v>
      </c>
      <c r="Q227">
        <v>20</v>
      </c>
      <c r="R227">
        <v>17</v>
      </c>
      <c r="S227">
        <v>1.2701376382113101</v>
      </c>
      <c r="T227">
        <v>1.6033024944065599</v>
      </c>
      <c r="U227">
        <v>1.0655359495032599</v>
      </c>
      <c r="V227">
        <v>1.12826314570643</v>
      </c>
      <c r="W227">
        <v>183.27711823560099</v>
      </c>
      <c r="X227">
        <v>184.37017878742299</v>
      </c>
      <c r="Y227">
        <v>182.60585285270099</v>
      </c>
      <c r="Z227">
        <v>182.81165074050699</v>
      </c>
      <c r="AA227">
        <v>1</v>
      </c>
      <c r="AB227">
        <v>0</v>
      </c>
      <c r="AC227">
        <v>0</v>
      </c>
      <c r="AD227">
        <v>0</v>
      </c>
      <c r="AE227">
        <v>56</v>
      </c>
      <c r="AF227">
        <v>2</v>
      </c>
    </row>
    <row r="228" spans="1:32" x14ac:dyDescent="0.3">
      <c r="A228" t="s">
        <v>35</v>
      </c>
      <c r="B228">
        <v>26</v>
      </c>
      <c r="C228">
        <v>6.9637883008356605E-2</v>
      </c>
      <c r="D228">
        <v>3.3426183844011102E-2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0.47249999999999998</v>
      </c>
      <c r="O228">
        <v>30</v>
      </c>
      <c r="P228">
        <v>20</v>
      </c>
      <c r="Q228">
        <v>15</v>
      </c>
      <c r="R228">
        <v>20</v>
      </c>
      <c r="S228">
        <v>1.1164949957674</v>
      </c>
      <c r="T228">
        <v>1.36011053945192</v>
      </c>
      <c r="U228">
        <v>0.91132237164234797</v>
      </c>
      <c r="V228">
        <v>1.3600918907884101</v>
      </c>
      <c r="W228">
        <v>182.77304132469601</v>
      </c>
      <c r="X228">
        <v>183.572304919462</v>
      </c>
      <c r="Y228">
        <v>182.09990279410201</v>
      </c>
      <c r="Z228">
        <v>183.572243736182</v>
      </c>
      <c r="AA228">
        <v>1</v>
      </c>
      <c r="AB228">
        <v>0</v>
      </c>
      <c r="AC228">
        <v>0</v>
      </c>
      <c r="AD228">
        <v>0</v>
      </c>
      <c r="AE228">
        <v>22</v>
      </c>
      <c r="AF228">
        <v>2</v>
      </c>
    </row>
    <row r="229" spans="1:32" x14ac:dyDescent="0.3">
      <c r="A229" t="s">
        <v>39</v>
      </c>
      <c r="B229">
        <v>30</v>
      </c>
      <c r="C229">
        <v>0.33658310120705698</v>
      </c>
      <c r="D229">
        <v>0.24001857010213601</v>
      </c>
      <c r="E229">
        <v>0</v>
      </c>
      <c r="F229">
        <v>0</v>
      </c>
      <c r="G229">
        <v>0</v>
      </c>
      <c r="H229">
        <v>1</v>
      </c>
      <c r="I229">
        <v>0</v>
      </c>
      <c r="J229">
        <v>0</v>
      </c>
      <c r="K229">
        <v>0</v>
      </c>
      <c r="L229">
        <v>1</v>
      </c>
      <c r="M229">
        <v>0.44450000000000001</v>
      </c>
      <c r="N229">
        <v>0</v>
      </c>
      <c r="O229">
        <v>38</v>
      </c>
      <c r="P229">
        <v>30</v>
      </c>
      <c r="Q229">
        <v>21</v>
      </c>
      <c r="R229">
        <v>9</v>
      </c>
      <c r="S229">
        <v>1.4518828598565701</v>
      </c>
      <c r="T229">
        <v>1.0005204335343401</v>
      </c>
      <c r="U229">
        <v>0.90571434559014397</v>
      </c>
      <c r="V229">
        <v>0.54651804076210198</v>
      </c>
      <c r="W229">
        <v>183.873395209503</v>
      </c>
      <c r="X229">
        <v>182.39254735411501</v>
      </c>
      <c r="Y229">
        <v>182.081503758498</v>
      </c>
      <c r="Z229">
        <v>180.90303819147701</v>
      </c>
      <c r="AA229">
        <v>1</v>
      </c>
      <c r="AB229">
        <v>0</v>
      </c>
      <c r="AC229">
        <v>0</v>
      </c>
      <c r="AD229">
        <v>0</v>
      </c>
      <c r="AE229">
        <v>10</v>
      </c>
      <c r="AF229">
        <v>2</v>
      </c>
    </row>
    <row r="230" spans="1:32" x14ac:dyDescent="0.3">
      <c r="A230" t="s">
        <v>45</v>
      </c>
      <c r="B230">
        <v>34</v>
      </c>
      <c r="C230">
        <v>0.24001857010213601</v>
      </c>
      <c r="D230">
        <v>0.16573816155988899</v>
      </c>
      <c r="E230">
        <v>0</v>
      </c>
      <c r="F230">
        <v>0</v>
      </c>
      <c r="G230">
        <v>0</v>
      </c>
      <c r="H230">
        <v>0</v>
      </c>
      <c r="I230">
        <v>1</v>
      </c>
      <c r="J230">
        <v>0</v>
      </c>
      <c r="K230">
        <v>1</v>
      </c>
      <c r="L230">
        <v>0</v>
      </c>
      <c r="M230">
        <v>0</v>
      </c>
      <c r="N230">
        <v>3.5000000000000003E-2</v>
      </c>
      <c r="O230">
        <v>27</v>
      </c>
      <c r="P230">
        <v>37</v>
      </c>
      <c r="Q230">
        <v>13</v>
      </c>
      <c r="R230">
        <v>16</v>
      </c>
      <c r="S230">
        <v>1.1043571543261399</v>
      </c>
      <c r="T230">
        <v>1.8541982139275299</v>
      </c>
      <c r="U230">
        <v>0.86247379749714004</v>
      </c>
      <c r="V230">
        <v>1.3700134820286101</v>
      </c>
      <c r="W230">
        <v>182.73321901025599</v>
      </c>
      <c r="X230">
        <v>185.19332747351601</v>
      </c>
      <c r="Y230">
        <v>181.93963844323201</v>
      </c>
      <c r="Z230">
        <v>183.604794888545</v>
      </c>
      <c r="AA230">
        <v>1</v>
      </c>
      <c r="AB230">
        <v>0</v>
      </c>
      <c r="AC230">
        <v>0</v>
      </c>
      <c r="AD230">
        <v>0</v>
      </c>
      <c r="AE230">
        <v>32</v>
      </c>
      <c r="AF230">
        <v>2</v>
      </c>
    </row>
    <row r="231" spans="1:32" x14ac:dyDescent="0.3">
      <c r="A231" t="s">
        <v>51</v>
      </c>
      <c r="B231">
        <v>38</v>
      </c>
      <c r="C231">
        <v>0.16573816155988899</v>
      </c>
      <c r="D231">
        <v>7.6601671309192196E-2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0.38150000000000001</v>
      </c>
      <c r="O231">
        <v>37</v>
      </c>
      <c r="P231">
        <v>32</v>
      </c>
      <c r="Q231">
        <v>18</v>
      </c>
      <c r="R231">
        <v>26</v>
      </c>
      <c r="S231">
        <v>1.7758684444796899</v>
      </c>
      <c r="T231">
        <v>1.9229529958736</v>
      </c>
      <c r="U231">
        <v>1.6295260162221601</v>
      </c>
      <c r="V231">
        <v>1.7865930255187901</v>
      </c>
      <c r="W231">
        <v>184.936340040944</v>
      </c>
      <c r="X231">
        <v>185.41890090509699</v>
      </c>
      <c r="Y231">
        <v>184.456213963984</v>
      </c>
      <c r="Z231">
        <v>184.97152567427401</v>
      </c>
      <c r="AA231">
        <v>1</v>
      </c>
      <c r="AB231">
        <v>0</v>
      </c>
      <c r="AC231">
        <v>0</v>
      </c>
      <c r="AD231">
        <v>0</v>
      </c>
      <c r="AE231">
        <v>59</v>
      </c>
      <c r="AF231">
        <v>2</v>
      </c>
    </row>
    <row r="232" spans="1:32" x14ac:dyDescent="0.3">
      <c r="A232" t="s">
        <v>55</v>
      </c>
      <c r="B232">
        <v>42</v>
      </c>
      <c r="C232">
        <v>3.3426183844011102E-2</v>
      </c>
      <c r="D232">
        <v>7.7994428969359306E-2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29</v>
      </c>
      <c r="P232">
        <v>36</v>
      </c>
      <c r="Q232">
        <v>24</v>
      </c>
      <c r="R232">
        <v>16</v>
      </c>
      <c r="S232">
        <v>1.06570678728322</v>
      </c>
      <c r="T232">
        <v>1.7270687225079899</v>
      </c>
      <c r="U232">
        <v>0.653831153290925</v>
      </c>
      <c r="V232">
        <v>0.67802143162939998</v>
      </c>
      <c r="W232">
        <v>182.60641334410499</v>
      </c>
      <c r="X232">
        <v>184.776235966234</v>
      </c>
      <c r="Y232">
        <v>181.25511533231901</v>
      </c>
      <c r="Z232">
        <v>181.334479762564</v>
      </c>
      <c r="AA232">
        <v>1</v>
      </c>
      <c r="AB232">
        <v>0</v>
      </c>
      <c r="AC232">
        <v>0</v>
      </c>
      <c r="AD232">
        <v>0</v>
      </c>
      <c r="AE232">
        <v>5</v>
      </c>
      <c r="AF232">
        <v>2</v>
      </c>
    </row>
    <row r="233" spans="1:32" x14ac:dyDescent="0.3">
      <c r="A233" t="s">
        <v>59</v>
      </c>
      <c r="B233">
        <v>46</v>
      </c>
      <c r="C233">
        <v>0.24001857010213601</v>
      </c>
      <c r="D233">
        <v>0.16573816155988899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1.5645</v>
      </c>
      <c r="O233">
        <v>40</v>
      </c>
      <c r="P233">
        <v>39</v>
      </c>
      <c r="Q233">
        <v>20</v>
      </c>
      <c r="R233">
        <v>19</v>
      </c>
      <c r="S233">
        <v>0.92507227666570202</v>
      </c>
      <c r="T233">
        <v>1.05930615117237</v>
      </c>
      <c r="U233">
        <v>0.104011550057409</v>
      </c>
      <c r="V233">
        <v>0.55819365868748105</v>
      </c>
      <c r="W233">
        <v>182.14501403105501</v>
      </c>
      <c r="X233">
        <v>182.58541388179901</v>
      </c>
      <c r="Y233">
        <v>179.451245242971</v>
      </c>
      <c r="Z233">
        <v>180.94134402456501</v>
      </c>
      <c r="AA233">
        <v>1</v>
      </c>
      <c r="AB233">
        <v>0</v>
      </c>
      <c r="AC233">
        <v>0</v>
      </c>
      <c r="AD233">
        <v>0</v>
      </c>
      <c r="AE233">
        <v>59</v>
      </c>
      <c r="AF233">
        <v>2</v>
      </c>
    </row>
    <row r="234" spans="1:32" x14ac:dyDescent="0.3">
      <c r="A234" t="s">
        <v>63</v>
      </c>
      <c r="B234">
        <v>50</v>
      </c>
      <c r="C234">
        <v>6.9637883008356605E-2</v>
      </c>
      <c r="D234">
        <v>3.3426183844011102E-2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0.42699999999999999</v>
      </c>
      <c r="N234">
        <v>7.0000000000000007E-2</v>
      </c>
      <c r="O234">
        <v>34</v>
      </c>
      <c r="P234">
        <v>31</v>
      </c>
      <c r="Q234">
        <v>22</v>
      </c>
      <c r="R234">
        <v>23</v>
      </c>
      <c r="S234">
        <v>1.2297212535249999</v>
      </c>
      <c r="T234">
        <v>1.5356157011840901</v>
      </c>
      <c r="U234">
        <v>0.94294307694957102</v>
      </c>
      <c r="V234">
        <v>0.96605587213410005</v>
      </c>
      <c r="W234">
        <v>183.14451854831</v>
      </c>
      <c r="X234">
        <v>184.148109255853</v>
      </c>
      <c r="Y234">
        <v>182.20364526558299</v>
      </c>
      <c r="Z234">
        <v>182.27947464610901</v>
      </c>
      <c r="AA234">
        <v>1</v>
      </c>
      <c r="AB234">
        <v>0</v>
      </c>
      <c r="AC234">
        <v>0</v>
      </c>
      <c r="AD234">
        <v>0</v>
      </c>
      <c r="AE234">
        <v>7</v>
      </c>
      <c r="AF234">
        <v>2</v>
      </c>
    </row>
    <row r="235" spans="1:32" x14ac:dyDescent="0.3">
      <c r="A235" t="s">
        <v>67</v>
      </c>
      <c r="B235">
        <v>54</v>
      </c>
      <c r="C235">
        <v>0.33658310120705698</v>
      </c>
      <c r="D235">
        <v>0.24001857010213601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4.5499999999999999E-2</v>
      </c>
      <c r="N235">
        <v>8.0500000000000002E-2</v>
      </c>
      <c r="O235">
        <v>38</v>
      </c>
      <c r="P235">
        <v>30</v>
      </c>
      <c r="Q235">
        <v>23</v>
      </c>
      <c r="R235">
        <v>19</v>
      </c>
      <c r="S235">
        <v>1.22940946737196</v>
      </c>
      <c r="T235">
        <v>0.89459096414813399</v>
      </c>
      <c r="U235">
        <v>0.61996922475604899</v>
      </c>
      <c r="V235">
        <v>0.569777235692844</v>
      </c>
      <c r="W235">
        <v>183.143495627861</v>
      </c>
      <c r="X235">
        <v>182.04500972489501</v>
      </c>
      <c r="Y235">
        <v>181.14401976625999</v>
      </c>
      <c r="Z235">
        <v>180.97934788613099</v>
      </c>
      <c r="AA235">
        <v>1</v>
      </c>
      <c r="AB235">
        <v>0</v>
      </c>
      <c r="AC235">
        <v>0</v>
      </c>
      <c r="AD235">
        <v>0</v>
      </c>
      <c r="AE235">
        <v>76</v>
      </c>
      <c r="AF235">
        <v>2</v>
      </c>
    </row>
    <row r="236" spans="1:32" x14ac:dyDescent="0.3">
      <c r="A236" t="s">
        <v>71</v>
      </c>
      <c r="B236">
        <v>58</v>
      </c>
      <c r="C236">
        <v>7.6601671309192196E-2</v>
      </c>
      <c r="D236">
        <v>6.9637883008356605E-2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32</v>
      </c>
      <c r="P236">
        <v>32</v>
      </c>
      <c r="Q236">
        <v>18</v>
      </c>
      <c r="R236">
        <v>19</v>
      </c>
      <c r="S236">
        <v>1.07961241151261</v>
      </c>
      <c r="T236">
        <v>1.1614618249138999</v>
      </c>
      <c r="U236">
        <v>0.42664834281235697</v>
      </c>
      <c r="V236">
        <v>0.78467477577646605</v>
      </c>
      <c r="W236">
        <v>182.65203547084201</v>
      </c>
      <c r="X236">
        <v>182.92057029171201</v>
      </c>
      <c r="Y236">
        <v>180.50976490424</v>
      </c>
      <c r="Z236">
        <v>181.684392308978</v>
      </c>
      <c r="AA236">
        <v>1</v>
      </c>
      <c r="AB236">
        <v>0</v>
      </c>
      <c r="AC236">
        <v>0</v>
      </c>
      <c r="AD236">
        <v>0</v>
      </c>
      <c r="AE236">
        <v>22</v>
      </c>
      <c r="AF236">
        <v>2</v>
      </c>
    </row>
    <row r="237" spans="1:32" x14ac:dyDescent="0.3">
      <c r="A237" t="s">
        <v>75</v>
      </c>
      <c r="B237">
        <v>62</v>
      </c>
      <c r="C237">
        <v>7.7994428969359306E-2</v>
      </c>
      <c r="D237">
        <v>0.33658310120705698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1.0500000000000001E-2</v>
      </c>
      <c r="N237">
        <v>1.0500000000000001E-2</v>
      </c>
      <c r="O237">
        <v>31</v>
      </c>
      <c r="P237">
        <v>31</v>
      </c>
      <c r="Q237">
        <v>26</v>
      </c>
      <c r="R237">
        <v>20</v>
      </c>
      <c r="S237">
        <v>1.15011527678229</v>
      </c>
      <c r="T237">
        <v>0.950149823056467</v>
      </c>
      <c r="U237">
        <v>0.16782103665752399</v>
      </c>
      <c r="V237">
        <v>0.205693010200721</v>
      </c>
      <c r="W237">
        <v>182.88334408393101</v>
      </c>
      <c r="X237">
        <v>182.22728944572299</v>
      </c>
      <c r="Y237">
        <v>179.660593952288</v>
      </c>
      <c r="Z237">
        <v>179.78484583399199</v>
      </c>
      <c r="AA237">
        <v>1</v>
      </c>
      <c r="AB237">
        <v>0</v>
      </c>
      <c r="AC237">
        <v>0</v>
      </c>
      <c r="AD237">
        <v>0</v>
      </c>
      <c r="AE237">
        <v>9</v>
      </c>
      <c r="AF237">
        <v>2</v>
      </c>
    </row>
    <row r="238" spans="1:32" x14ac:dyDescent="0.3">
      <c r="A238" t="s">
        <v>81</v>
      </c>
      <c r="B238">
        <v>66</v>
      </c>
      <c r="C238">
        <v>0.33658310120705698</v>
      </c>
      <c r="D238">
        <v>0.24001857010213601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1.0500000000000001E-2</v>
      </c>
      <c r="N238">
        <v>0</v>
      </c>
      <c r="O238">
        <v>37</v>
      </c>
      <c r="P238">
        <v>38</v>
      </c>
      <c r="Q238">
        <v>14</v>
      </c>
      <c r="R238">
        <v>17</v>
      </c>
      <c r="S238">
        <v>1.0784028073298899</v>
      </c>
      <c r="T238">
        <v>1.2566452644374</v>
      </c>
      <c r="U238">
        <v>0.50399684368987696</v>
      </c>
      <c r="V238">
        <v>0.50380405916917004</v>
      </c>
      <c r="W238">
        <v>182.648066953182</v>
      </c>
      <c r="X238">
        <v>183.232851917446</v>
      </c>
      <c r="Y238">
        <v>180.763532951738</v>
      </c>
      <c r="Z238">
        <v>180.76290045659201</v>
      </c>
      <c r="AA238">
        <v>1</v>
      </c>
      <c r="AB238">
        <v>0</v>
      </c>
      <c r="AC238">
        <v>0</v>
      </c>
      <c r="AD238">
        <v>0</v>
      </c>
      <c r="AE238">
        <v>94</v>
      </c>
      <c r="AF238">
        <v>2</v>
      </c>
    </row>
    <row r="239" spans="1:32" x14ac:dyDescent="0.3">
      <c r="A239" t="s">
        <v>84</v>
      </c>
      <c r="B239">
        <v>70</v>
      </c>
      <c r="C239">
        <v>7.6601671309192196E-2</v>
      </c>
      <c r="D239">
        <v>6.9637883008356605E-2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0.80149999999999999</v>
      </c>
      <c r="O239">
        <v>32</v>
      </c>
      <c r="P239">
        <v>34</v>
      </c>
      <c r="Q239">
        <v>17</v>
      </c>
      <c r="R239">
        <v>27</v>
      </c>
      <c r="S239">
        <v>1.2049810345834999</v>
      </c>
      <c r="T239">
        <v>1.0534105923769499</v>
      </c>
      <c r="U239">
        <v>0.25229758133747199</v>
      </c>
      <c r="V239">
        <v>0.194150866314974</v>
      </c>
      <c r="W239">
        <v>183.06334985099599</v>
      </c>
      <c r="X239">
        <v>182.56607149729999</v>
      </c>
      <c r="Y239">
        <v>179.937747970267</v>
      </c>
      <c r="Z239">
        <v>179.746977907858</v>
      </c>
      <c r="AA239">
        <v>1</v>
      </c>
      <c r="AB239">
        <v>0</v>
      </c>
      <c r="AC239">
        <v>0</v>
      </c>
      <c r="AD239">
        <v>0</v>
      </c>
      <c r="AE239">
        <v>16</v>
      </c>
      <c r="AF239">
        <v>2</v>
      </c>
    </row>
    <row r="240" spans="1:32" x14ac:dyDescent="0.3">
      <c r="A240" t="s">
        <v>88</v>
      </c>
      <c r="B240">
        <v>74</v>
      </c>
      <c r="C240">
        <v>7.7994428969359306E-2</v>
      </c>
      <c r="D240">
        <v>0.33658310120705698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33</v>
      </c>
      <c r="P240">
        <v>39</v>
      </c>
      <c r="Q240">
        <v>15</v>
      </c>
      <c r="R240">
        <v>15</v>
      </c>
      <c r="S240">
        <v>1.2644336645562599</v>
      </c>
      <c r="T240">
        <v>0.88234303486902099</v>
      </c>
      <c r="U240">
        <v>0.46207201558118</v>
      </c>
      <c r="V240">
        <v>0.18668944776740301</v>
      </c>
      <c r="W240">
        <v>183.258404411274</v>
      </c>
      <c r="X240">
        <v>182.004826229885</v>
      </c>
      <c r="Y240">
        <v>180.62598430308799</v>
      </c>
      <c r="Z240">
        <v>179.722498188213</v>
      </c>
      <c r="AA240">
        <v>1</v>
      </c>
      <c r="AB240">
        <v>0</v>
      </c>
      <c r="AC240">
        <v>0</v>
      </c>
      <c r="AD240">
        <v>0</v>
      </c>
      <c r="AE240">
        <v>17</v>
      </c>
      <c r="AF240">
        <v>2</v>
      </c>
    </row>
    <row r="241" spans="1:32" x14ac:dyDescent="0.3">
      <c r="A241" t="s">
        <v>91</v>
      </c>
      <c r="B241">
        <v>78</v>
      </c>
      <c r="C241">
        <v>0.16573816155988899</v>
      </c>
      <c r="D241">
        <v>7.6601671309192196E-2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36</v>
      </c>
      <c r="P241">
        <v>36</v>
      </c>
      <c r="Q241">
        <v>14</v>
      </c>
      <c r="R241">
        <v>31</v>
      </c>
      <c r="S241">
        <v>1.10697647236103</v>
      </c>
      <c r="T241">
        <v>1.12758440675984</v>
      </c>
      <c r="U241">
        <v>0.22340126868353499</v>
      </c>
      <c r="V241">
        <v>0.56785699155879199</v>
      </c>
      <c r="W241">
        <v>182.74181257336301</v>
      </c>
      <c r="X241">
        <v>182.80942390669199</v>
      </c>
      <c r="Y241">
        <v>179.84294379489401</v>
      </c>
      <c r="Z241">
        <v>180.973047872568</v>
      </c>
      <c r="AA241">
        <v>1</v>
      </c>
      <c r="AB241">
        <v>0</v>
      </c>
      <c r="AC241">
        <v>0</v>
      </c>
      <c r="AD241">
        <v>0</v>
      </c>
      <c r="AE241">
        <v>10</v>
      </c>
      <c r="AF241">
        <v>2</v>
      </c>
    </row>
    <row r="242" spans="1:32" x14ac:dyDescent="0.3">
      <c r="A242" t="s">
        <v>101</v>
      </c>
      <c r="B242">
        <v>86</v>
      </c>
      <c r="C242">
        <v>7.7994428969359306E-2</v>
      </c>
      <c r="D242">
        <v>0.33658310120705698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1</v>
      </c>
      <c r="L242">
        <v>0</v>
      </c>
      <c r="M242">
        <v>0.03</v>
      </c>
      <c r="N242">
        <v>0</v>
      </c>
      <c r="O242">
        <v>34</v>
      </c>
      <c r="P242">
        <v>19</v>
      </c>
      <c r="Q242">
        <v>27</v>
      </c>
      <c r="R242">
        <v>19</v>
      </c>
      <c r="S242">
        <v>0.73778305761239804</v>
      </c>
      <c r="T242">
        <v>0.77478499775257503</v>
      </c>
      <c r="U242">
        <v>0.23554737138683501</v>
      </c>
      <c r="V242">
        <v>0.77478499775257503</v>
      </c>
      <c r="W242">
        <v>181.53054808927999</v>
      </c>
      <c r="X242">
        <v>181.651945530684</v>
      </c>
      <c r="Y242">
        <v>179.88279321321099</v>
      </c>
      <c r="Z242">
        <v>181.651945530684</v>
      </c>
      <c r="AA242">
        <v>1</v>
      </c>
      <c r="AB242">
        <v>0</v>
      </c>
      <c r="AC242">
        <v>0</v>
      </c>
      <c r="AD242">
        <v>0</v>
      </c>
      <c r="AE242">
        <v>4</v>
      </c>
      <c r="AF242">
        <v>2</v>
      </c>
    </row>
    <row r="243" spans="1:32" x14ac:dyDescent="0.3">
      <c r="A243" t="s">
        <v>10</v>
      </c>
      <c r="B243">
        <v>90</v>
      </c>
      <c r="C243">
        <v>0.13018867924528299</v>
      </c>
      <c r="D243">
        <v>6.2641509433962295E-2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0</v>
      </c>
      <c r="O243">
        <v>28</v>
      </c>
      <c r="P243">
        <v>22</v>
      </c>
      <c r="Q243">
        <v>13</v>
      </c>
      <c r="R243">
        <v>21</v>
      </c>
      <c r="S243">
        <v>2.0229406676105901</v>
      </c>
      <c r="T243">
        <v>1.63786136599534</v>
      </c>
      <c r="U243">
        <v>1.1869011379277301</v>
      </c>
      <c r="V243">
        <v>1.5205810785713301</v>
      </c>
      <c r="W243">
        <v>183.52694444754101</v>
      </c>
      <c r="X243">
        <v>182.26356091205801</v>
      </c>
      <c r="Y243">
        <v>180.78403260475</v>
      </c>
      <c r="Z243">
        <v>181.87878306617901</v>
      </c>
      <c r="AA243">
        <v>0</v>
      </c>
      <c r="AB243">
        <v>1</v>
      </c>
      <c r="AC243">
        <v>0</v>
      </c>
      <c r="AD243">
        <v>0</v>
      </c>
      <c r="AE243">
        <v>12</v>
      </c>
      <c r="AF243">
        <v>2</v>
      </c>
    </row>
    <row r="244" spans="1:32" x14ac:dyDescent="0.3">
      <c r="A244" t="s">
        <v>14</v>
      </c>
      <c r="B244">
        <v>94</v>
      </c>
      <c r="C244">
        <v>3.77358490566038E-2</v>
      </c>
      <c r="D244">
        <v>8.9433962264150901E-2</v>
      </c>
      <c r="E244">
        <v>0</v>
      </c>
      <c r="F244">
        <v>1</v>
      </c>
      <c r="G244">
        <v>1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31</v>
      </c>
      <c r="P244">
        <v>28</v>
      </c>
      <c r="Q244">
        <v>22</v>
      </c>
      <c r="R244">
        <v>17</v>
      </c>
      <c r="S244">
        <v>1.83051907948268</v>
      </c>
      <c r="T244">
        <v>1.6920981883636499</v>
      </c>
      <c r="U244">
        <v>1.2789973637952601</v>
      </c>
      <c r="V244">
        <v>1.5676582585841901</v>
      </c>
      <c r="W244">
        <v>182.89564002454901</v>
      </c>
      <c r="X244">
        <v>182.441503242663</v>
      </c>
      <c r="Y244">
        <v>181.08618557675601</v>
      </c>
      <c r="Z244">
        <v>182.03323575651001</v>
      </c>
      <c r="AA244">
        <v>0</v>
      </c>
      <c r="AB244">
        <v>1</v>
      </c>
      <c r="AC244">
        <v>0</v>
      </c>
      <c r="AD244">
        <v>0</v>
      </c>
      <c r="AE244">
        <v>6</v>
      </c>
      <c r="AF244">
        <v>2</v>
      </c>
    </row>
    <row r="245" spans="1:32" x14ac:dyDescent="0.3">
      <c r="A245" t="s">
        <v>18</v>
      </c>
      <c r="B245">
        <v>98</v>
      </c>
      <c r="C245">
        <v>0.25622641509434002</v>
      </c>
      <c r="D245">
        <v>0.13018867924528299</v>
      </c>
      <c r="E245">
        <v>0</v>
      </c>
      <c r="F245">
        <v>0</v>
      </c>
      <c r="G245">
        <v>1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9.8000000000000004E-2</v>
      </c>
      <c r="O245">
        <v>33</v>
      </c>
      <c r="P245">
        <v>34</v>
      </c>
      <c r="Q245">
        <v>27</v>
      </c>
      <c r="R245">
        <v>26</v>
      </c>
      <c r="S245">
        <v>1.9758400635881701</v>
      </c>
      <c r="T245">
        <v>2.1927423582532901</v>
      </c>
      <c r="U245">
        <v>1.03896168350689</v>
      </c>
      <c r="V245">
        <v>1.1875471765321499</v>
      </c>
      <c r="W245">
        <v>183.372414906785</v>
      </c>
      <c r="X245">
        <v>184.084036608443</v>
      </c>
      <c r="Y245">
        <v>180.29866694063901</v>
      </c>
      <c r="Z245">
        <v>180.78615215397701</v>
      </c>
      <c r="AA245">
        <v>0</v>
      </c>
      <c r="AB245">
        <v>1</v>
      </c>
      <c r="AC245">
        <v>0</v>
      </c>
      <c r="AD245">
        <v>0</v>
      </c>
      <c r="AE245">
        <v>41</v>
      </c>
      <c r="AF245">
        <v>2</v>
      </c>
    </row>
    <row r="246" spans="1:32" x14ac:dyDescent="0.3">
      <c r="A246" t="s">
        <v>24</v>
      </c>
      <c r="B246">
        <v>102</v>
      </c>
      <c r="C246">
        <v>0.13018867924528299</v>
      </c>
      <c r="D246">
        <v>6.2641509433962295E-2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29</v>
      </c>
      <c r="P246">
        <v>17</v>
      </c>
      <c r="Q246">
        <v>20</v>
      </c>
      <c r="R246">
        <v>14</v>
      </c>
      <c r="S246">
        <v>2.0561518460220198</v>
      </c>
      <c r="T246">
        <v>2.1699088456459901</v>
      </c>
      <c r="U246">
        <v>1.8075341182167199</v>
      </c>
      <c r="V246">
        <v>1.64197782043137</v>
      </c>
      <c r="W246">
        <v>183.635905006634</v>
      </c>
      <c r="X246">
        <v>184.009123509337</v>
      </c>
      <c r="Y246">
        <v>182.82023004664299</v>
      </c>
      <c r="Z246">
        <v>182.27706633999799</v>
      </c>
      <c r="AA246">
        <v>0</v>
      </c>
      <c r="AB246">
        <v>1</v>
      </c>
      <c r="AC246">
        <v>0</v>
      </c>
      <c r="AD246">
        <v>0</v>
      </c>
      <c r="AE246">
        <v>15</v>
      </c>
      <c r="AF246">
        <v>2</v>
      </c>
    </row>
    <row r="247" spans="1:32" x14ac:dyDescent="0.3">
      <c r="A247" t="s">
        <v>30</v>
      </c>
      <c r="B247">
        <v>106</v>
      </c>
      <c r="C247">
        <v>6.2641509433962295E-2</v>
      </c>
      <c r="D247">
        <v>5.7735849056603797E-2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0.11550000000000001</v>
      </c>
      <c r="O247">
        <v>34</v>
      </c>
      <c r="P247">
        <v>32</v>
      </c>
      <c r="Q247">
        <v>25</v>
      </c>
      <c r="R247">
        <v>24</v>
      </c>
      <c r="S247">
        <v>2.3362704126913099</v>
      </c>
      <c r="T247">
        <v>1.8973252758446699</v>
      </c>
      <c r="U247">
        <v>1.99398859156636</v>
      </c>
      <c r="V247">
        <v>1.3172146601415</v>
      </c>
      <c r="W247">
        <v>184.554929175496</v>
      </c>
      <c r="X247">
        <v>183.114820458808</v>
      </c>
      <c r="Y247">
        <v>183.431957321412</v>
      </c>
      <c r="Z247">
        <v>181.21157040728801</v>
      </c>
      <c r="AA247">
        <v>0</v>
      </c>
      <c r="AB247">
        <v>1</v>
      </c>
      <c r="AC247">
        <v>0</v>
      </c>
      <c r="AD247">
        <v>0</v>
      </c>
      <c r="AE247">
        <v>13</v>
      </c>
      <c r="AF247">
        <v>2</v>
      </c>
    </row>
    <row r="248" spans="1:32" x14ac:dyDescent="0.3">
      <c r="A248" t="s">
        <v>35</v>
      </c>
      <c r="B248">
        <v>110</v>
      </c>
      <c r="C248">
        <v>5.7735849056603797E-2</v>
      </c>
      <c r="D248">
        <v>3.77358490566038E-2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0.47249999999999998</v>
      </c>
      <c r="O248">
        <v>26</v>
      </c>
      <c r="P248">
        <v>21</v>
      </c>
      <c r="Q248">
        <v>22</v>
      </c>
      <c r="R248">
        <v>21</v>
      </c>
      <c r="S248">
        <v>1.7032634966617699</v>
      </c>
      <c r="T248">
        <v>1.8401337244887399</v>
      </c>
      <c r="U248">
        <v>1.41275304501677</v>
      </c>
      <c r="V248">
        <v>1.8401337244887399</v>
      </c>
      <c r="W248">
        <v>182.47813483156699</v>
      </c>
      <c r="X248">
        <v>182.927184135462</v>
      </c>
      <c r="Y248">
        <v>181.52501655189201</v>
      </c>
      <c r="Z248">
        <v>182.927184135462</v>
      </c>
      <c r="AA248">
        <v>0</v>
      </c>
      <c r="AB248">
        <v>1</v>
      </c>
      <c r="AC248">
        <v>0</v>
      </c>
      <c r="AD248">
        <v>0</v>
      </c>
      <c r="AE248">
        <v>14</v>
      </c>
      <c r="AF248">
        <v>2</v>
      </c>
    </row>
    <row r="249" spans="1:32" x14ac:dyDescent="0.3">
      <c r="A249" t="s">
        <v>39</v>
      </c>
      <c r="B249">
        <v>114</v>
      </c>
      <c r="C249">
        <v>0.36603773584905702</v>
      </c>
      <c r="D249">
        <v>0.25622641509434002</v>
      </c>
      <c r="E249">
        <v>0</v>
      </c>
      <c r="F249">
        <v>0</v>
      </c>
      <c r="G249">
        <v>0</v>
      </c>
      <c r="H249">
        <v>1</v>
      </c>
      <c r="I249">
        <v>0</v>
      </c>
      <c r="J249">
        <v>0</v>
      </c>
      <c r="K249">
        <v>0</v>
      </c>
      <c r="L249">
        <v>1</v>
      </c>
      <c r="M249">
        <v>0.44450000000000001</v>
      </c>
      <c r="N249">
        <v>0</v>
      </c>
      <c r="O249">
        <v>27</v>
      </c>
      <c r="P249">
        <v>30</v>
      </c>
      <c r="Q249">
        <v>23</v>
      </c>
      <c r="R249">
        <v>20</v>
      </c>
      <c r="S249">
        <v>2.0654862406037502</v>
      </c>
      <c r="T249">
        <v>1.5761663916289399</v>
      </c>
      <c r="U249">
        <v>1.68651381973003</v>
      </c>
      <c r="V249">
        <v>1.12588809019432</v>
      </c>
      <c r="W249">
        <v>183.66652966077299</v>
      </c>
      <c r="X249">
        <v>182.061149578835</v>
      </c>
      <c r="Y249">
        <v>182.42318182326099</v>
      </c>
      <c r="Z249">
        <v>180.58385856363</v>
      </c>
      <c r="AA249">
        <v>0</v>
      </c>
      <c r="AB249">
        <v>1</v>
      </c>
      <c r="AC249">
        <v>0</v>
      </c>
      <c r="AD249">
        <v>0</v>
      </c>
      <c r="AE249">
        <v>6</v>
      </c>
      <c r="AF249">
        <v>2</v>
      </c>
    </row>
    <row r="250" spans="1:32" x14ac:dyDescent="0.3">
      <c r="A250" t="s">
        <v>45</v>
      </c>
      <c r="B250">
        <v>118</v>
      </c>
      <c r="C250">
        <v>0.25622641509434002</v>
      </c>
      <c r="D250">
        <v>0.13018867924528299</v>
      </c>
      <c r="E250">
        <v>0</v>
      </c>
      <c r="F250">
        <v>0</v>
      </c>
      <c r="G250">
        <v>0</v>
      </c>
      <c r="H250">
        <v>0</v>
      </c>
      <c r="I250">
        <v>1</v>
      </c>
      <c r="J250">
        <v>0</v>
      </c>
      <c r="K250">
        <v>1</v>
      </c>
      <c r="L250">
        <v>0</v>
      </c>
      <c r="M250">
        <v>0</v>
      </c>
      <c r="N250">
        <v>3.5000000000000003E-2</v>
      </c>
      <c r="O250">
        <v>29</v>
      </c>
      <c r="P250">
        <v>27</v>
      </c>
      <c r="Q250">
        <v>16</v>
      </c>
      <c r="R250">
        <v>21</v>
      </c>
      <c r="S250">
        <v>1.53116434764258</v>
      </c>
      <c r="T250">
        <v>2.4399421136514601</v>
      </c>
      <c r="U250">
        <v>1.3688718886826401</v>
      </c>
      <c r="V250">
        <v>2.0424757477706601</v>
      </c>
      <c r="W250">
        <v>181.913505077568</v>
      </c>
      <c r="X250">
        <v>184.89505942798999</v>
      </c>
      <c r="Y250">
        <v>181.38104950355199</v>
      </c>
      <c r="Z250">
        <v>183.591035917883</v>
      </c>
      <c r="AA250">
        <v>0</v>
      </c>
      <c r="AB250">
        <v>1</v>
      </c>
      <c r="AC250">
        <v>0</v>
      </c>
      <c r="AD250">
        <v>0</v>
      </c>
      <c r="AE250">
        <v>36</v>
      </c>
      <c r="AF250">
        <v>2</v>
      </c>
    </row>
    <row r="251" spans="1:32" x14ac:dyDescent="0.3">
      <c r="A251" t="s">
        <v>51</v>
      </c>
      <c r="B251">
        <v>122</v>
      </c>
      <c r="C251">
        <v>0.13018867924528299</v>
      </c>
      <c r="D251">
        <v>6.2641509433962295E-2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0.38150000000000001</v>
      </c>
      <c r="O251">
        <v>29</v>
      </c>
      <c r="P251">
        <v>31</v>
      </c>
      <c r="Q251">
        <v>22</v>
      </c>
      <c r="R251">
        <v>23</v>
      </c>
      <c r="S251">
        <v>2.3165954046959798</v>
      </c>
      <c r="T251">
        <v>2.4257340445760698</v>
      </c>
      <c r="U251">
        <v>2.0034699206388402</v>
      </c>
      <c r="V251">
        <v>2.1918984470376399</v>
      </c>
      <c r="W251">
        <v>184.49037862433099</v>
      </c>
      <c r="X251">
        <v>184.84844502813701</v>
      </c>
      <c r="Y251">
        <v>183.463064044091</v>
      </c>
      <c r="Z251">
        <v>184.081267870858</v>
      </c>
      <c r="AA251">
        <v>0</v>
      </c>
      <c r="AB251">
        <v>1</v>
      </c>
      <c r="AC251">
        <v>0</v>
      </c>
      <c r="AD251">
        <v>0</v>
      </c>
      <c r="AE251">
        <v>46</v>
      </c>
      <c r="AF251">
        <v>2</v>
      </c>
    </row>
    <row r="252" spans="1:32" x14ac:dyDescent="0.3">
      <c r="A252" t="s">
        <v>55</v>
      </c>
      <c r="B252">
        <v>126</v>
      </c>
      <c r="C252">
        <v>3.77358490566038E-2</v>
      </c>
      <c r="D252">
        <v>8.9433962264150901E-2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32</v>
      </c>
      <c r="P252">
        <v>35</v>
      </c>
      <c r="Q252">
        <v>22</v>
      </c>
      <c r="R252">
        <v>25</v>
      </c>
      <c r="S252">
        <v>2.0725931102855601</v>
      </c>
      <c r="T252">
        <v>2.3921127426173801</v>
      </c>
      <c r="U252">
        <v>1.3859361394957199</v>
      </c>
      <c r="V252">
        <v>1.61474781560212</v>
      </c>
      <c r="W252">
        <v>183.689846162354</v>
      </c>
      <c r="X252">
        <v>184.73813891934799</v>
      </c>
      <c r="Y252">
        <v>181.437034578398</v>
      </c>
      <c r="Z252">
        <v>182.187729053813</v>
      </c>
      <c r="AA252">
        <v>0</v>
      </c>
      <c r="AB252">
        <v>1</v>
      </c>
      <c r="AC252">
        <v>0</v>
      </c>
      <c r="AD252">
        <v>0</v>
      </c>
      <c r="AE252">
        <v>6</v>
      </c>
      <c r="AF252">
        <v>2</v>
      </c>
    </row>
    <row r="253" spans="1:32" x14ac:dyDescent="0.3">
      <c r="A253" t="s">
        <v>59</v>
      </c>
      <c r="B253">
        <v>130</v>
      </c>
      <c r="C253">
        <v>0.25622641509434002</v>
      </c>
      <c r="D253">
        <v>0.13018867924528299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1.5645</v>
      </c>
      <c r="O253">
        <v>36</v>
      </c>
      <c r="P253">
        <v>30</v>
      </c>
      <c r="Q253">
        <v>17</v>
      </c>
      <c r="R253">
        <v>18</v>
      </c>
      <c r="S253">
        <v>1.42657703054014</v>
      </c>
      <c r="T253">
        <v>1.6603481257286801</v>
      </c>
      <c r="U253">
        <v>0.76068984616123703</v>
      </c>
      <c r="V253">
        <v>1.1961454700516101</v>
      </c>
      <c r="W253">
        <v>181.570370835105</v>
      </c>
      <c r="X253">
        <v>182.33733637050099</v>
      </c>
      <c r="Y253">
        <v>179.385701595017</v>
      </c>
      <c r="Z253">
        <v>180.81436177838501</v>
      </c>
      <c r="AA253">
        <v>0</v>
      </c>
      <c r="AB253">
        <v>1</v>
      </c>
      <c r="AC253">
        <v>0</v>
      </c>
      <c r="AD253">
        <v>0</v>
      </c>
      <c r="AE253">
        <v>62</v>
      </c>
      <c r="AF253">
        <v>2</v>
      </c>
    </row>
    <row r="254" spans="1:32" x14ac:dyDescent="0.3">
      <c r="A254" t="s">
        <v>63</v>
      </c>
      <c r="B254">
        <v>134</v>
      </c>
      <c r="C254">
        <v>5.7735849056603797E-2</v>
      </c>
      <c r="D254">
        <v>3.77358490566038E-2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0.42699999999999999</v>
      </c>
      <c r="N254">
        <v>7.0000000000000007E-2</v>
      </c>
      <c r="O254">
        <v>28</v>
      </c>
      <c r="P254">
        <v>30</v>
      </c>
      <c r="Q254">
        <v>28</v>
      </c>
      <c r="R254">
        <v>30</v>
      </c>
      <c r="S254">
        <v>1.8204486836993701</v>
      </c>
      <c r="T254">
        <v>1.68100849886475</v>
      </c>
      <c r="U254">
        <v>1.73668346073543</v>
      </c>
      <c r="V254">
        <v>1.68100849886475</v>
      </c>
      <c r="W254">
        <v>182.86260066830499</v>
      </c>
      <c r="X254">
        <v>182.405119746932</v>
      </c>
      <c r="Y254">
        <v>182.58778038298999</v>
      </c>
      <c r="Z254">
        <v>182.405119746932</v>
      </c>
      <c r="AA254">
        <v>0</v>
      </c>
      <c r="AB254">
        <v>1</v>
      </c>
      <c r="AC254">
        <v>0</v>
      </c>
      <c r="AD254">
        <v>0</v>
      </c>
      <c r="AE254">
        <v>3</v>
      </c>
      <c r="AF254">
        <v>2</v>
      </c>
    </row>
    <row r="255" spans="1:32" x14ac:dyDescent="0.3">
      <c r="A255" t="s">
        <v>67</v>
      </c>
      <c r="B255">
        <v>138</v>
      </c>
      <c r="C255">
        <v>0.36603773584905702</v>
      </c>
      <c r="D255">
        <v>0.25622641509434002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4.5499999999999999E-2</v>
      </c>
      <c r="N255">
        <v>8.0500000000000002E-2</v>
      </c>
      <c r="O255">
        <v>34</v>
      </c>
      <c r="P255">
        <v>28</v>
      </c>
      <c r="Q255">
        <v>23</v>
      </c>
      <c r="R255">
        <v>19</v>
      </c>
      <c r="S255">
        <v>1.8576784759824201</v>
      </c>
      <c r="T255">
        <v>1.56272541251061</v>
      </c>
      <c r="U255">
        <v>1.28508774114576</v>
      </c>
      <c r="V255">
        <v>1.2267946332428801</v>
      </c>
      <c r="W255">
        <v>182.98474565610999</v>
      </c>
      <c r="X255">
        <v>182.01705187831601</v>
      </c>
      <c r="Y255">
        <v>181.106167129743</v>
      </c>
      <c r="Z255">
        <v>180.914916775731</v>
      </c>
      <c r="AA255">
        <v>0</v>
      </c>
      <c r="AB255">
        <v>1</v>
      </c>
      <c r="AC255">
        <v>0</v>
      </c>
      <c r="AD255">
        <v>0</v>
      </c>
      <c r="AE255">
        <v>94</v>
      </c>
      <c r="AF255">
        <v>2</v>
      </c>
    </row>
    <row r="256" spans="1:32" x14ac:dyDescent="0.3">
      <c r="A256" t="s">
        <v>71</v>
      </c>
      <c r="B256">
        <v>142</v>
      </c>
      <c r="C256">
        <v>6.2641509433962295E-2</v>
      </c>
      <c r="D256">
        <v>5.7735849056603797E-2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34</v>
      </c>
      <c r="P256">
        <v>35</v>
      </c>
      <c r="Q256">
        <v>22</v>
      </c>
      <c r="R256">
        <v>23</v>
      </c>
      <c r="S256">
        <v>1.7587644858538301</v>
      </c>
      <c r="T256">
        <v>1.7587244372295701</v>
      </c>
      <c r="U256">
        <v>1.10074938903555</v>
      </c>
      <c r="V256">
        <v>1.4221883288543</v>
      </c>
      <c r="W256">
        <v>182.66022469112099</v>
      </c>
      <c r="X256">
        <v>182.66009329799701</v>
      </c>
      <c r="Y256">
        <v>180.501382509959</v>
      </c>
      <c r="Z256">
        <v>181.55597220752699</v>
      </c>
      <c r="AA256">
        <v>0</v>
      </c>
      <c r="AB256">
        <v>1</v>
      </c>
      <c r="AC256">
        <v>0</v>
      </c>
      <c r="AD256">
        <v>0</v>
      </c>
      <c r="AE256">
        <v>22</v>
      </c>
      <c r="AF256">
        <v>2</v>
      </c>
    </row>
    <row r="257" spans="1:32" x14ac:dyDescent="0.3">
      <c r="A257" t="s">
        <v>75</v>
      </c>
      <c r="B257">
        <v>146</v>
      </c>
      <c r="C257">
        <v>8.9433962264150901E-2</v>
      </c>
      <c r="D257">
        <v>0.36603773584905702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1.0500000000000001E-2</v>
      </c>
      <c r="N257">
        <v>1.0500000000000001E-2</v>
      </c>
      <c r="O257">
        <v>31</v>
      </c>
      <c r="P257">
        <v>31</v>
      </c>
      <c r="Q257">
        <v>25</v>
      </c>
      <c r="R257">
        <v>20</v>
      </c>
      <c r="S257">
        <v>1.78609027854067</v>
      </c>
      <c r="T257">
        <v>1.69962375251503</v>
      </c>
      <c r="U257">
        <v>0.74311960236386898</v>
      </c>
      <c r="V257">
        <v>0.86009889828019204</v>
      </c>
      <c r="W257">
        <v>182.74987624193099</v>
      </c>
      <c r="X257">
        <v>182.46619341376299</v>
      </c>
      <c r="Y257">
        <v>179.328056438202</v>
      </c>
      <c r="Z257">
        <v>179.71184677913399</v>
      </c>
      <c r="AA257">
        <v>0</v>
      </c>
      <c r="AB257">
        <v>1</v>
      </c>
      <c r="AC257">
        <v>0</v>
      </c>
      <c r="AD257">
        <v>0</v>
      </c>
      <c r="AE257">
        <v>3</v>
      </c>
      <c r="AF257">
        <v>2</v>
      </c>
    </row>
    <row r="258" spans="1:32" x14ac:dyDescent="0.3">
      <c r="A258" t="s">
        <v>83</v>
      </c>
      <c r="B258">
        <v>154</v>
      </c>
      <c r="C258">
        <v>3.77358490566038E-2</v>
      </c>
      <c r="D258">
        <v>8.9433962264150901E-2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34</v>
      </c>
      <c r="P258">
        <v>36</v>
      </c>
      <c r="Q258">
        <v>26</v>
      </c>
      <c r="R258">
        <v>31</v>
      </c>
      <c r="S258">
        <v>1.5478192081823501</v>
      </c>
      <c r="T258">
        <v>1.4761359732946699</v>
      </c>
      <c r="U258">
        <v>1.3133328758404501</v>
      </c>
      <c r="V258">
        <v>1.1650787322243901</v>
      </c>
      <c r="W258">
        <v>181.96814700847199</v>
      </c>
      <c r="X258">
        <v>181.73296579164901</v>
      </c>
      <c r="Y258">
        <v>181.19883489449001</v>
      </c>
      <c r="Z258">
        <v>180.71243678551301</v>
      </c>
      <c r="AA258">
        <v>0</v>
      </c>
      <c r="AB258">
        <v>1</v>
      </c>
      <c r="AC258">
        <v>0</v>
      </c>
      <c r="AD258">
        <v>0</v>
      </c>
      <c r="AE258">
        <v>4</v>
      </c>
      <c r="AF258">
        <v>2</v>
      </c>
    </row>
    <row r="259" spans="1:32" x14ac:dyDescent="0.3">
      <c r="A259" t="s">
        <v>86</v>
      </c>
      <c r="B259">
        <v>158</v>
      </c>
      <c r="C259">
        <v>0.25622641509434002</v>
      </c>
      <c r="D259">
        <v>0.13018867924528299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0</v>
      </c>
      <c r="O259">
        <v>31</v>
      </c>
      <c r="P259">
        <v>33</v>
      </c>
      <c r="Q259">
        <v>19</v>
      </c>
      <c r="R259">
        <v>17</v>
      </c>
      <c r="S259">
        <v>1.4349330438911101</v>
      </c>
      <c r="T259">
        <v>2.1294482061769</v>
      </c>
      <c r="U259">
        <v>1.2049831956910599</v>
      </c>
      <c r="V259">
        <v>1.3555899397734501</v>
      </c>
      <c r="W259">
        <v>181.59778557707099</v>
      </c>
      <c r="X259">
        <v>183.87637862918899</v>
      </c>
      <c r="Y259">
        <v>180.843356941244</v>
      </c>
      <c r="Z259">
        <v>181.33747355568701</v>
      </c>
      <c r="AA259">
        <v>0</v>
      </c>
      <c r="AB259">
        <v>1</v>
      </c>
      <c r="AC259">
        <v>0</v>
      </c>
      <c r="AD259">
        <v>0</v>
      </c>
      <c r="AE259">
        <v>41</v>
      </c>
      <c r="AF259">
        <v>2</v>
      </c>
    </row>
    <row r="260" spans="1:32" x14ac:dyDescent="0.3">
      <c r="A260" t="s">
        <v>91</v>
      </c>
      <c r="B260">
        <v>162</v>
      </c>
      <c r="C260">
        <v>0.13018867924528299</v>
      </c>
      <c r="D260">
        <v>6.2641509433962295E-2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36</v>
      </c>
      <c r="P260">
        <v>35</v>
      </c>
      <c r="Q260">
        <v>28</v>
      </c>
      <c r="R260">
        <v>21</v>
      </c>
      <c r="S260">
        <v>1.64084259040183</v>
      </c>
      <c r="T260">
        <v>1.85612634260034</v>
      </c>
      <c r="U260">
        <v>0.88665465309990299</v>
      </c>
      <c r="V260">
        <v>1.0478385137155799</v>
      </c>
      <c r="W260">
        <v>182.273341832027</v>
      </c>
      <c r="X260">
        <v>182.97965335498799</v>
      </c>
      <c r="Y260">
        <v>179.798971958989</v>
      </c>
      <c r="Z260">
        <v>180.32779039932899</v>
      </c>
      <c r="AA260">
        <v>0</v>
      </c>
      <c r="AB260">
        <v>1</v>
      </c>
      <c r="AC260">
        <v>0</v>
      </c>
      <c r="AD260">
        <v>0</v>
      </c>
      <c r="AE260">
        <v>21</v>
      </c>
      <c r="AF260">
        <v>2</v>
      </c>
    </row>
    <row r="261" spans="1:32" x14ac:dyDescent="0.3">
      <c r="A261" t="s">
        <v>95</v>
      </c>
      <c r="B261">
        <v>166</v>
      </c>
      <c r="C261">
        <v>3.77358490566038E-2</v>
      </c>
      <c r="D261">
        <v>8.9433962264150901E-2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0.17</v>
      </c>
      <c r="N261">
        <v>0</v>
      </c>
      <c r="O261">
        <v>37</v>
      </c>
      <c r="P261">
        <v>38</v>
      </c>
      <c r="Q261">
        <v>29</v>
      </c>
      <c r="R261">
        <v>24</v>
      </c>
      <c r="S261">
        <v>1.96605216247453</v>
      </c>
      <c r="T261">
        <v>1.8037660636489199</v>
      </c>
      <c r="U261">
        <v>1.0900619921789101</v>
      </c>
      <c r="V261">
        <v>0.91682647622638602</v>
      </c>
      <c r="W261">
        <v>183.340302370323</v>
      </c>
      <c r="X261">
        <v>182.80786766289</v>
      </c>
      <c r="Y261">
        <v>180.46631887197799</v>
      </c>
      <c r="Z261">
        <v>179.89796088000799</v>
      </c>
      <c r="AA261">
        <v>0</v>
      </c>
      <c r="AB261">
        <v>1</v>
      </c>
      <c r="AC261">
        <v>0</v>
      </c>
      <c r="AD261">
        <v>0</v>
      </c>
      <c r="AE261">
        <v>13</v>
      </c>
      <c r="AF261">
        <v>2</v>
      </c>
    </row>
    <row r="262" spans="1:32" x14ac:dyDescent="0.3">
      <c r="A262" t="s">
        <v>99</v>
      </c>
      <c r="B262">
        <v>170</v>
      </c>
      <c r="C262">
        <v>0.25622641509434002</v>
      </c>
      <c r="D262">
        <v>0.13018867924528299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1</v>
      </c>
      <c r="L262">
        <v>0</v>
      </c>
      <c r="M262">
        <v>0.65</v>
      </c>
      <c r="N262">
        <v>0.06</v>
      </c>
      <c r="O262">
        <v>34</v>
      </c>
      <c r="P262">
        <v>27</v>
      </c>
      <c r="Q262">
        <v>24</v>
      </c>
      <c r="R262">
        <v>23</v>
      </c>
      <c r="S262">
        <v>1.2890461627565</v>
      </c>
      <c r="T262">
        <v>1.7797491778433401</v>
      </c>
      <c r="U262">
        <v>0.73616900278545705</v>
      </c>
      <c r="V262">
        <v>1.6635292116854199</v>
      </c>
      <c r="W262">
        <v>181.119154077285</v>
      </c>
      <c r="X262">
        <v>182.72907210578501</v>
      </c>
      <c r="Y262">
        <v>179.30525263381099</v>
      </c>
      <c r="Z262">
        <v>182.347773004217</v>
      </c>
      <c r="AA262">
        <v>0</v>
      </c>
      <c r="AB262">
        <v>1</v>
      </c>
      <c r="AC262">
        <v>0</v>
      </c>
      <c r="AD262">
        <v>0</v>
      </c>
      <c r="AE262">
        <v>31</v>
      </c>
      <c r="AF262">
        <v>2</v>
      </c>
    </row>
    <row r="263" spans="1:32" x14ac:dyDescent="0.3">
      <c r="A263" t="s">
        <v>105</v>
      </c>
      <c r="B263">
        <v>174</v>
      </c>
      <c r="C263">
        <v>0.13018867924528299</v>
      </c>
      <c r="D263">
        <v>6.2641509433962295E-2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0</v>
      </c>
      <c r="O263">
        <v>31</v>
      </c>
      <c r="P263">
        <v>33</v>
      </c>
      <c r="Q263">
        <v>18</v>
      </c>
      <c r="R263">
        <v>25</v>
      </c>
      <c r="S263">
        <v>1.4891664158589799</v>
      </c>
      <c r="T263">
        <v>1.77668704510513</v>
      </c>
      <c r="U263">
        <v>1.3316643315302501</v>
      </c>
      <c r="V263">
        <v>1.4601293841667</v>
      </c>
      <c r="W263">
        <v>181.77571658746399</v>
      </c>
      <c r="X263">
        <v>182.71902573853399</v>
      </c>
      <c r="Y263">
        <v>181.25897746564999</v>
      </c>
      <c r="Z263">
        <v>181.680450735455</v>
      </c>
      <c r="AA263">
        <v>0</v>
      </c>
      <c r="AB263">
        <v>1</v>
      </c>
      <c r="AC263">
        <v>0</v>
      </c>
      <c r="AD263">
        <v>0</v>
      </c>
      <c r="AE263">
        <v>16</v>
      </c>
      <c r="AF263">
        <v>2</v>
      </c>
    </row>
    <row r="264" spans="1:32" x14ac:dyDescent="0.3">
      <c r="A264" t="s">
        <v>109</v>
      </c>
      <c r="B264">
        <v>178</v>
      </c>
      <c r="C264">
        <v>3.77358490566038E-2</v>
      </c>
      <c r="D264">
        <v>8.9433962264150901E-2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37</v>
      </c>
      <c r="P264">
        <v>37</v>
      </c>
      <c r="Q264">
        <v>27</v>
      </c>
      <c r="R264">
        <v>29</v>
      </c>
      <c r="S264">
        <v>1.6070921508786999</v>
      </c>
      <c r="T264">
        <v>1.70007162989867</v>
      </c>
      <c r="U264">
        <v>0.97600343787107602</v>
      </c>
      <c r="V264">
        <v>1.23820714997753</v>
      </c>
      <c r="W264">
        <v>182.16261204356499</v>
      </c>
      <c r="X264">
        <v>182.46766282775201</v>
      </c>
      <c r="Y264">
        <v>180.09211101663701</v>
      </c>
      <c r="Z264">
        <v>180.952359415937</v>
      </c>
      <c r="AA264">
        <v>0</v>
      </c>
      <c r="AB264">
        <v>1</v>
      </c>
      <c r="AC264">
        <v>0</v>
      </c>
      <c r="AD264">
        <v>0</v>
      </c>
      <c r="AE264">
        <v>12</v>
      </c>
      <c r="AF264">
        <v>2</v>
      </c>
    </row>
    <row r="265" spans="1:32" x14ac:dyDescent="0.3">
      <c r="A265" t="s">
        <v>113</v>
      </c>
      <c r="B265">
        <v>182</v>
      </c>
      <c r="C265">
        <v>0.25622641509434002</v>
      </c>
      <c r="D265">
        <v>0.13018867924528299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0</v>
      </c>
      <c r="O265">
        <v>35</v>
      </c>
      <c r="P265">
        <v>29</v>
      </c>
      <c r="Q265">
        <v>18</v>
      </c>
      <c r="R265">
        <v>24</v>
      </c>
      <c r="S265">
        <v>1.47732624541974</v>
      </c>
      <c r="T265">
        <v>1.8443950798900499</v>
      </c>
      <c r="U265">
        <v>0.93276797414856305</v>
      </c>
      <c r="V265">
        <v>1.5271981798766801</v>
      </c>
      <c r="W265">
        <v>181.73687088392299</v>
      </c>
      <c r="X265">
        <v>182.94116496026899</v>
      </c>
      <c r="Y265">
        <v>179.95026238237699</v>
      </c>
      <c r="Z265">
        <v>181.900492716131</v>
      </c>
      <c r="AA265">
        <v>0</v>
      </c>
      <c r="AB265">
        <v>1</v>
      </c>
      <c r="AC265">
        <v>0</v>
      </c>
      <c r="AD265">
        <v>0</v>
      </c>
      <c r="AE265">
        <v>67</v>
      </c>
      <c r="AF265">
        <v>2</v>
      </c>
    </row>
    <row r="266" spans="1:32" x14ac:dyDescent="0.3">
      <c r="A266" t="s">
        <v>121</v>
      </c>
      <c r="B266">
        <v>190</v>
      </c>
      <c r="C266">
        <v>0.36603773584905702</v>
      </c>
      <c r="D266">
        <v>0.25622641509434002</v>
      </c>
      <c r="E266">
        <v>0</v>
      </c>
      <c r="F266">
        <v>0</v>
      </c>
      <c r="G266">
        <v>0</v>
      </c>
      <c r="H266">
        <v>1</v>
      </c>
      <c r="I266">
        <v>0</v>
      </c>
      <c r="J266">
        <v>1</v>
      </c>
      <c r="K266">
        <v>0</v>
      </c>
      <c r="L266">
        <v>0</v>
      </c>
      <c r="M266">
        <v>0.16</v>
      </c>
      <c r="N266">
        <v>0.05</v>
      </c>
      <c r="O266">
        <v>22</v>
      </c>
      <c r="P266">
        <v>35</v>
      </c>
      <c r="Q266">
        <v>21</v>
      </c>
      <c r="R266">
        <v>15</v>
      </c>
      <c r="S266">
        <v>1.5932046069058601</v>
      </c>
      <c r="T266">
        <v>1.8802345902336799</v>
      </c>
      <c r="U266">
        <v>1.5683410997259599</v>
      </c>
      <c r="V266">
        <v>0.97243796825093798</v>
      </c>
      <c r="W266">
        <v>182.117049235255</v>
      </c>
      <c r="X266">
        <v>183.058748655622</v>
      </c>
      <c r="Y266">
        <v>182.03547604897</v>
      </c>
      <c r="Z266">
        <v>180.080413281663</v>
      </c>
      <c r="AA266">
        <v>0</v>
      </c>
      <c r="AB266">
        <v>1</v>
      </c>
      <c r="AC266">
        <v>0</v>
      </c>
      <c r="AD266">
        <v>0</v>
      </c>
      <c r="AE266">
        <v>2</v>
      </c>
      <c r="AF266">
        <v>2</v>
      </c>
    </row>
    <row r="267" spans="1:32" x14ac:dyDescent="0.3">
      <c r="A267" t="s">
        <v>12</v>
      </c>
      <c r="B267">
        <v>194</v>
      </c>
      <c r="C267">
        <v>0.31785471826204997</v>
      </c>
      <c r="D267">
        <v>0.273455532926001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0</v>
      </c>
      <c r="O267">
        <v>35</v>
      </c>
      <c r="P267">
        <v>27</v>
      </c>
      <c r="Q267">
        <v>9</v>
      </c>
      <c r="R267">
        <v>7</v>
      </c>
      <c r="S267">
        <v>2.6862883284415799</v>
      </c>
      <c r="T267">
        <v>3.0340105268487099</v>
      </c>
      <c r="U267">
        <v>2.0983573811253402</v>
      </c>
      <c r="V267">
        <v>2.79623377972871</v>
      </c>
      <c r="W267">
        <v>181.45328191745901</v>
      </c>
      <c r="X267">
        <v>182.594102778375</v>
      </c>
      <c r="Y267">
        <v>179.52437460999101</v>
      </c>
      <c r="Z267">
        <v>181.81399534031701</v>
      </c>
      <c r="AA267">
        <v>0</v>
      </c>
      <c r="AB267">
        <v>0</v>
      </c>
      <c r="AC267">
        <v>1</v>
      </c>
      <c r="AD267">
        <v>0</v>
      </c>
      <c r="AE267">
        <v>173</v>
      </c>
      <c r="AF267">
        <v>2</v>
      </c>
    </row>
    <row r="268" spans="1:32" x14ac:dyDescent="0.3">
      <c r="A268" t="s">
        <v>16</v>
      </c>
      <c r="B268">
        <v>198</v>
      </c>
      <c r="C268">
        <v>6.1778682959945701E-2</v>
      </c>
      <c r="D268">
        <v>6.5987780040733204E-2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0.34649999999999997</v>
      </c>
      <c r="N268">
        <v>0</v>
      </c>
      <c r="O268">
        <v>31</v>
      </c>
      <c r="P268">
        <v>34</v>
      </c>
      <c r="Q268">
        <v>21</v>
      </c>
      <c r="R268">
        <v>21</v>
      </c>
      <c r="S268">
        <v>3.2736751424669599</v>
      </c>
      <c r="T268">
        <v>3.0040108033361199</v>
      </c>
      <c r="U268">
        <v>1.9807122764827201</v>
      </c>
      <c r="V268">
        <v>1.9034758736226001</v>
      </c>
      <c r="W268">
        <v>183.380404010718</v>
      </c>
      <c r="X268">
        <v>182.495678488636</v>
      </c>
      <c r="Y268">
        <v>179.138399857227</v>
      </c>
      <c r="Z268">
        <v>178.88499958537599</v>
      </c>
      <c r="AA268">
        <v>0</v>
      </c>
      <c r="AB268">
        <v>0</v>
      </c>
      <c r="AC268">
        <v>1</v>
      </c>
      <c r="AD268">
        <v>0</v>
      </c>
      <c r="AE268">
        <v>9</v>
      </c>
      <c r="AF268">
        <v>2</v>
      </c>
    </row>
    <row r="269" spans="1:32" x14ac:dyDescent="0.3">
      <c r="A269" t="s">
        <v>20</v>
      </c>
      <c r="B269">
        <v>202</v>
      </c>
      <c r="C269">
        <v>9.6673455532926E-2</v>
      </c>
      <c r="D269">
        <v>0.31785471826204997</v>
      </c>
      <c r="E269">
        <v>0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0.33950000000000002</v>
      </c>
      <c r="N269">
        <v>1.0500000000000001E-2</v>
      </c>
      <c r="O269">
        <v>14</v>
      </c>
      <c r="P269">
        <v>22</v>
      </c>
      <c r="Q269">
        <v>13</v>
      </c>
      <c r="R269">
        <v>15</v>
      </c>
      <c r="S269">
        <v>2.7688675918726902</v>
      </c>
      <c r="T269">
        <v>3.0612170084185499</v>
      </c>
      <c r="U269">
        <v>2.7415560696552399</v>
      </c>
      <c r="V269">
        <v>2.3809716381565398</v>
      </c>
      <c r="W269">
        <v>181.724211259425</v>
      </c>
      <c r="X269">
        <v>182.68336288851199</v>
      </c>
      <c r="Y269">
        <v>181.63460652774</v>
      </c>
      <c r="Z269">
        <v>180.45158673935899</v>
      </c>
      <c r="AA269">
        <v>0</v>
      </c>
      <c r="AB269">
        <v>0</v>
      </c>
      <c r="AC269">
        <v>1</v>
      </c>
      <c r="AD269">
        <v>0</v>
      </c>
      <c r="AE269">
        <v>2</v>
      </c>
      <c r="AF269">
        <v>2</v>
      </c>
    </row>
    <row r="270" spans="1:32" x14ac:dyDescent="0.3">
      <c r="A270" t="s">
        <v>24</v>
      </c>
      <c r="B270">
        <v>206</v>
      </c>
      <c r="C270">
        <v>0.144602851323829</v>
      </c>
      <c r="D270">
        <v>6.1778682959945701E-2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  <c r="O270">
        <v>30</v>
      </c>
      <c r="P270">
        <v>29</v>
      </c>
      <c r="Q270">
        <v>15</v>
      </c>
      <c r="R270">
        <v>14</v>
      </c>
      <c r="S270">
        <v>3.2374483468228501</v>
      </c>
      <c r="T270">
        <v>3.2622453743147202</v>
      </c>
      <c r="U270">
        <v>2.8744617333150901</v>
      </c>
      <c r="V270">
        <v>2.6435196385489101</v>
      </c>
      <c r="W270">
        <v>183.26154969430101</v>
      </c>
      <c r="X270">
        <v>183.34290477137401</v>
      </c>
      <c r="Y270">
        <v>182.070648731349</v>
      </c>
      <c r="Z270">
        <v>181.31296469340199</v>
      </c>
      <c r="AA270">
        <v>0</v>
      </c>
      <c r="AB270">
        <v>0</v>
      </c>
      <c r="AC270">
        <v>1</v>
      </c>
      <c r="AD270">
        <v>0</v>
      </c>
      <c r="AE270">
        <v>37</v>
      </c>
      <c r="AF270">
        <v>2</v>
      </c>
    </row>
    <row r="271" spans="1:32" x14ac:dyDescent="0.3">
      <c r="A271" t="s">
        <v>28</v>
      </c>
      <c r="B271">
        <v>210</v>
      </c>
      <c r="C271">
        <v>3.9646978954514599E-2</v>
      </c>
      <c r="D271">
        <v>9.6673455532926E-2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0.434</v>
      </c>
      <c r="N271">
        <v>0</v>
      </c>
      <c r="O271">
        <v>29</v>
      </c>
      <c r="P271">
        <v>19</v>
      </c>
      <c r="Q271">
        <v>18</v>
      </c>
      <c r="R271">
        <v>19</v>
      </c>
      <c r="S271">
        <v>2.9617682203540698</v>
      </c>
      <c r="T271">
        <v>2.8604485430971298</v>
      </c>
      <c r="U271">
        <v>2.2396993264048999</v>
      </c>
      <c r="V271">
        <v>2.8604485430971298</v>
      </c>
      <c r="W271">
        <v>182.35708733711999</v>
      </c>
      <c r="X271">
        <v>182.02467369782499</v>
      </c>
      <c r="Y271">
        <v>179.98809490290299</v>
      </c>
      <c r="Z271">
        <v>182.02467369782499</v>
      </c>
      <c r="AA271">
        <v>0</v>
      </c>
      <c r="AB271">
        <v>0</v>
      </c>
      <c r="AC271">
        <v>1</v>
      </c>
      <c r="AD271">
        <v>0</v>
      </c>
      <c r="AE271">
        <v>12</v>
      </c>
      <c r="AF271">
        <v>2</v>
      </c>
    </row>
    <row r="272" spans="1:32" x14ac:dyDescent="0.3">
      <c r="A272" t="s">
        <v>32</v>
      </c>
      <c r="B272">
        <v>214</v>
      </c>
      <c r="C272">
        <v>0.273455532926001</v>
      </c>
      <c r="D272">
        <v>0.144602851323829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0.27650000000000002</v>
      </c>
      <c r="N272">
        <v>0</v>
      </c>
      <c r="O272">
        <v>37</v>
      </c>
      <c r="P272">
        <v>35</v>
      </c>
      <c r="Q272">
        <v>21</v>
      </c>
      <c r="R272">
        <v>19</v>
      </c>
      <c r="S272">
        <v>3.0628353395550301</v>
      </c>
      <c r="T272">
        <v>3.3051436704006201</v>
      </c>
      <c r="U272">
        <v>2.81175725627801</v>
      </c>
      <c r="V272">
        <v>2.6007753438698198</v>
      </c>
      <c r="W272">
        <v>182.688672373868</v>
      </c>
      <c r="X272">
        <v>183.4836472126</v>
      </c>
      <c r="Y272">
        <v>181.86492538149</v>
      </c>
      <c r="Z272">
        <v>181.172727506135</v>
      </c>
      <c r="AA272">
        <v>0</v>
      </c>
      <c r="AB272">
        <v>0</v>
      </c>
      <c r="AC272">
        <v>1</v>
      </c>
      <c r="AD272">
        <v>0</v>
      </c>
      <c r="AE272">
        <v>97</v>
      </c>
      <c r="AF272">
        <v>2</v>
      </c>
    </row>
    <row r="273" spans="1:32" x14ac:dyDescent="0.3">
      <c r="A273" t="s">
        <v>37</v>
      </c>
      <c r="B273">
        <v>218</v>
      </c>
      <c r="C273">
        <v>0.144602851323829</v>
      </c>
      <c r="D273">
        <v>6.1778682959945701E-2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34</v>
      </c>
      <c r="P273">
        <v>28</v>
      </c>
      <c r="Q273">
        <v>19</v>
      </c>
      <c r="R273">
        <v>15</v>
      </c>
      <c r="S273">
        <v>3.2517408369374401</v>
      </c>
      <c r="T273">
        <v>2.9217115351713998</v>
      </c>
      <c r="U273">
        <v>2.6575909282832701</v>
      </c>
      <c r="V273">
        <v>2.4217781866699801</v>
      </c>
      <c r="W273">
        <v>183.30844106606801</v>
      </c>
      <c r="X273">
        <v>182.22566776631001</v>
      </c>
      <c r="Y273">
        <v>181.35913034213701</v>
      </c>
      <c r="Z273">
        <v>180.58546649169901</v>
      </c>
      <c r="AA273">
        <v>0</v>
      </c>
      <c r="AB273">
        <v>0</v>
      </c>
      <c r="AC273">
        <v>1</v>
      </c>
      <c r="AD273">
        <v>0</v>
      </c>
      <c r="AE273">
        <v>75</v>
      </c>
      <c r="AF273">
        <v>2</v>
      </c>
    </row>
    <row r="274" spans="1:32" x14ac:dyDescent="0.3">
      <c r="A274" t="s">
        <v>41</v>
      </c>
      <c r="B274">
        <v>222</v>
      </c>
      <c r="C274">
        <v>3.9646978954514599E-2</v>
      </c>
      <c r="D274">
        <v>9.6673455532926E-2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0.49</v>
      </c>
      <c r="O274">
        <v>31</v>
      </c>
      <c r="P274">
        <v>37</v>
      </c>
      <c r="Q274">
        <v>21</v>
      </c>
      <c r="R274">
        <v>25</v>
      </c>
      <c r="S274">
        <v>3.5525752565203699</v>
      </c>
      <c r="T274">
        <v>3.4713570120693902</v>
      </c>
      <c r="U274">
        <v>3.06002984849211</v>
      </c>
      <c r="V274">
        <v>2.5915662734060101</v>
      </c>
      <c r="W274">
        <v>184.29543063162899</v>
      </c>
      <c r="X274">
        <v>184.02896657503101</v>
      </c>
      <c r="Y274">
        <v>182.679468006864</v>
      </c>
      <c r="Z274">
        <v>181.14251402036101</v>
      </c>
      <c r="AA274">
        <v>0</v>
      </c>
      <c r="AB274">
        <v>0</v>
      </c>
      <c r="AC274">
        <v>1</v>
      </c>
      <c r="AD274">
        <v>0</v>
      </c>
      <c r="AE274">
        <v>5</v>
      </c>
      <c r="AF274">
        <v>2</v>
      </c>
    </row>
    <row r="275" spans="1:32" x14ac:dyDescent="0.3">
      <c r="A275" t="s">
        <v>45</v>
      </c>
      <c r="B275">
        <v>226</v>
      </c>
      <c r="C275">
        <v>0.273455532926001</v>
      </c>
      <c r="D275">
        <v>0.144602851323829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1</v>
      </c>
      <c r="L275">
        <v>0</v>
      </c>
      <c r="M275">
        <v>0</v>
      </c>
      <c r="N275">
        <v>3.5000000000000003E-2</v>
      </c>
      <c r="O275">
        <v>29</v>
      </c>
      <c r="P275">
        <v>33</v>
      </c>
      <c r="Q275">
        <v>14</v>
      </c>
      <c r="R275">
        <v>17</v>
      </c>
      <c r="S275">
        <v>2.63000699593039</v>
      </c>
      <c r="T275">
        <v>3.5681586764647601</v>
      </c>
      <c r="U275">
        <v>2.39061252335194</v>
      </c>
      <c r="V275">
        <v>2.8330281830939699</v>
      </c>
      <c r="W275">
        <v>181.268631876412</v>
      </c>
      <c r="X275">
        <v>184.34655733748301</v>
      </c>
      <c r="Y275">
        <v>180.483216940131</v>
      </c>
      <c r="Z275">
        <v>181.93471188679101</v>
      </c>
      <c r="AA275">
        <v>0</v>
      </c>
      <c r="AB275">
        <v>0</v>
      </c>
      <c r="AC275">
        <v>1</v>
      </c>
      <c r="AD275">
        <v>0</v>
      </c>
      <c r="AE275">
        <v>87</v>
      </c>
      <c r="AF275">
        <v>2</v>
      </c>
    </row>
    <row r="276" spans="1:32" x14ac:dyDescent="0.3">
      <c r="A276" t="s">
        <v>49</v>
      </c>
      <c r="B276">
        <v>230</v>
      </c>
      <c r="C276">
        <v>6.5987780040733204E-2</v>
      </c>
      <c r="D276">
        <v>3.9646978954514599E-2</v>
      </c>
      <c r="E276">
        <v>0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1</v>
      </c>
      <c r="L276">
        <v>0</v>
      </c>
      <c r="M276">
        <v>0.60550000000000004</v>
      </c>
      <c r="N276">
        <v>0</v>
      </c>
      <c r="O276">
        <v>32</v>
      </c>
      <c r="P276">
        <v>32</v>
      </c>
      <c r="Q276">
        <v>24</v>
      </c>
      <c r="R276">
        <v>18</v>
      </c>
      <c r="S276">
        <v>3.3904893762735999</v>
      </c>
      <c r="T276">
        <v>3.2848682006191501</v>
      </c>
      <c r="U276">
        <v>3.08836476672752</v>
      </c>
      <c r="V276">
        <v>3.0184985822513699</v>
      </c>
      <c r="W276">
        <v>183.76365280929701</v>
      </c>
      <c r="X276">
        <v>183.417126642451</v>
      </c>
      <c r="Y276">
        <v>182.772430337033</v>
      </c>
      <c r="Z276">
        <v>182.54321057169099</v>
      </c>
      <c r="AA276">
        <v>0</v>
      </c>
      <c r="AB276">
        <v>0</v>
      </c>
      <c r="AC276">
        <v>1</v>
      </c>
      <c r="AD276">
        <v>0</v>
      </c>
      <c r="AE276">
        <v>5</v>
      </c>
      <c r="AF276">
        <v>2</v>
      </c>
    </row>
    <row r="277" spans="1:32" x14ac:dyDescent="0.3">
      <c r="A277" t="s">
        <v>53</v>
      </c>
      <c r="B277">
        <v>234</v>
      </c>
      <c r="C277">
        <v>0.31785471826204997</v>
      </c>
      <c r="D277">
        <v>0.273455532926001</v>
      </c>
      <c r="E277">
        <v>0</v>
      </c>
      <c r="F277">
        <v>1</v>
      </c>
      <c r="G277">
        <v>1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0.13300000000000001</v>
      </c>
      <c r="N277">
        <v>0</v>
      </c>
      <c r="O277">
        <v>36</v>
      </c>
      <c r="P277">
        <v>25</v>
      </c>
      <c r="Q277">
        <v>17</v>
      </c>
      <c r="R277">
        <v>16</v>
      </c>
      <c r="S277">
        <v>3.23915301208479</v>
      </c>
      <c r="T277">
        <v>3.1603659535605102</v>
      </c>
      <c r="U277">
        <v>2.5177546999771199</v>
      </c>
      <c r="V277">
        <v>2.3742171226451201</v>
      </c>
      <c r="W277">
        <v>183.26714242809999</v>
      </c>
      <c r="X277">
        <v>183.00865470328301</v>
      </c>
      <c r="Y277">
        <v>180.900350065542</v>
      </c>
      <c r="Z277">
        <v>180.429426255397</v>
      </c>
      <c r="AA277">
        <v>0</v>
      </c>
      <c r="AB277">
        <v>0</v>
      </c>
      <c r="AC277">
        <v>1</v>
      </c>
      <c r="AD277">
        <v>0</v>
      </c>
      <c r="AE277">
        <v>239</v>
      </c>
      <c r="AF277">
        <v>2</v>
      </c>
    </row>
    <row r="278" spans="1:32" x14ac:dyDescent="0.3">
      <c r="A278" t="s">
        <v>57</v>
      </c>
      <c r="B278">
        <v>238</v>
      </c>
      <c r="C278">
        <v>6.1778682959945701E-2</v>
      </c>
      <c r="D278">
        <v>6.5987780040733204E-2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0.85399999999999998</v>
      </c>
      <c r="O278">
        <v>31</v>
      </c>
      <c r="P278">
        <v>35</v>
      </c>
      <c r="Q278">
        <v>18</v>
      </c>
      <c r="R278">
        <v>23</v>
      </c>
      <c r="S278">
        <v>2.73039125540175</v>
      </c>
      <c r="T278">
        <v>3.1045637874555601</v>
      </c>
      <c r="U278">
        <v>2.6264438303745599</v>
      </c>
      <c r="V278">
        <v>2.2949646006505402</v>
      </c>
      <c r="W278">
        <v>181.59797655971701</v>
      </c>
      <c r="X278">
        <v>182.825576730497</v>
      </c>
      <c r="Y278">
        <v>181.256941700704</v>
      </c>
      <c r="Z278">
        <v>180.16941141945699</v>
      </c>
      <c r="AA278">
        <v>0</v>
      </c>
      <c r="AB278">
        <v>0</v>
      </c>
      <c r="AC278">
        <v>1</v>
      </c>
      <c r="AD278">
        <v>0</v>
      </c>
      <c r="AE278">
        <v>37</v>
      </c>
      <c r="AF278">
        <v>2</v>
      </c>
    </row>
    <row r="279" spans="1:32" x14ac:dyDescent="0.3">
      <c r="A279" t="s">
        <v>61</v>
      </c>
      <c r="B279">
        <v>242</v>
      </c>
      <c r="C279">
        <v>9.6673455532926E-2</v>
      </c>
      <c r="D279">
        <v>0.31785471826204997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0</v>
      </c>
      <c r="O279">
        <v>38</v>
      </c>
      <c r="P279">
        <v>40</v>
      </c>
      <c r="Q279">
        <v>25</v>
      </c>
      <c r="R279">
        <v>21</v>
      </c>
      <c r="S279">
        <v>3.4476141244495202</v>
      </c>
      <c r="T279">
        <v>3.0737316304947502</v>
      </c>
      <c r="U279">
        <v>2.4519899515968402</v>
      </c>
      <c r="V279">
        <v>2.51696831269753</v>
      </c>
      <c r="W279">
        <v>183.95106996210501</v>
      </c>
      <c r="X279">
        <v>182.72442135989101</v>
      </c>
      <c r="Y279">
        <v>180.68458645537001</v>
      </c>
      <c r="Z279">
        <v>180.897770054782</v>
      </c>
      <c r="AA279">
        <v>0</v>
      </c>
      <c r="AB279">
        <v>0</v>
      </c>
      <c r="AC279">
        <v>1</v>
      </c>
      <c r="AD279">
        <v>0</v>
      </c>
      <c r="AE279">
        <v>27</v>
      </c>
      <c r="AF279">
        <v>2</v>
      </c>
    </row>
    <row r="280" spans="1:32" x14ac:dyDescent="0.3">
      <c r="A280" t="s">
        <v>65</v>
      </c>
      <c r="B280">
        <v>246</v>
      </c>
      <c r="C280">
        <v>0.144602851323829</v>
      </c>
      <c r="D280">
        <v>6.1778682959945701E-2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0</v>
      </c>
      <c r="O280">
        <v>34</v>
      </c>
      <c r="P280">
        <v>36</v>
      </c>
      <c r="Q280">
        <v>15</v>
      </c>
      <c r="R280">
        <v>14</v>
      </c>
      <c r="S280">
        <v>2.8853251518414802</v>
      </c>
      <c r="T280">
        <v>2.5801948003965101</v>
      </c>
      <c r="U280">
        <v>2.3034599042854902</v>
      </c>
      <c r="V280">
        <v>2.0259268824518299</v>
      </c>
      <c r="W280">
        <v>182.10628986824599</v>
      </c>
      <c r="X280">
        <v>181.10520603804599</v>
      </c>
      <c r="Y280">
        <v>180.197283150543</v>
      </c>
      <c r="Z280">
        <v>179.28674174032801</v>
      </c>
      <c r="AA280">
        <v>0</v>
      </c>
      <c r="AB280">
        <v>0</v>
      </c>
      <c r="AC280">
        <v>1</v>
      </c>
      <c r="AD280">
        <v>0</v>
      </c>
      <c r="AE280">
        <v>85</v>
      </c>
      <c r="AF280">
        <v>2</v>
      </c>
    </row>
    <row r="281" spans="1:32" x14ac:dyDescent="0.3">
      <c r="A281" t="s">
        <v>69</v>
      </c>
      <c r="B281">
        <v>250</v>
      </c>
      <c r="C281">
        <v>3.9646978954514599E-2</v>
      </c>
      <c r="D281">
        <v>9.6673455532926E-2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9.8000000000000004E-2</v>
      </c>
      <c r="O281">
        <v>37</v>
      </c>
      <c r="P281">
        <v>40</v>
      </c>
      <c r="Q281">
        <v>24</v>
      </c>
      <c r="R281">
        <v>23</v>
      </c>
      <c r="S281">
        <v>3.3059533155824199</v>
      </c>
      <c r="T281">
        <v>3.3870555800073801</v>
      </c>
      <c r="U281">
        <v>2.45996599355973</v>
      </c>
      <c r="V281">
        <v>2.29403987565804</v>
      </c>
      <c r="W281">
        <v>183.48630352881401</v>
      </c>
      <c r="X281">
        <v>183.752387073515</v>
      </c>
      <c r="Y281">
        <v>180.710754572046</v>
      </c>
      <c r="Z281">
        <v>180.16637754480999</v>
      </c>
      <c r="AA281">
        <v>0</v>
      </c>
      <c r="AB281">
        <v>0</v>
      </c>
      <c r="AC281">
        <v>1</v>
      </c>
      <c r="AD281">
        <v>0</v>
      </c>
      <c r="AE281">
        <v>42</v>
      </c>
      <c r="AF281">
        <v>2</v>
      </c>
    </row>
    <row r="282" spans="1:32" x14ac:dyDescent="0.3">
      <c r="A282" t="s">
        <v>73</v>
      </c>
      <c r="B282">
        <v>254</v>
      </c>
      <c r="C282">
        <v>0.273455532926001</v>
      </c>
      <c r="D282">
        <v>0.144602851323829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  <c r="O282">
        <v>35</v>
      </c>
      <c r="P282">
        <v>35</v>
      </c>
      <c r="Q282">
        <v>17</v>
      </c>
      <c r="R282">
        <v>17</v>
      </c>
      <c r="S282">
        <v>3.1208404904763101</v>
      </c>
      <c r="T282">
        <v>3.1190529547614201</v>
      </c>
      <c r="U282">
        <v>2.5073596782788101</v>
      </c>
      <c r="V282">
        <v>2.7743486327862499</v>
      </c>
      <c r="W282">
        <v>182.878977987127</v>
      </c>
      <c r="X282">
        <v>182.87311336863999</v>
      </c>
      <c r="Y282">
        <v>180.86624566364401</v>
      </c>
      <c r="Z282">
        <v>181.74219367712001</v>
      </c>
      <c r="AA282">
        <v>0</v>
      </c>
      <c r="AB282">
        <v>0</v>
      </c>
      <c r="AC282">
        <v>1</v>
      </c>
      <c r="AD282">
        <v>0</v>
      </c>
      <c r="AE282">
        <v>214</v>
      </c>
      <c r="AF282">
        <v>2</v>
      </c>
    </row>
    <row r="283" spans="1:32" x14ac:dyDescent="0.3">
      <c r="A283" t="s">
        <v>77</v>
      </c>
      <c r="B283">
        <v>258</v>
      </c>
      <c r="C283">
        <v>6.5987780040733204E-2</v>
      </c>
      <c r="D283">
        <v>3.9646978954514599E-2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9.8000000000000004E-2</v>
      </c>
      <c r="N283">
        <v>9.8000000000000004E-2</v>
      </c>
      <c r="O283">
        <v>42</v>
      </c>
      <c r="P283">
        <v>39</v>
      </c>
      <c r="Q283">
        <v>22</v>
      </c>
      <c r="R283">
        <v>24</v>
      </c>
      <c r="S283">
        <v>3.0966998424001599</v>
      </c>
      <c r="T283">
        <v>3.0250373497722398</v>
      </c>
      <c r="U283">
        <v>2.30275202315807</v>
      </c>
      <c r="V283">
        <v>2.1531476460742001</v>
      </c>
      <c r="W283">
        <v>182.79977638582699</v>
      </c>
      <c r="X283">
        <v>182.56466322103799</v>
      </c>
      <c r="Y283">
        <v>180.19496070589901</v>
      </c>
      <c r="Z283">
        <v>179.704132697094</v>
      </c>
      <c r="AA283">
        <v>0</v>
      </c>
      <c r="AB283">
        <v>0</v>
      </c>
      <c r="AC283">
        <v>1</v>
      </c>
      <c r="AD283">
        <v>0</v>
      </c>
      <c r="AE283">
        <v>87</v>
      </c>
      <c r="AF283">
        <v>2</v>
      </c>
    </row>
    <row r="284" spans="1:32" x14ac:dyDescent="0.3">
      <c r="A284" t="s">
        <v>81</v>
      </c>
      <c r="B284">
        <v>262</v>
      </c>
      <c r="C284">
        <v>0.31785471826204997</v>
      </c>
      <c r="D284">
        <v>0.273455532926001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1.0500000000000001E-2</v>
      </c>
      <c r="N284">
        <v>0</v>
      </c>
      <c r="O284">
        <v>36</v>
      </c>
      <c r="P284">
        <v>39</v>
      </c>
      <c r="Q284">
        <v>17</v>
      </c>
      <c r="R284">
        <v>18</v>
      </c>
      <c r="S284">
        <v>2.8834229024826699</v>
      </c>
      <c r="T284">
        <v>3.0199581677326601</v>
      </c>
      <c r="U284">
        <v>2.4293778437214399</v>
      </c>
      <c r="V284">
        <v>2.4294424511102202</v>
      </c>
      <c r="W284">
        <v>182.10004889266</v>
      </c>
      <c r="X284">
        <v>182.54799923796801</v>
      </c>
      <c r="Y284">
        <v>180.61039974974199</v>
      </c>
      <c r="Z284">
        <v>180.61061171624101</v>
      </c>
      <c r="AA284">
        <v>0</v>
      </c>
      <c r="AB284">
        <v>0</v>
      </c>
      <c r="AC284">
        <v>1</v>
      </c>
      <c r="AD284">
        <v>0</v>
      </c>
      <c r="AE284">
        <v>180</v>
      </c>
      <c r="AF284">
        <v>2</v>
      </c>
    </row>
    <row r="285" spans="1:32" x14ac:dyDescent="0.3">
      <c r="A285" t="s">
        <v>84</v>
      </c>
      <c r="B285">
        <v>266</v>
      </c>
      <c r="C285">
        <v>6.1778682959945701E-2</v>
      </c>
      <c r="D285">
        <v>6.5987780040733204E-2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0.80149999999999999</v>
      </c>
      <c r="O285">
        <v>35</v>
      </c>
      <c r="P285">
        <v>36</v>
      </c>
      <c r="Q285">
        <v>18</v>
      </c>
      <c r="R285">
        <v>19</v>
      </c>
      <c r="S285">
        <v>3.1466341695436699</v>
      </c>
      <c r="T285">
        <v>3.0138319011208901</v>
      </c>
      <c r="U285">
        <v>2.2192763758193701</v>
      </c>
      <c r="V285">
        <v>2.0780594406425799</v>
      </c>
      <c r="W285">
        <v>182.96360291844999</v>
      </c>
      <c r="X285">
        <v>182.52789993806101</v>
      </c>
      <c r="Y285">
        <v>179.921090471848</v>
      </c>
      <c r="Z285">
        <v>179.45778031706899</v>
      </c>
      <c r="AA285">
        <v>0</v>
      </c>
      <c r="AB285">
        <v>0</v>
      </c>
      <c r="AC285">
        <v>1</v>
      </c>
      <c r="AD285">
        <v>0</v>
      </c>
      <c r="AE285">
        <v>46</v>
      </c>
      <c r="AF285">
        <v>2</v>
      </c>
    </row>
    <row r="286" spans="1:32" x14ac:dyDescent="0.3">
      <c r="A286" t="s">
        <v>88</v>
      </c>
      <c r="B286">
        <v>270</v>
      </c>
      <c r="C286">
        <v>9.6673455532926E-2</v>
      </c>
      <c r="D286">
        <v>0.31785471826204997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34</v>
      </c>
      <c r="P286">
        <v>37</v>
      </c>
      <c r="Q286">
        <v>25</v>
      </c>
      <c r="R286">
        <v>18</v>
      </c>
      <c r="S286">
        <v>3.0652747477906499</v>
      </c>
      <c r="T286">
        <v>2.84432691941646</v>
      </c>
      <c r="U286">
        <v>2.3518279191551099</v>
      </c>
      <c r="V286">
        <v>2.0866321225840601</v>
      </c>
      <c r="W286">
        <v>182.69667568172801</v>
      </c>
      <c r="X286">
        <v>181.97178123168101</v>
      </c>
      <c r="Y286">
        <v>180.35597086337</v>
      </c>
      <c r="Z286">
        <v>179.48590591399</v>
      </c>
      <c r="AA286">
        <v>0</v>
      </c>
      <c r="AB286">
        <v>0</v>
      </c>
      <c r="AC286">
        <v>1</v>
      </c>
      <c r="AD286">
        <v>0</v>
      </c>
      <c r="AE286">
        <v>42</v>
      </c>
      <c r="AF286">
        <v>2</v>
      </c>
    </row>
    <row r="287" spans="1:32" x14ac:dyDescent="0.3">
      <c r="A287" t="s">
        <v>93</v>
      </c>
      <c r="B287">
        <v>274</v>
      </c>
      <c r="C287">
        <v>0.31785471826204997</v>
      </c>
      <c r="D287">
        <v>0.273455532926001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0.48</v>
      </c>
      <c r="N287">
        <v>0</v>
      </c>
      <c r="O287">
        <v>41</v>
      </c>
      <c r="P287">
        <v>39</v>
      </c>
      <c r="Q287">
        <v>21</v>
      </c>
      <c r="R287">
        <v>20</v>
      </c>
      <c r="S287">
        <v>3.0844557460744002</v>
      </c>
      <c r="T287">
        <v>3.0141445431664202</v>
      </c>
      <c r="U287">
        <v>2.14018929241045</v>
      </c>
      <c r="V287">
        <v>2.3777530414816401</v>
      </c>
      <c r="W287">
        <v>182.75960546612299</v>
      </c>
      <c r="X287">
        <v>182.528925666557</v>
      </c>
      <c r="Y287">
        <v>179.66161841342</v>
      </c>
      <c r="Z287">
        <v>180.44102703898201</v>
      </c>
      <c r="AA287">
        <v>0</v>
      </c>
      <c r="AB287">
        <v>0</v>
      </c>
      <c r="AC287">
        <v>1</v>
      </c>
      <c r="AD287">
        <v>0</v>
      </c>
      <c r="AE287">
        <v>212</v>
      </c>
      <c r="AF287">
        <v>2</v>
      </c>
    </row>
    <row r="288" spans="1:32" x14ac:dyDescent="0.3">
      <c r="A288" t="s">
        <v>97</v>
      </c>
      <c r="B288">
        <v>278</v>
      </c>
      <c r="C288">
        <v>6.1778682959945701E-2</v>
      </c>
      <c r="D288">
        <v>6.5987780040733204E-2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36</v>
      </c>
      <c r="P288">
        <v>41</v>
      </c>
      <c r="Q288">
        <v>24</v>
      </c>
      <c r="R288">
        <v>24</v>
      </c>
      <c r="S288">
        <v>3.3253153662707202</v>
      </c>
      <c r="T288">
        <v>3.1802381056562301</v>
      </c>
      <c r="U288">
        <v>2.2786336495903101</v>
      </c>
      <c r="V288">
        <v>2.2299869337594198</v>
      </c>
      <c r="W288">
        <v>183.549827317161</v>
      </c>
      <c r="X288">
        <v>183.07385205267801</v>
      </c>
      <c r="Y288">
        <v>180.11583218369501</v>
      </c>
      <c r="Z288">
        <v>179.95623009763599</v>
      </c>
      <c r="AA288">
        <v>0</v>
      </c>
      <c r="AB288">
        <v>0</v>
      </c>
      <c r="AC288">
        <v>1</v>
      </c>
      <c r="AD288">
        <v>0</v>
      </c>
      <c r="AE288">
        <v>21</v>
      </c>
      <c r="AF288">
        <v>2</v>
      </c>
    </row>
    <row r="289" spans="1:32" x14ac:dyDescent="0.3">
      <c r="A289" t="s">
        <v>105</v>
      </c>
      <c r="B289">
        <v>286</v>
      </c>
      <c r="C289">
        <v>0.144602851323829</v>
      </c>
      <c r="D289">
        <v>6.1778682959945701E-2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39</v>
      </c>
      <c r="P289">
        <v>32</v>
      </c>
      <c r="Q289">
        <v>17</v>
      </c>
      <c r="R289">
        <v>18</v>
      </c>
      <c r="S289">
        <v>2.8180245196931502</v>
      </c>
      <c r="T289">
        <v>3.00296801473413</v>
      </c>
      <c r="U289">
        <v>2.5112835034578098</v>
      </c>
      <c r="V289">
        <v>2.632352483874</v>
      </c>
      <c r="W289">
        <v>181.88548726933399</v>
      </c>
      <c r="X289">
        <v>182.49225726618801</v>
      </c>
      <c r="Y289">
        <v>180.87911910583301</v>
      </c>
      <c r="Z289">
        <v>181.276327046831</v>
      </c>
      <c r="AA289">
        <v>0</v>
      </c>
      <c r="AB289">
        <v>0</v>
      </c>
      <c r="AC289">
        <v>1</v>
      </c>
      <c r="AD289">
        <v>0</v>
      </c>
      <c r="AE289">
        <v>62</v>
      </c>
      <c r="AF289">
        <v>2</v>
      </c>
    </row>
    <row r="290" spans="1:32" x14ac:dyDescent="0.3">
      <c r="A290" t="s">
        <v>109</v>
      </c>
      <c r="B290">
        <v>290</v>
      </c>
      <c r="C290">
        <v>3.9646978954514599E-2</v>
      </c>
      <c r="D290">
        <v>9.6673455532926E-2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42</v>
      </c>
      <c r="P290">
        <v>38</v>
      </c>
      <c r="Q290">
        <v>19</v>
      </c>
      <c r="R290">
        <v>22</v>
      </c>
      <c r="S290">
        <v>3.02259548764675</v>
      </c>
      <c r="T290">
        <v>3.04568235385103</v>
      </c>
      <c r="U290">
        <v>2.2241682711104498</v>
      </c>
      <c r="V290">
        <v>2.5319440787486598</v>
      </c>
      <c r="W290">
        <v>182.556651862358</v>
      </c>
      <c r="X290">
        <v>182.63239617405199</v>
      </c>
      <c r="Y290">
        <v>179.937139997082</v>
      </c>
      <c r="Z290">
        <v>180.94690314550101</v>
      </c>
      <c r="AA290">
        <v>0</v>
      </c>
      <c r="AB290">
        <v>0</v>
      </c>
      <c r="AC290">
        <v>1</v>
      </c>
      <c r="AD290">
        <v>0</v>
      </c>
      <c r="AE290">
        <v>42</v>
      </c>
      <c r="AF290">
        <v>2</v>
      </c>
    </row>
    <row r="291" spans="1:32" x14ac:dyDescent="0.3">
      <c r="A291" t="s">
        <v>113</v>
      </c>
      <c r="B291">
        <v>294</v>
      </c>
      <c r="C291">
        <v>0.273455532926001</v>
      </c>
      <c r="D291">
        <v>0.144602851323829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41</v>
      </c>
      <c r="P291">
        <v>39</v>
      </c>
      <c r="Q291">
        <v>16</v>
      </c>
      <c r="R291">
        <v>21</v>
      </c>
      <c r="S291">
        <v>2.8032373042770602</v>
      </c>
      <c r="T291">
        <v>3.1286914308571001</v>
      </c>
      <c r="U291">
        <v>2.2268365987455798</v>
      </c>
      <c r="V291">
        <v>2.80382323542592</v>
      </c>
      <c r="W291">
        <v>181.83697278306099</v>
      </c>
      <c r="X291">
        <v>182.90473566554201</v>
      </c>
      <c r="Y291">
        <v>179.94589435284001</v>
      </c>
      <c r="Z291">
        <v>181.83889512934999</v>
      </c>
      <c r="AA291">
        <v>0</v>
      </c>
      <c r="AB291">
        <v>0</v>
      </c>
      <c r="AC291">
        <v>1</v>
      </c>
      <c r="AD291">
        <v>0</v>
      </c>
      <c r="AE291">
        <v>191</v>
      </c>
      <c r="AF291">
        <v>2</v>
      </c>
    </row>
    <row r="292" spans="1:32" x14ac:dyDescent="0.3">
      <c r="A292" t="s">
        <v>121</v>
      </c>
      <c r="B292">
        <v>302</v>
      </c>
      <c r="C292">
        <v>0.31785471826204997</v>
      </c>
      <c r="D292">
        <v>0.273455532926001</v>
      </c>
      <c r="E292">
        <v>0</v>
      </c>
      <c r="F292">
        <v>0</v>
      </c>
      <c r="G292">
        <v>0</v>
      </c>
      <c r="H292">
        <v>1</v>
      </c>
      <c r="I292">
        <v>0</v>
      </c>
      <c r="J292">
        <v>1</v>
      </c>
      <c r="K292">
        <v>0</v>
      </c>
      <c r="L292">
        <v>0</v>
      </c>
      <c r="M292">
        <v>0.16</v>
      </c>
      <c r="N292">
        <v>0.05</v>
      </c>
      <c r="O292">
        <v>24</v>
      </c>
      <c r="P292">
        <v>35</v>
      </c>
      <c r="Q292">
        <v>18</v>
      </c>
      <c r="R292">
        <v>16</v>
      </c>
      <c r="S292">
        <v>2.9213840972238398</v>
      </c>
      <c r="T292">
        <v>3.1194607274842601</v>
      </c>
      <c r="U292">
        <v>2.74099545841091</v>
      </c>
      <c r="V292">
        <v>2.3219016317345198</v>
      </c>
      <c r="W292">
        <v>182.22459349482901</v>
      </c>
      <c r="X292">
        <v>182.87445120565701</v>
      </c>
      <c r="Y292">
        <v>181.63276725200399</v>
      </c>
      <c r="Z292">
        <v>180.257787505691</v>
      </c>
      <c r="AA292">
        <v>0</v>
      </c>
      <c r="AB292">
        <v>0</v>
      </c>
      <c r="AC292">
        <v>1</v>
      </c>
      <c r="AD292">
        <v>0</v>
      </c>
      <c r="AE292">
        <v>7</v>
      </c>
      <c r="AF292">
        <v>2</v>
      </c>
    </row>
    <row r="293" spans="1:32" x14ac:dyDescent="0.3">
      <c r="A293" t="s">
        <v>11</v>
      </c>
      <c r="B293">
        <v>306</v>
      </c>
      <c r="C293">
        <v>0.27110009637890697</v>
      </c>
      <c r="D293">
        <v>0.14209004543577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27</v>
      </c>
      <c r="P293">
        <v>28</v>
      </c>
      <c r="Q293">
        <v>6</v>
      </c>
      <c r="R293">
        <v>14</v>
      </c>
      <c r="S293">
        <v>3.0610368064600202</v>
      </c>
      <c r="T293">
        <v>3.30745907556603</v>
      </c>
      <c r="U293">
        <v>2.8218256889659101</v>
      </c>
      <c r="V293">
        <v>2.6968742989510202</v>
      </c>
      <c r="W293">
        <v>182.74277167473801</v>
      </c>
      <c r="X293">
        <v>183.55124368624001</v>
      </c>
      <c r="Y293">
        <v>181.957958297132</v>
      </c>
      <c r="Z293">
        <v>181.548012791834</v>
      </c>
      <c r="AA293">
        <v>0</v>
      </c>
      <c r="AB293">
        <v>0</v>
      </c>
      <c r="AC293">
        <v>0</v>
      </c>
      <c r="AD293">
        <v>1</v>
      </c>
      <c r="AE293">
        <v>39</v>
      </c>
      <c r="AF293">
        <v>2</v>
      </c>
    </row>
    <row r="294" spans="1:32" x14ac:dyDescent="0.3">
      <c r="A294" t="s">
        <v>15</v>
      </c>
      <c r="B294">
        <v>310</v>
      </c>
      <c r="C294">
        <v>6.6776813988709896E-2</v>
      </c>
      <c r="D294">
        <v>4.0066088393225903E-2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33</v>
      </c>
      <c r="P294">
        <v>32</v>
      </c>
      <c r="Q294">
        <v>21</v>
      </c>
      <c r="R294">
        <v>20</v>
      </c>
      <c r="S294">
        <v>3.0373703327080799</v>
      </c>
      <c r="T294">
        <v>3.0008899082617599</v>
      </c>
      <c r="U294">
        <v>1.93276204159497</v>
      </c>
      <c r="V294">
        <v>2.5889431311490401</v>
      </c>
      <c r="W294">
        <v>182.66512576347799</v>
      </c>
      <c r="X294">
        <v>182.545439331567</v>
      </c>
      <c r="Y294">
        <v>179.04108281363199</v>
      </c>
      <c r="Z294">
        <v>181.19390791059399</v>
      </c>
      <c r="AA294">
        <v>0</v>
      </c>
      <c r="AB294">
        <v>0</v>
      </c>
      <c r="AC294">
        <v>0</v>
      </c>
      <c r="AD294">
        <v>1</v>
      </c>
      <c r="AE294">
        <v>15</v>
      </c>
      <c r="AF294">
        <v>2</v>
      </c>
    </row>
    <row r="295" spans="1:32" x14ac:dyDescent="0.3">
      <c r="A295" t="s">
        <v>19</v>
      </c>
      <c r="B295">
        <v>314</v>
      </c>
      <c r="C295">
        <v>0.32190554867134802</v>
      </c>
      <c r="D295">
        <v>0.27110009637890697</v>
      </c>
      <c r="E295">
        <v>0</v>
      </c>
      <c r="F295">
        <v>0</v>
      </c>
      <c r="G295">
        <v>0</v>
      </c>
      <c r="H295">
        <v>1</v>
      </c>
      <c r="I295">
        <v>0</v>
      </c>
      <c r="J295">
        <v>1</v>
      </c>
      <c r="K295">
        <v>0</v>
      </c>
      <c r="L295">
        <v>0</v>
      </c>
      <c r="M295">
        <v>1.0500000000000001E-2</v>
      </c>
      <c r="N295">
        <v>0</v>
      </c>
      <c r="O295">
        <v>22</v>
      </c>
      <c r="P295">
        <v>34</v>
      </c>
      <c r="Q295">
        <v>15</v>
      </c>
      <c r="R295">
        <v>17</v>
      </c>
      <c r="S295">
        <v>3.0906863606070001</v>
      </c>
      <c r="T295">
        <v>3.24291491041935</v>
      </c>
      <c r="U295">
        <v>2.4080264220868899</v>
      </c>
      <c r="V295">
        <v>2.3532816664095999</v>
      </c>
      <c r="W295">
        <v>182.84004711485201</v>
      </c>
      <c r="X295">
        <v>183.33948461423699</v>
      </c>
      <c r="Y295">
        <v>180.60034915382801</v>
      </c>
      <c r="Z295">
        <v>180.42074037536</v>
      </c>
      <c r="AA295">
        <v>0</v>
      </c>
      <c r="AB295">
        <v>0</v>
      </c>
      <c r="AC295">
        <v>0</v>
      </c>
      <c r="AD295">
        <v>1</v>
      </c>
      <c r="AE295">
        <v>17</v>
      </c>
      <c r="AF295">
        <v>2</v>
      </c>
    </row>
    <row r="296" spans="1:32" x14ac:dyDescent="0.3">
      <c r="A296" t="s">
        <v>23</v>
      </c>
      <c r="B296">
        <v>318</v>
      </c>
      <c r="C296">
        <v>6.0994079581440201E-2</v>
      </c>
      <c r="D296">
        <v>6.6776813988709896E-2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1.7500000000000002E-2</v>
      </c>
      <c r="O296">
        <v>28</v>
      </c>
      <c r="P296">
        <v>33</v>
      </c>
      <c r="Q296">
        <v>14</v>
      </c>
      <c r="R296">
        <v>24</v>
      </c>
      <c r="S296">
        <v>3.2901384934346498</v>
      </c>
      <c r="T296">
        <v>3.2525748060153599</v>
      </c>
      <c r="U296">
        <v>2.6811025885794399</v>
      </c>
      <c r="V296">
        <v>3.02410608236011</v>
      </c>
      <c r="W296">
        <v>183.494417629379</v>
      </c>
      <c r="X296">
        <v>183.37117718509</v>
      </c>
      <c r="Y296">
        <v>181.49626833523399</v>
      </c>
      <c r="Z296">
        <v>182.62160788175899</v>
      </c>
      <c r="AA296">
        <v>0</v>
      </c>
      <c r="AB296">
        <v>0</v>
      </c>
      <c r="AC296">
        <v>0</v>
      </c>
      <c r="AD296">
        <v>1</v>
      </c>
      <c r="AE296">
        <v>10</v>
      </c>
      <c r="AF296">
        <v>2</v>
      </c>
    </row>
    <row r="297" spans="1:32" x14ac:dyDescent="0.3">
      <c r="A297" t="s">
        <v>27</v>
      </c>
      <c r="B297">
        <v>322</v>
      </c>
      <c r="C297">
        <v>9.7067327550598895E-2</v>
      </c>
      <c r="D297">
        <v>0.32190554867134802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19</v>
      </c>
      <c r="P297">
        <v>29</v>
      </c>
      <c r="Q297">
        <v>19</v>
      </c>
      <c r="R297">
        <v>9</v>
      </c>
      <c r="S297">
        <v>2.89170775527043</v>
      </c>
      <c r="T297">
        <v>3.2154735624350099</v>
      </c>
      <c r="U297">
        <v>2.89170775527043</v>
      </c>
      <c r="V297">
        <v>2.9107592990647002</v>
      </c>
      <c r="W297">
        <v>182.18723016820999</v>
      </c>
      <c r="X297">
        <v>183.24945394499699</v>
      </c>
      <c r="Y297">
        <v>182.18723016820999</v>
      </c>
      <c r="Z297">
        <v>182.24973523315199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2</v>
      </c>
    </row>
    <row r="298" spans="1:32" x14ac:dyDescent="0.3">
      <c r="A298" t="s">
        <v>31</v>
      </c>
      <c r="B298">
        <v>326</v>
      </c>
      <c r="C298">
        <v>0.14209004543577</v>
      </c>
      <c r="D298">
        <v>6.0994079581440201E-2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</v>
      </c>
      <c r="O298">
        <v>35</v>
      </c>
      <c r="P298">
        <v>36</v>
      </c>
      <c r="Q298">
        <v>19</v>
      </c>
      <c r="R298">
        <v>25</v>
      </c>
      <c r="S298">
        <v>3.3382956201288398</v>
      </c>
      <c r="T298">
        <v>3.4210381443217299</v>
      </c>
      <c r="U298">
        <v>2.6264968656798202</v>
      </c>
      <c r="V298">
        <v>2.8793308024352999</v>
      </c>
      <c r="W298">
        <v>183.65241345186601</v>
      </c>
      <c r="X298">
        <v>183.923878426252</v>
      </c>
      <c r="Y298">
        <v>181.317115701049</v>
      </c>
      <c r="Z298">
        <v>182.14662336756999</v>
      </c>
      <c r="AA298">
        <v>0</v>
      </c>
      <c r="AB298">
        <v>0</v>
      </c>
      <c r="AC298">
        <v>0</v>
      </c>
      <c r="AD298">
        <v>1</v>
      </c>
      <c r="AE298">
        <v>39</v>
      </c>
      <c r="AF298">
        <v>2</v>
      </c>
    </row>
    <row r="299" spans="1:32" x14ac:dyDescent="0.3">
      <c r="A299" t="s">
        <v>36</v>
      </c>
      <c r="B299">
        <v>330</v>
      </c>
      <c r="C299">
        <v>6.0994079581440201E-2</v>
      </c>
      <c r="D299">
        <v>6.6776813988709896E-2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28</v>
      </c>
      <c r="P299">
        <v>31</v>
      </c>
      <c r="Q299">
        <v>15</v>
      </c>
      <c r="R299">
        <v>17</v>
      </c>
      <c r="S299">
        <v>2.9528045967740399</v>
      </c>
      <c r="T299">
        <v>2.8928053904531401</v>
      </c>
      <c r="U299">
        <v>2.4503514182825699</v>
      </c>
      <c r="V299">
        <v>2.4737482598337599</v>
      </c>
      <c r="W299">
        <v>182.38767912327401</v>
      </c>
      <c r="X299">
        <v>182.19083133350799</v>
      </c>
      <c r="Y299">
        <v>180.73921068990299</v>
      </c>
      <c r="Z299">
        <v>180.81597198108199</v>
      </c>
      <c r="AA299">
        <v>0</v>
      </c>
      <c r="AB299">
        <v>0</v>
      </c>
      <c r="AC299">
        <v>0</v>
      </c>
      <c r="AD299">
        <v>1</v>
      </c>
      <c r="AE299">
        <v>17</v>
      </c>
      <c r="AF299">
        <v>2</v>
      </c>
    </row>
    <row r="300" spans="1:32" x14ac:dyDescent="0.3">
      <c r="A300" t="s">
        <v>40</v>
      </c>
      <c r="B300">
        <v>334</v>
      </c>
      <c r="C300">
        <v>9.7067327550598895E-2</v>
      </c>
      <c r="D300">
        <v>0.32190554867134802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1</v>
      </c>
      <c r="L300">
        <v>0</v>
      </c>
      <c r="M300">
        <v>0.49</v>
      </c>
      <c r="N300">
        <v>0.44450000000000001</v>
      </c>
      <c r="O300">
        <v>38</v>
      </c>
      <c r="P300">
        <v>37</v>
      </c>
      <c r="Q300">
        <v>24</v>
      </c>
      <c r="R300">
        <v>19</v>
      </c>
      <c r="S300">
        <v>3.4997923727285198</v>
      </c>
      <c r="T300">
        <v>3.29462302346528</v>
      </c>
      <c r="U300">
        <v>2.6183422349941998</v>
      </c>
      <c r="V300">
        <v>2.5621060475492201</v>
      </c>
      <c r="W300">
        <v>184.18225844071</v>
      </c>
      <c r="X300">
        <v>183.50913065441401</v>
      </c>
      <c r="Y300">
        <v>181.29036166336701</v>
      </c>
      <c r="Z300">
        <v>181.10585973605399</v>
      </c>
      <c r="AA300">
        <v>0</v>
      </c>
      <c r="AB300">
        <v>0</v>
      </c>
      <c r="AC300">
        <v>0</v>
      </c>
      <c r="AD300">
        <v>1</v>
      </c>
      <c r="AE300">
        <v>46</v>
      </c>
      <c r="AF300">
        <v>2</v>
      </c>
    </row>
    <row r="301" spans="1:32" x14ac:dyDescent="0.3">
      <c r="A301" t="s">
        <v>44</v>
      </c>
      <c r="B301">
        <v>338</v>
      </c>
      <c r="C301">
        <v>0.14209004543577</v>
      </c>
      <c r="D301">
        <v>6.0994079581440201E-2</v>
      </c>
      <c r="E301">
        <v>0</v>
      </c>
      <c r="F301">
        <v>0</v>
      </c>
      <c r="G301">
        <v>0</v>
      </c>
      <c r="H301">
        <v>1</v>
      </c>
      <c r="I301">
        <v>0</v>
      </c>
      <c r="J301">
        <v>1</v>
      </c>
      <c r="K301">
        <v>0</v>
      </c>
      <c r="L301">
        <v>0</v>
      </c>
      <c r="M301">
        <v>3.5000000000000003E-2</v>
      </c>
      <c r="N301">
        <v>0</v>
      </c>
      <c r="O301">
        <v>34</v>
      </c>
      <c r="P301">
        <v>34</v>
      </c>
      <c r="Q301">
        <v>16</v>
      </c>
      <c r="R301">
        <v>20</v>
      </c>
      <c r="S301">
        <v>3.5856711986984902</v>
      </c>
      <c r="T301">
        <v>3.4843650963933199</v>
      </c>
      <c r="U301">
        <v>2.8842607341872002</v>
      </c>
      <c r="V301">
        <v>3.24513759739507</v>
      </c>
      <c r="W301">
        <v>184.46401311909</v>
      </c>
      <c r="X301">
        <v>184.13164401703801</v>
      </c>
      <c r="Y301">
        <v>182.162797684341</v>
      </c>
      <c r="Z301">
        <v>183.34677689434099</v>
      </c>
      <c r="AA301">
        <v>0</v>
      </c>
      <c r="AB301">
        <v>0</v>
      </c>
      <c r="AC301">
        <v>0</v>
      </c>
      <c r="AD301">
        <v>1</v>
      </c>
      <c r="AE301">
        <v>43</v>
      </c>
      <c r="AF301">
        <v>2</v>
      </c>
    </row>
    <row r="302" spans="1:32" x14ac:dyDescent="0.3">
      <c r="A302" t="s">
        <v>48</v>
      </c>
      <c r="B302">
        <v>342</v>
      </c>
      <c r="C302">
        <v>4.0066088393225903E-2</v>
      </c>
      <c r="D302">
        <v>9.7067327550598895E-2</v>
      </c>
      <c r="E302">
        <v>0</v>
      </c>
      <c r="F302">
        <v>0</v>
      </c>
      <c r="G302">
        <v>0</v>
      </c>
      <c r="H302">
        <v>1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0.17849999999999999</v>
      </c>
      <c r="O302">
        <v>32</v>
      </c>
      <c r="P302">
        <v>24</v>
      </c>
      <c r="Q302">
        <v>17</v>
      </c>
      <c r="R302">
        <v>20</v>
      </c>
      <c r="S302">
        <v>3.3079097647092199</v>
      </c>
      <c r="T302">
        <v>3.3938533016168901</v>
      </c>
      <c r="U302">
        <v>3.0493745724987602</v>
      </c>
      <c r="V302">
        <v>3.3363428778751398</v>
      </c>
      <c r="W302">
        <v>183.552722325161</v>
      </c>
      <c r="X302">
        <v>183.83468930976699</v>
      </c>
      <c r="Y302">
        <v>182.70450975229301</v>
      </c>
      <c r="Z302">
        <v>183.64600681717599</v>
      </c>
      <c r="AA302">
        <v>0</v>
      </c>
      <c r="AB302">
        <v>0</v>
      </c>
      <c r="AC302">
        <v>0</v>
      </c>
      <c r="AD302">
        <v>1</v>
      </c>
      <c r="AE302">
        <v>14</v>
      </c>
      <c r="AF302">
        <v>2</v>
      </c>
    </row>
    <row r="303" spans="1:32" x14ac:dyDescent="0.3">
      <c r="A303" t="s">
        <v>52</v>
      </c>
      <c r="B303">
        <v>346</v>
      </c>
      <c r="C303">
        <v>0.27110009637890697</v>
      </c>
      <c r="D303">
        <v>0.14209004543577</v>
      </c>
      <c r="E303">
        <v>1</v>
      </c>
      <c r="F303">
        <v>0</v>
      </c>
      <c r="G303">
        <v>0</v>
      </c>
      <c r="H303">
        <v>1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25</v>
      </c>
      <c r="P303">
        <v>35</v>
      </c>
      <c r="Q303">
        <v>16</v>
      </c>
      <c r="R303">
        <v>17</v>
      </c>
      <c r="S303">
        <v>3.1924475923686302</v>
      </c>
      <c r="T303">
        <v>3.4385564590342201</v>
      </c>
      <c r="U303">
        <v>2.4097026812121398</v>
      </c>
      <c r="V303">
        <v>3.0168855286656102</v>
      </c>
      <c r="W303">
        <v>183.17390942378199</v>
      </c>
      <c r="X303">
        <v>183.98135321205501</v>
      </c>
      <c r="Y303">
        <v>180.605848691641</v>
      </c>
      <c r="Z303">
        <v>182.597918401134</v>
      </c>
      <c r="AA303">
        <v>0</v>
      </c>
      <c r="AB303">
        <v>0</v>
      </c>
      <c r="AC303">
        <v>0</v>
      </c>
      <c r="AD303">
        <v>1</v>
      </c>
      <c r="AE303">
        <v>34</v>
      </c>
      <c r="AF303">
        <v>2</v>
      </c>
    </row>
    <row r="304" spans="1:32" x14ac:dyDescent="0.3">
      <c r="A304" t="s">
        <v>56</v>
      </c>
      <c r="B304">
        <v>350</v>
      </c>
      <c r="C304">
        <v>6.6776813988709896E-2</v>
      </c>
      <c r="D304">
        <v>4.0066088393225903E-2</v>
      </c>
      <c r="E304">
        <v>0</v>
      </c>
      <c r="F304">
        <v>0</v>
      </c>
      <c r="G304">
        <v>0</v>
      </c>
      <c r="H304">
        <v>0</v>
      </c>
      <c r="I304">
        <v>1</v>
      </c>
      <c r="J304">
        <v>1</v>
      </c>
      <c r="K304">
        <v>0</v>
      </c>
      <c r="L304">
        <v>0</v>
      </c>
      <c r="M304">
        <v>0.85399999999999998</v>
      </c>
      <c r="N304">
        <v>0</v>
      </c>
      <c r="O304">
        <v>36</v>
      </c>
      <c r="P304">
        <v>30</v>
      </c>
      <c r="Q304">
        <v>23</v>
      </c>
      <c r="R304">
        <v>21</v>
      </c>
      <c r="S304">
        <v>3.1368580167499398</v>
      </c>
      <c r="T304">
        <v>2.7499298514865602</v>
      </c>
      <c r="U304">
        <v>2.3225679048907302</v>
      </c>
      <c r="V304">
        <v>2.5393067445887598</v>
      </c>
      <c r="W304">
        <v>182.99152892634501</v>
      </c>
      <c r="X304">
        <v>181.722079565245</v>
      </c>
      <c r="Y304">
        <v>180.31997344124301</v>
      </c>
      <c r="Z304">
        <v>181.03105887332299</v>
      </c>
      <c r="AA304">
        <v>0</v>
      </c>
      <c r="AB304">
        <v>0</v>
      </c>
      <c r="AC304">
        <v>0</v>
      </c>
      <c r="AD304">
        <v>1</v>
      </c>
      <c r="AE304">
        <v>23</v>
      </c>
      <c r="AF304">
        <v>2</v>
      </c>
    </row>
    <row r="305" spans="1:32" x14ac:dyDescent="0.3">
      <c r="A305" t="s">
        <v>60</v>
      </c>
      <c r="B305">
        <v>354</v>
      </c>
      <c r="C305">
        <v>0.32190554867134802</v>
      </c>
      <c r="D305">
        <v>0.27110009637890697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40</v>
      </c>
      <c r="P305">
        <v>39</v>
      </c>
      <c r="Q305">
        <v>21</v>
      </c>
      <c r="R305">
        <v>17</v>
      </c>
      <c r="S305">
        <v>3.10520636080365</v>
      </c>
      <c r="T305">
        <v>2.6469655637469098</v>
      </c>
      <c r="U305">
        <v>2.5508359054991399</v>
      </c>
      <c r="V305">
        <v>2.04291049626669</v>
      </c>
      <c r="W305">
        <v>182.887684910773</v>
      </c>
      <c r="X305">
        <v>181.38427022226699</v>
      </c>
      <c r="Y305">
        <v>181.06888420439401</v>
      </c>
      <c r="Z305">
        <v>179.40246225809301</v>
      </c>
      <c r="AA305">
        <v>0</v>
      </c>
      <c r="AB305">
        <v>0</v>
      </c>
      <c r="AC305">
        <v>0</v>
      </c>
      <c r="AD305">
        <v>1</v>
      </c>
      <c r="AE305">
        <v>222</v>
      </c>
      <c r="AF305">
        <v>2</v>
      </c>
    </row>
    <row r="306" spans="1:32" x14ac:dyDescent="0.3">
      <c r="A306" t="s">
        <v>64</v>
      </c>
      <c r="B306">
        <v>358</v>
      </c>
      <c r="C306">
        <v>6.0994079581440201E-2</v>
      </c>
      <c r="D306">
        <v>6.6776813988709896E-2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0.42699999999999999</v>
      </c>
      <c r="O306">
        <v>36</v>
      </c>
      <c r="P306">
        <v>32</v>
      </c>
      <c r="Q306">
        <v>14</v>
      </c>
      <c r="R306">
        <v>20</v>
      </c>
      <c r="S306">
        <v>2.6118477959600099</v>
      </c>
      <c r="T306">
        <v>3.1243782280999501</v>
      </c>
      <c r="U306">
        <v>2.0563478732415699</v>
      </c>
      <c r="V306">
        <v>2.99421567920424</v>
      </c>
      <c r="W306">
        <v>181.269054448688</v>
      </c>
      <c r="X306">
        <v>182.95058473786099</v>
      </c>
      <c r="Y306">
        <v>179.44654814055599</v>
      </c>
      <c r="Z306">
        <v>182.52354225460701</v>
      </c>
      <c r="AA306">
        <v>0</v>
      </c>
      <c r="AB306">
        <v>0</v>
      </c>
      <c r="AC306">
        <v>0</v>
      </c>
      <c r="AD306">
        <v>1</v>
      </c>
      <c r="AE306">
        <v>52</v>
      </c>
      <c r="AF306">
        <v>2</v>
      </c>
    </row>
    <row r="307" spans="1:32" x14ac:dyDescent="0.3">
      <c r="A307" t="s">
        <v>68</v>
      </c>
      <c r="B307">
        <v>362</v>
      </c>
      <c r="C307">
        <v>9.7067327550598895E-2</v>
      </c>
      <c r="D307">
        <v>0.32190554867134802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9.8000000000000004E-2</v>
      </c>
      <c r="N307">
        <v>4.5499999999999999E-2</v>
      </c>
      <c r="O307">
        <v>41</v>
      </c>
      <c r="P307">
        <v>37</v>
      </c>
      <c r="Q307">
        <v>22</v>
      </c>
      <c r="R307">
        <v>23</v>
      </c>
      <c r="S307">
        <v>3.41783723669429</v>
      </c>
      <c r="T307">
        <v>3.18445229705417</v>
      </c>
      <c r="U307">
        <v>2.3312508809219801</v>
      </c>
      <c r="V307">
        <v>2.5734240928507099</v>
      </c>
      <c r="W307">
        <v>183.91337676080801</v>
      </c>
      <c r="X307">
        <v>183.147678139942</v>
      </c>
      <c r="Y307">
        <v>180.34846089541301</v>
      </c>
      <c r="Z307">
        <v>181.14299243061299</v>
      </c>
      <c r="AA307">
        <v>0</v>
      </c>
      <c r="AB307">
        <v>0</v>
      </c>
      <c r="AC307">
        <v>0</v>
      </c>
      <c r="AD307">
        <v>1</v>
      </c>
      <c r="AE307">
        <v>50</v>
      </c>
      <c r="AF307">
        <v>2</v>
      </c>
    </row>
    <row r="308" spans="1:32" x14ac:dyDescent="0.3">
      <c r="A308" t="s">
        <v>72</v>
      </c>
      <c r="B308">
        <v>366</v>
      </c>
      <c r="C308">
        <v>0.14209004543577</v>
      </c>
      <c r="D308">
        <v>6.0994079581440201E-2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35</v>
      </c>
      <c r="P308">
        <v>34</v>
      </c>
      <c r="Q308">
        <v>17</v>
      </c>
      <c r="R308">
        <v>19</v>
      </c>
      <c r="S308">
        <v>3.1525700049008698</v>
      </c>
      <c r="T308">
        <v>2.9980706443925098</v>
      </c>
      <c r="U308">
        <v>2.8098570459379002</v>
      </c>
      <c r="V308">
        <v>2.37424303323108</v>
      </c>
      <c r="W308">
        <v>183.04307744389999</v>
      </c>
      <c r="X308">
        <v>182.53618977819099</v>
      </c>
      <c r="Y308">
        <v>181.91869109559701</v>
      </c>
      <c r="Z308">
        <v>180.48951126388201</v>
      </c>
      <c r="AA308">
        <v>0</v>
      </c>
      <c r="AB308">
        <v>0</v>
      </c>
      <c r="AC308">
        <v>0</v>
      </c>
      <c r="AD308">
        <v>1</v>
      </c>
      <c r="AE308">
        <v>56</v>
      </c>
      <c r="AF308">
        <v>2</v>
      </c>
    </row>
    <row r="309" spans="1:32" x14ac:dyDescent="0.3">
      <c r="A309" t="s">
        <v>76</v>
      </c>
      <c r="B309">
        <v>370</v>
      </c>
      <c r="C309">
        <v>4.0066088393225903E-2</v>
      </c>
      <c r="D309">
        <v>9.7067327550598895E-2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9.8000000000000004E-2</v>
      </c>
      <c r="N309">
        <v>1.0500000000000001E-2</v>
      </c>
      <c r="O309">
        <v>39</v>
      </c>
      <c r="P309">
        <v>34</v>
      </c>
      <c r="Q309">
        <v>24</v>
      </c>
      <c r="R309">
        <v>22</v>
      </c>
      <c r="S309">
        <v>3.0650637594290799</v>
      </c>
      <c r="T309">
        <v>3.0343998355965001</v>
      </c>
      <c r="U309">
        <v>2.1939091170890199</v>
      </c>
      <c r="V309">
        <v>2.01759256858506</v>
      </c>
      <c r="W309">
        <v>182.75598346269399</v>
      </c>
      <c r="X309">
        <v>182.65538003804599</v>
      </c>
      <c r="Y309">
        <v>179.89786455737899</v>
      </c>
      <c r="Z309">
        <v>179.31939819089601</v>
      </c>
      <c r="AA309">
        <v>0</v>
      </c>
      <c r="AB309">
        <v>0</v>
      </c>
      <c r="AC309">
        <v>0</v>
      </c>
      <c r="AD309">
        <v>1</v>
      </c>
      <c r="AE309">
        <v>26</v>
      </c>
      <c r="AF309">
        <v>2</v>
      </c>
    </row>
    <row r="310" spans="1:32" x14ac:dyDescent="0.3">
      <c r="A310" t="s">
        <v>80</v>
      </c>
      <c r="B310">
        <v>374</v>
      </c>
      <c r="C310">
        <v>0.27110009637890697</v>
      </c>
      <c r="D310">
        <v>0.14209004543577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0.59499999999999997</v>
      </c>
      <c r="O310">
        <v>38</v>
      </c>
      <c r="P310">
        <v>39</v>
      </c>
      <c r="Q310">
        <v>18</v>
      </c>
      <c r="R310">
        <v>20</v>
      </c>
      <c r="S310">
        <v>3.0702347770718199</v>
      </c>
      <c r="T310">
        <v>3.1845510315906398</v>
      </c>
      <c r="U310">
        <v>2.4762564282218702</v>
      </c>
      <c r="V310">
        <v>2.4306595579105901</v>
      </c>
      <c r="W310">
        <v>182.77294874367399</v>
      </c>
      <c r="X310">
        <v>183.14800207214799</v>
      </c>
      <c r="Y310">
        <v>180.82420087999299</v>
      </c>
      <c r="Z310">
        <v>180.67460484878799</v>
      </c>
      <c r="AA310">
        <v>0</v>
      </c>
      <c r="AB310">
        <v>0</v>
      </c>
      <c r="AC310">
        <v>0</v>
      </c>
      <c r="AD310">
        <v>1</v>
      </c>
      <c r="AE310">
        <v>162</v>
      </c>
      <c r="AF310">
        <v>2</v>
      </c>
    </row>
    <row r="311" spans="1:32" x14ac:dyDescent="0.3">
      <c r="A311" t="s">
        <v>0</v>
      </c>
      <c r="B311">
        <v>378</v>
      </c>
      <c r="C311">
        <v>6.6776813988709896E-2</v>
      </c>
      <c r="D311">
        <v>4.0066088393225903E-2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0.80149999999999999</v>
      </c>
      <c r="N311">
        <v>0</v>
      </c>
      <c r="O311">
        <v>36</v>
      </c>
      <c r="P311">
        <v>39</v>
      </c>
      <c r="Q311">
        <v>19</v>
      </c>
      <c r="R311">
        <v>25</v>
      </c>
      <c r="S311">
        <v>3.07236256765903</v>
      </c>
      <c r="T311">
        <v>2.9137838805893002</v>
      </c>
      <c r="U311">
        <v>2.1070720947334101</v>
      </c>
      <c r="V311">
        <v>2.6340364929501301</v>
      </c>
      <c r="W311">
        <v>182.77992968392101</v>
      </c>
      <c r="X311">
        <v>182.25965840088401</v>
      </c>
      <c r="Y311">
        <v>179.61296619007001</v>
      </c>
      <c r="Z311">
        <v>181.341852010991</v>
      </c>
      <c r="AA311">
        <v>0</v>
      </c>
      <c r="AB311">
        <v>0</v>
      </c>
      <c r="AC311">
        <v>0</v>
      </c>
      <c r="AD311">
        <v>1</v>
      </c>
      <c r="AE311">
        <v>44</v>
      </c>
      <c r="AF311">
        <v>2</v>
      </c>
    </row>
    <row r="312" spans="1:32" x14ac:dyDescent="0.3">
      <c r="A312" t="s">
        <v>87</v>
      </c>
      <c r="B312">
        <v>382</v>
      </c>
      <c r="C312">
        <v>0.32190554867134802</v>
      </c>
      <c r="D312">
        <v>0.27110009637890697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37</v>
      </c>
      <c r="P312">
        <v>37</v>
      </c>
      <c r="Q312">
        <v>18</v>
      </c>
      <c r="R312">
        <v>16</v>
      </c>
      <c r="S312">
        <v>2.8801967778942998</v>
      </c>
      <c r="T312">
        <v>3.1751559250586898</v>
      </c>
      <c r="U312">
        <v>2.1330767685969301</v>
      </c>
      <c r="V312">
        <v>2.4406601457865</v>
      </c>
      <c r="W312">
        <v>182.14946449440399</v>
      </c>
      <c r="X312">
        <v>183.11717823181999</v>
      </c>
      <c r="Y312">
        <v>179.69828336153799</v>
      </c>
      <c r="Z312">
        <v>180.70741517646499</v>
      </c>
      <c r="AA312">
        <v>0</v>
      </c>
      <c r="AB312">
        <v>0</v>
      </c>
      <c r="AC312">
        <v>0</v>
      </c>
      <c r="AD312">
        <v>1</v>
      </c>
      <c r="AE312">
        <v>183</v>
      </c>
      <c r="AF312">
        <v>2</v>
      </c>
    </row>
    <row r="313" spans="1:32" x14ac:dyDescent="0.3">
      <c r="A313" t="s">
        <v>92</v>
      </c>
      <c r="B313">
        <v>386</v>
      </c>
      <c r="C313">
        <v>0.27110009637890697</v>
      </c>
      <c r="D313">
        <v>0.14209004543577</v>
      </c>
      <c r="E313">
        <v>0</v>
      </c>
      <c r="F313">
        <v>0</v>
      </c>
      <c r="G313">
        <v>1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38</v>
      </c>
      <c r="P313">
        <v>37</v>
      </c>
      <c r="Q313">
        <v>20</v>
      </c>
      <c r="R313">
        <v>21</v>
      </c>
      <c r="S313">
        <v>3.0597423124188601</v>
      </c>
      <c r="T313">
        <v>3.0263524985612902</v>
      </c>
      <c r="U313">
        <v>2.42581642082164</v>
      </c>
      <c r="V313">
        <v>2.1558792669354001</v>
      </c>
      <c r="W313">
        <v>182.73852464704299</v>
      </c>
      <c r="X313">
        <v>182.62897801365301</v>
      </c>
      <c r="Y313">
        <v>180.65871529141</v>
      </c>
      <c r="Z313">
        <v>179.77309470779301</v>
      </c>
      <c r="AA313">
        <v>0</v>
      </c>
      <c r="AB313">
        <v>0</v>
      </c>
      <c r="AC313">
        <v>0</v>
      </c>
      <c r="AD313">
        <v>1</v>
      </c>
      <c r="AE313">
        <v>100</v>
      </c>
      <c r="AF313">
        <v>2</v>
      </c>
    </row>
    <row r="314" spans="1:32" x14ac:dyDescent="0.3">
      <c r="A314" t="s">
        <v>96</v>
      </c>
      <c r="B314">
        <v>390</v>
      </c>
      <c r="C314">
        <v>6.6776813988709896E-2</v>
      </c>
      <c r="D314">
        <v>4.0066088393225903E-2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0.17</v>
      </c>
      <c r="O314">
        <v>41</v>
      </c>
      <c r="P314">
        <v>41</v>
      </c>
      <c r="Q314">
        <v>24</v>
      </c>
      <c r="R314">
        <v>23</v>
      </c>
      <c r="S314">
        <v>3.2147276825084301</v>
      </c>
      <c r="T314">
        <v>3.2214090571415701</v>
      </c>
      <c r="U314">
        <v>2.27855597070559</v>
      </c>
      <c r="V314">
        <v>2.0732817920457598</v>
      </c>
      <c r="W314">
        <v>183.247006832377</v>
      </c>
      <c r="X314">
        <v>183.26892735282701</v>
      </c>
      <c r="Y314">
        <v>180.175577331711</v>
      </c>
      <c r="Z314">
        <v>179.502105616948</v>
      </c>
      <c r="AA314">
        <v>0</v>
      </c>
      <c r="AB314">
        <v>0</v>
      </c>
      <c r="AC314">
        <v>0</v>
      </c>
      <c r="AD314">
        <v>1</v>
      </c>
      <c r="AE314">
        <v>44</v>
      </c>
      <c r="AF314">
        <v>2</v>
      </c>
    </row>
    <row r="315" spans="1:32" x14ac:dyDescent="0.3">
      <c r="A315" t="s">
        <v>100</v>
      </c>
      <c r="B315">
        <v>394</v>
      </c>
      <c r="C315">
        <v>0.32190554867134802</v>
      </c>
      <c r="D315">
        <v>0.27110009637890697</v>
      </c>
      <c r="E315">
        <v>0</v>
      </c>
      <c r="F315">
        <v>0</v>
      </c>
      <c r="G315">
        <v>0</v>
      </c>
      <c r="H315">
        <v>1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0.65</v>
      </c>
      <c r="O315">
        <v>27</v>
      </c>
      <c r="P315">
        <v>41</v>
      </c>
      <c r="Q315">
        <v>19</v>
      </c>
      <c r="R315">
        <v>18</v>
      </c>
      <c r="S315">
        <v>2.1957630654829199</v>
      </c>
      <c r="T315">
        <v>2.6069177584875498</v>
      </c>
      <c r="U315">
        <v>1.65784787865496</v>
      </c>
      <c r="V315">
        <v>2.0864869275167601</v>
      </c>
      <c r="W315">
        <v>179.90394706523301</v>
      </c>
      <c r="X315">
        <v>181.25287978506401</v>
      </c>
      <c r="Y315">
        <v>178.139133460154</v>
      </c>
      <c r="Z315">
        <v>179.54542955222001</v>
      </c>
      <c r="AA315">
        <v>0</v>
      </c>
      <c r="AB315">
        <v>0</v>
      </c>
      <c r="AC315">
        <v>0</v>
      </c>
      <c r="AD315">
        <v>1</v>
      </c>
      <c r="AE315">
        <v>35</v>
      </c>
      <c r="AF315">
        <v>2</v>
      </c>
    </row>
    <row r="316" spans="1:32" x14ac:dyDescent="0.3">
      <c r="A316" t="s">
        <v>104</v>
      </c>
      <c r="B316">
        <v>398</v>
      </c>
      <c r="C316">
        <v>6.0994079581440201E-2</v>
      </c>
      <c r="D316">
        <v>6.6776813988709896E-2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1.59</v>
      </c>
      <c r="O316">
        <v>32</v>
      </c>
      <c r="P316">
        <v>36</v>
      </c>
      <c r="Q316">
        <v>23</v>
      </c>
      <c r="R316">
        <v>23</v>
      </c>
      <c r="S316">
        <v>3.0387981941826201</v>
      </c>
      <c r="T316">
        <v>3.2986207735725102</v>
      </c>
      <c r="U316">
        <v>2.6707993547349802</v>
      </c>
      <c r="V316">
        <v>2.4959404580259301</v>
      </c>
      <c r="W316">
        <v>182.669810348368</v>
      </c>
      <c r="X316">
        <v>183.52224663245599</v>
      </c>
      <c r="Y316">
        <v>181.46246507459</v>
      </c>
      <c r="Z316">
        <v>180.888781030269</v>
      </c>
      <c r="AA316">
        <v>0</v>
      </c>
      <c r="AB316">
        <v>0</v>
      </c>
      <c r="AC316">
        <v>0</v>
      </c>
      <c r="AD316">
        <v>1</v>
      </c>
      <c r="AE316">
        <v>17</v>
      </c>
      <c r="AF316">
        <v>2</v>
      </c>
    </row>
    <row r="317" spans="1:32" x14ac:dyDescent="0.3">
      <c r="A317" t="s">
        <v>108</v>
      </c>
      <c r="B317">
        <v>402</v>
      </c>
      <c r="C317">
        <v>9.7067327550598895E-2</v>
      </c>
      <c r="D317">
        <v>0.32190554867134802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38</v>
      </c>
      <c r="P317">
        <v>35</v>
      </c>
      <c r="Q317">
        <v>23</v>
      </c>
      <c r="R317">
        <v>19</v>
      </c>
      <c r="S317">
        <v>3.0412324180523398</v>
      </c>
      <c r="T317">
        <v>3.3738036636329198</v>
      </c>
      <c r="U317">
        <v>2.5168834119433399</v>
      </c>
      <c r="V317">
        <v>2.6665689565537001</v>
      </c>
      <c r="W317">
        <v>182.677796647153</v>
      </c>
      <c r="X317">
        <v>183.76890965758801</v>
      </c>
      <c r="Y317">
        <v>180.95749150899999</v>
      </c>
      <c r="Z317">
        <v>181.44858581546501</v>
      </c>
      <c r="AA317">
        <v>0</v>
      </c>
      <c r="AB317">
        <v>0</v>
      </c>
      <c r="AC317">
        <v>0</v>
      </c>
      <c r="AD317">
        <v>1</v>
      </c>
      <c r="AE317">
        <v>45</v>
      </c>
      <c r="AF317">
        <v>2</v>
      </c>
    </row>
    <row r="318" spans="1:32" x14ac:dyDescent="0.3">
      <c r="A318" t="s">
        <v>112</v>
      </c>
      <c r="B318">
        <v>406</v>
      </c>
      <c r="C318">
        <v>0.14209004543577</v>
      </c>
      <c r="D318">
        <v>6.0994079581440201E-2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38</v>
      </c>
      <c r="P318">
        <v>39</v>
      </c>
      <c r="Q318">
        <v>21</v>
      </c>
      <c r="R318">
        <v>22</v>
      </c>
      <c r="S318">
        <v>3.12119998222005</v>
      </c>
      <c r="T318">
        <v>3.2235886745676101</v>
      </c>
      <c r="U318">
        <v>2.8077759088861298</v>
      </c>
      <c r="V318">
        <v>2.5153210469134</v>
      </c>
      <c r="W318">
        <v>182.94015742198201</v>
      </c>
      <c r="X318">
        <v>183.27607832863399</v>
      </c>
      <c r="Y318">
        <v>181.91186321813001</v>
      </c>
      <c r="Z318">
        <v>180.95236563948001</v>
      </c>
      <c r="AA318">
        <v>0</v>
      </c>
      <c r="AB318">
        <v>0</v>
      </c>
      <c r="AC318">
        <v>0</v>
      </c>
      <c r="AD318">
        <v>1</v>
      </c>
      <c r="AE318">
        <v>51</v>
      </c>
      <c r="AF318">
        <v>2</v>
      </c>
    </row>
    <row r="319" spans="1:32" x14ac:dyDescent="0.3">
      <c r="A319" t="s">
        <v>116</v>
      </c>
      <c r="B319">
        <v>410</v>
      </c>
      <c r="C319">
        <v>4.0066088393225903E-2</v>
      </c>
      <c r="D319">
        <v>9.7067327550598895E-2</v>
      </c>
      <c r="E319">
        <v>0</v>
      </c>
      <c r="F319">
        <v>1</v>
      </c>
      <c r="G319">
        <v>1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43</v>
      </c>
      <c r="P319">
        <v>43</v>
      </c>
      <c r="Q319">
        <v>24</v>
      </c>
      <c r="R319">
        <v>18</v>
      </c>
      <c r="S319">
        <v>3.3064218826999001</v>
      </c>
      <c r="T319">
        <v>2.7871757441615301</v>
      </c>
      <c r="U319">
        <v>2.1448170129117701</v>
      </c>
      <c r="V319">
        <v>1.8338352820227899</v>
      </c>
      <c r="W319">
        <v>183.547840822506</v>
      </c>
      <c r="X319">
        <v>181.84427737585801</v>
      </c>
      <c r="Y319">
        <v>179.736801223464</v>
      </c>
      <c r="Z319">
        <v>178.716519954143</v>
      </c>
      <c r="AA319">
        <v>0</v>
      </c>
      <c r="AB319">
        <v>0</v>
      </c>
      <c r="AC319">
        <v>0</v>
      </c>
      <c r="AD319">
        <v>1</v>
      </c>
      <c r="AE319">
        <v>36</v>
      </c>
      <c r="AF319">
        <v>2</v>
      </c>
    </row>
    <row r="320" spans="1:32" x14ac:dyDescent="0.3">
      <c r="A320" t="s">
        <v>120</v>
      </c>
      <c r="B320">
        <v>414</v>
      </c>
      <c r="C320">
        <v>0.27110009637890697</v>
      </c>
      <c r="D320">
        <v>0.14209004543577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0.05</v>
      </c>
      <c r="N320">
        <v>0.68</v>
      </c>
      <c r="O320">
        <v>35</v>
      </c>
      <c r="P320">
        <v>36</v>
      </c>
      <c r="Q320">
        <v>16</v>
      </c>
      <c r="R320">
        <v>18</v>
      </c>
      <c r="S320">
        <v>3.1163345303513199</v>
      </c>
      <c r="T320">
        <v>3.1729569543979999</v>
      </c>
      <c r="U320">
        <v>2.2839516361177901</v>
      </c>
      <c r="V320">
        <v>2.6904742287645398</v>
      </c>
      <c r="W320">
        <v>182.92419465338401</v>
      </c>
      <c r="X320">
        <v>183.10996376114801</v>
      </c>
      <c r="Y320">
        <v>180.193279646056</v>
      </c>
      <c r="Z320">
        <v>181.52701518623499</v>
      </c>
      <c r="AA320">
        <v>0</v>
      </c>
      <c r="AB320">
        <v>0</v>
      </c>
      <c r="AC320">
        <v>0</v>
      </c>
      <c r="AD320">
        <v>1</v>
      </c>
      <c r="AE320">
        <v>86</v>
      </c>
      <c r="AF320">
        <v>2</v>
      </c>
    </row>
    <row r="321" spans="1:32" x14ac:dyDescent="0.3">
      <c r="A321" t="s">
        <v>26</v>
      </c>
      <c r="B321">
        <v>16</v>
      </c>
      <c r="C321">
        <v>0.33658310120705698</v>
      </c>
      <c r="D321">
        <v>0.24001857010213601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31</v>
      </c>
      <c r="P321">
        <v>32</v>
      </c>
      <c r="Q321">
        <v>12</v>
      </c>
      <c r="R321">
        <v>16</v>
      </c>
      <c r="S321">
        <v>1.1858058261714199</v>
      </c>
      <c r="T321">
        <v>1.5850013074045799</v>
      </c>
      <c r="U321">
        <v>0.98405613022083605</v>
      </c>
      <c r="V321">
        <v>1.08223480540075</v>
      </c>
      <c r="W321">
        <v>183.00043906224201</v>
      </c>
      <c r="X321">
        <v>184.310135522981</v>
      </c>
      <c r="Y321">
        <v>182.33853061096099</v>
      </c>
      <c r="Z321">
        <v>182.66063912533099</v>
      </c>
      <c r="AA321">
        <v>1</v>
      </c>
      <c r="AB321">
        <v>0</v>
      </c>
      <c r="AC321">
        <v>0</v>
      </c>
      <c r="AD321">
        <v>0</v>
      </c>
      <c r="AE321">
        <v>38</v>
      </c>
      <c r="AF321">
        <v>3</v>
      </c>
    </row>
    <row r="322" spans="1:32" x14ac:dyDescent="0.3">
      <c r="A322" t="s">
        <v>30</v>
      </c>
      <c r="B322">
        <v>20</v>
      </c>
      <c r="C322">
        <v>7.6601671309192196E-2</v>
      </c>
      <c r="D322">
        <v>6.9637883008356605E-2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0.11550000000000001</v>
      </c>
      <c r="O322">
        <v>33</v>
      </c>
      <c r="P322">
        <v>32</v>
      </c>
      <c r="Q322">
        <v>20</v>
      </c>
      <c r="R322">
        <v>16</v>
      </c>
      <c r="S322">
        <v>1.8073556344474</v>
      </c>
      <c r="T322">
        <v>1.5876813093109601</v>
      </c>
      <c r="U322">
        <v>1.48466663438573</v>
      </c>
      <c r="V322">
        <v>0.78288819777123997</v>
      </c>
      <c r="W322">
        <v>185.03964446997199</v>
      </c>
      <c r="X322">
        <v>184.31892818015399</v>
      </c>
      <c r="Y322">
        <v>183.98095352488801</v>
      </c>
      <c r="Z322">
        <v>181.67853083258299</v>
      </c>
      <c r="AA322">
        <v>1</v>
      </c>
      <c r="AB322">
        <v>0</v>
      </c>
      <c r="AC322">
        <v>0</v>
      </c>
      <c r="AD322">
        <v>0</v>
      </c>
      <c r="AE322">
        <v>14</v>
      </c>
      <c r="AF322">
        <v>3</v>
      </c>
    </row>
    <row r="323" spans="1:32" x14ac:dyDescent="0.3">
      <c r="A323" t="s">
        <v>124</v>
      </c>
      <c r="B323">
        <v>24</v>
      </c>
      <c r="C323">
        <v>7.7994428969359306E-2</v>
      </c>
      <c r="D323">
        <v>0.33658310120705698</v>
      </c>
      <c r="E323">
        <v>0</v>
      </c>
      <c r="F323">
        <v>0</v>
      </c>
      <c r="G323">
        <v>0</v>
      </c>
      <c r="H323">
        <v>1</v>
      </c>
      <c r="I323">
        <v>0</v>
      </c>
      <c r="J323">
        <v>1</v>
      </c>
      <c r="K323">
        <v>0</v>
      </c>
      <c r="L323">
        <v>0</v>
      </c>
      <c r="M323">
        <v>0.87150000000000005</v>
      </c>
      <c r="N323">
        <v>0</v>
      </c>
      <c r="O323">
        <v>19</v>
      </c>
      <c r="P323">
        <v>37</v>
      </c>
      <c r="Q323">
        <v>17</v>
      </c>
      <c r="R323">
        <v>14</v>
      </c>
      <c r="S323">
        <v>1.6294050586726301</v>
      </c>
      <c r="T323">
        <v>1.8383293786799899</v>
      </c>
      <c r="U323">
        <v>1.5368777304486001</v>
      </c>
      <c r="V323">
        <v>0.93873543150711702</v>
      </c>
      <c r="W323">
        <v>184.455817121629</v>
      </c>
      <c r="X323">
        <v>185.14126436574799</v>
      </c>
      <c r="Y323">
        <v>184.15224977181299</v>
      </c>
      <c r="Z323">
        <v>182.18984065455101</v>
      </c>
      <c r="AA323">
        <v>1</v>
      </c>
      <c r="AB323">
        <v>0</v>
      </c>
      <c r="AC323">
        <v>0</v>
      </c>
      <c r="AD323">
        <v>0</v>
      </c>
      <c r="AE323">
        <v>2</v>
      </c>
      <c r="AF323">
        <v>3</v>
      </c>
    </row>
    <row r="324" spans="1:32" x14ac:dyDescent="0.3">
      <c r="A324" t="s">
        <v>37</v>
      </c>
      <c r="B324">
        <v>28</v>
      </c>
      <c r="C324">
        <v>0.16573816155988899</v>
      </c>
      <c r="D324">
        <v>7.6601671309192196E-2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36</v>
      </c>
      <c r="P324">
        <v>26</v>
      </c>
      <c r="Q324">
        <v>21</v>
      </c>
      <c r="R324">
        <v>19</v>
      </c>
      <c r="S324">
        <v>1.3941054796604699</v>
      </c>
      <c r="T324">
        <v>1.3218717495663099</v>
      </c>
      <c r="U324">
        <v>1.1843125230881799</v>
      </c>
      <c r="V324">
        <v>0.79105369734494602</v>
      </c>
      <c r="W324">
        <v>183.683836875526</v>
      </c>
      <c r="X324">
        <v>183.446849572068</v>
      </c>
      <c r="Y324">
        <v>182.99553977391099</v>
      </c>
      <c r="Z324">
        <v>181.70532052934701</v>
      </c>
      <c r="AA324">
        <v>1</v>
      </c>
      <c r="AB324">
        <v>0</v>
      </c>
      <c r="AC324">
        <v>0</v>
      </c>
      <c r="AD324">
        <v>0</v>
      </c>
      <c r="AE324">
        <v>15</v>
      </c>
      <c r="AF324">
        <v>3</v>
      </c>
    </row>
    <row r="325" spans="1:32" x14ac:dyDescent="0.3">
      <c r="A325" t="s">
        <v>49</v>
      </c>
      <c r="B325">
        <v>36</v>
      </c>
      <c r="C325">
        <v>6.9637883008356605E-2</v>
      </c>
      <c r="D325">
        <v>3.3426183844011102E-2</v>
      </c>
      <c r="E325">
        <v>0</v>
      </c>
      <c r="F325">
        <v>0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0.60550000000000004</v>
      </c>
      <c r="N325">
        <v>0</v>
      </c>
      <c r="O325">
        <v>25</v>
      </c>
      <c r="P325">
        <v>30</v>
      </c>
      <c r="Q325">
        <v>22</v>
      </c>
      <c r="R325">
        <v>17</v>
      </c>
      <c r="S325">
        <v>1.9868774291325899</v>
      </c>
      <c r="T325">
        <v>1.73928568149942</v>
      </c>
      <c r="U325">
        <v>1.6189689837985599</v>
      </c>
      <c r="V325">
        <v>1.55371550596091</v>
      </c>
      <c r="W325">
        <v>185.62862673599901</v>
      </c>
      <c r="X325">
        <v>184.816317852688</v>
      </c>
      <c r="Y325">
        <v>184.42157803083501</v>
      </c>
      <c r="Z325">
        <v>184.207491817457</v>
      </c>
      <c r="AA325">
        <v>1</v>
      </c>
      <c r="AB325">
        <v>0</v>
      </c>
      <c r="AC325">
        <v>0</v>
      </c>
      <c r="AD325">
        <v>0</v>
      </c>
      <c r="AE325">
        <v>2</v>
      </c>
      <c r="AF325">
        <v>3</v>
      </c>
    </row>
    <row r="326" spans="1:32" x14ac:dyDescent="0.3">
      <c r="A326" t="s">
        <v>53</v>
      </c>
      <c r="B326">
        <v>40</v>
      </c>
      <c r="C326">
        <v>0.33658310120705698</v>
      </c>
      <c r="D326">
        <v>0.24001857010213601</v>
      </c>
      <c r="E326">
        <v>0</v>
      </c>
      <c r="F326">
        <v>1</v>
      </c>
      <c r="G326">
        <v>1</v>
      </c>
      <c r="H326">
        <v>0</v>
      </c>
      <c r="I326">
        <v>0</v>
      </c>
      <c r="J326">
        <v>0</v>
      </c>
      <c r="K326">
        <v>1</v>
      </c>
      <c r="L326">
        <v>0</v>
      </c>
      <c r="M326">
        <v>0.13300000000000001</v>
      </c>
      <c r="N326">
        <v>0</v>
      </c>
      <c r="O326">
        <v>36</v>
      </c>
      <c r="P326">
        <v>24</v>
      </c>
      <c r="Q326">
        <v>16</v>
      </c>
      <c r="R326">
        <v>18</v>
      </c>
      <c r="S326">
        <v>1.6083595400789299</v>
      </c>
      <c r="T326">
        <v>1.43112524802424</v>
      </c>
      <c r="U326">
        <v>1.0112719800643799</v>
      </c>
      <c r="V326">
        <v>1.11915530747697</v>
      </c>
      <c r="W326">
        <v>184.38677014461601</v>
      </c>
      <c r="X326">
        <v>183.80529280847901</v>
      </c>
      <c r="Y326">
        <v>182.42782145690401</v>
      </c>
      <c r="Z326">
        <v>182.78176938148599</v>
      </c>
      <c r="AA326">
        <v>1</v>
      </c>
      <c r="AB326">
        <v>0</v>
      </c>
      <c r="AC326">
        <v>0</v>
      </c>
      <c r="AD326">
        <v>0</v>
      </c>
      <c r="AE326">
        <v>80</v>
      </c>
      <c r="AF326">
        <v>3</v>
      </c>
    </row>
    <row r="327" spans="1:32" x14ac:dyDescent="0.3">
      <c r="A327" t="s">
        <v>57</v>
      </c>
      <c r="B327">
        <v>44</v>
      </c>
      <c r="C327">
        <v>7.6601671309192196E-2</v>
      </c>
      <c r="D327">
        <v>6.9637883008356605E-2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0.85399999999999998</v>
      </c>
      <c r="O327">
        <v>31</v>
      </c>
      <c r="P327">
        <v>32</v>
      </c>
      <c r="Q327">
        <v>22</v>
      </c>
      <c r="R327">
        <v>32</v>
      </c>
      <c r="S327">
        <v>1.0620636473106999</v>
      </c>
      <c r="T327">
        <v>0.58658599090475205</v>
      </c>
      <c r="U327">
        <v>0.76034752738834899</v>
      </c>
      <c r="V327">
        <v>0.58658599090475205</v>
      </c>
      <c r="W327">
        <v>182.59446078514</v>
      </c>
      <c r="X327">
        <v>181.03449472081601</v>
      </c>
      <c r="Y327">
        <v>181.60457850193001</v>
      </c>
      <c r="Z327">
        <v>181.03449472081601</v>
      </c>
      <c r="AA327">
        <v>1</v>
      </c>
      <c r="AB327">
        <v>0</v>
      </c>
      <c r="AC327">
        <v>0</v>
      </c>
      <c r="AD327">
        <v>0</v>
      </c>
      <c r="AE327">
        <v>16</v>
      </c>
      <c r="AF327">
        <v>3</v>
      </c>
    </row>
    <row r="328" spans="1:32" x14ac:dyDescent="0.3">
      <c r="A328" t="s">
        <v>61</v>
      </c>
      <c r="B328">
        <v>48</v>
      </c>
      <c r="C328">
        <v>7.7994428969359306E-2</v>
      </c>
      <c r="D328">
        <v>0.33658310120705698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35</v>
      </c>
      <c r="P328">
        <v>40</v>
      </c>
      <c r="Q328">
        <v>26</v>
      </c>
      <c r="R328">
        <v>15</v>
      </c>
      <c r="S328">
        <v>0.93021896797324799</v>
      </c>
      <c r="T328">
        <v>1.29987295518982</v>
      </c>
      <c r="U328">
        <v>0.59566146465738401</v>
      </c>
      <c r="V328">
        <v>0.57488517829128705</v>
      </c>
      <c r="W328">
        <v>182.16189950122501</v>
      </c>
      <c r="X328">
        <v>183.37467504983499</v>
      </c>
      <c r="Y328">
        <v>181.06426989716999</v>
      </c>
      <c r="Z328">
        <v>180.99610622799</v>
      </c>
      <c r="AA328">
        <v>1</v>
      </c>
      <c r="AB328">
        <v>0</v>
      </c>
      <c r="AC328">
        <v>0</v>
      </c>
      <c r="AD328">
        <v>0</v>
      </c>
      <c r="AE328">
        <v>5</v>
      </c>
      <c r="AF328">
        <v>3</v>
      </c>
    </row>
    <row r="329" spans="1:32" x14ac:dyDescent="0.3">
      <c r="A329" t="s">
        <v>65</v>
      </c>
      <c r="B329">
        <v>52</v>
      </c>
      <c r="C329">
        <v>0.16573816155988899</v>
      </c>
      <c r="D329">
        <v>7.6601671309192196E-2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32</v>
      </c>
      <c r="P329">
        <v>37</v>
      </c>
      <c r="Q329">
        <v>12</v>
      </c>
      <c r="R329">
        <v>12</v>
      </c>
      <c r="S329">
        <v>1.06173866744552</v>
      </c>
      <c r="T329">
        <v>0.57578415333256505</v>
      </c>
      <c r="U329">
        <v>0.35813523498652899</v>
      </c>
      <c r="V329">
        <v>0.11128936144064699</v>
      </c>
      <c r="W329">
        <v>182.59339457823299</v>
      </c>
      <c r="X329">
        <v>180.99905562116999</v>
      </c>
      <c r="Y329">
        <v>180.284984366754</v>
      </c>
      <c r="Z329">
        <v>179.47512257690499</v>
      </c>
      <c r="AA329">
        <v>1</v>
      </c>
      <c r="AB329">
        <v>0</v>
      </c>
      <c r="AC329">
        <v>0</v>
      </c>
      <c r="AD329">
        <v>0</v>
      </c>
      <c r="AE329">
        <v>29</v>
      </c>
      <c r="AF329">
        <v>3</v>
      </c>
    </row>
    <row r="330" spans="1:32" x14ac:dyDescent="0.3">
      <c r="A330" t="s">
        <v>69</v>
      </c>
      <c r="B330">
        <v>56</v>
      </c>
      <c r="C330">
        <v>3.3426183844011102E-2</v>
      </c>
      <c r="D330">
        <v>7.7994428969359306E-2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9.8000000000000004E-2</v>
      </c>
      <c r="O330">
        <v>36</v>
      </c>
      <c r="P330">
        <v>42</v>
      </c>
      <c r="Q330">
        <v>26</v>
      </c>
      <c r="R330">
        <v>22</v>
      </c>
      <c r="S330">
        <v>1.6926197957990801</v>
      </c>
      <c r="T330">
        <v>1.5091467092427799</v>
      </c>
      <c r="U330">
        <v>1.1341123630931</v>
      </c>
      <c r="V330">
        <v>0.51257459234663305</v>
      </c>
      <c r="W330">
        <v>184.66321455314699</v>
      </c>
      <c r="X330">
        <v>184.061268731111</v>
      </c>
      <c r="Y330">
        <v>182.83084108626301</v>
      </c>
      <c r="Z330">
        <v>180.79167517174099</v>
      </c>
      <c r="AA330">
        <v>1</v>
      </c>
      <c r="AB330">
        <v>0</v>
      </c>
      <c r="AC330">
        <v>0</v>
      </c>
      <c r="AD330">
        <v>0</v>
      </c>
      <c r="AE330">
        <v>20</v>
      </c>
      <c r="AF330">
        <v>3</v>
      </c>
    </row>
    <row r="331" spans="1:32" x14ac:dyDescent="0.3">
      <c r="A331" t="s">
        <v>73</v>
      </c>
      <c r="B331">
        <v>60</v>
      </c>
      <c r="C331">
        <v>0.24001857010213601</v>
      </c>
      <c r="D331">
        <v>0.16573816155988899</v>
      </c>
      <c r="E331">
        <v>0</v>
      </c>
      <c r="F331">
        <v>0</v>
      </c>
      <c r="G331">
        <v>1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0</v>
      </c>
      <c r="O331">
        <v>33</v>
      </c>
      <c r="P331">
        <v>35</v>
      </c>
      <c r="Q331">
        <v>16</v>
      </c>
      <c r="R331">
        <v>16</v>
      </c>
      <c r="S331">
        <v>1.1883466475600799</v>
      </c>
      <c r="T331">
        <v>1.2361564819402799</v>
      </c>
      <c r="U331">
        <v>0.58203509718144897</v>
      </c>
      <c r="V331">
        <v>0.85802910466936699</v>
      </c>
      <c r="W331">
        <v>183.00877509041999</v>
      </c>
      <c r="X331">
        <v>183.16563150242899</v>
      </c>
      <c r="Y331">
        <v>181.01956396713101</v>
      </c>
      <c r="Z331">
        <v>181.925056117682</v>
      </c>
      <c r="AA331">
        <v>1</v>
      </c>
      <c r="AB331">
        <v>0</v>
      </c>
      <c r="AC331">
        <v>0</v>
      </c>
      <c r="AD331">
        <v>0</v>
      </c>
      <c r="AE331">
        <v>66</v>
      </c>
      <c r="AF331">
        <v>3</v>
      </c>
    </row>
    <row r="332" spans="1:32" x14ac:dyDescent="0.3">
      <c r="A332" t="s">
        <v>77</v>
      </c>
      <c r="B332">
        <v>64</v>
      </c>
      <c r="C332">
        <v>6.9637883008356605E-2</v>
      </c>
      <c r="D332">
        <v>3.3426183844011102E-2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9.8000000000000004E-2</v>
      </c>
      <c r="N332">
        <v>9.8000000000000004E-2</v>
      </c>
      <c r="O332">
        <v>43</v>
      </c>
      <c r="P332">
        <v>39</v>
      </c>
      <c r="Q332">
        <v>23</v>
      </c>
      <c r="R332">
        <v>28</v>
      </c>
      <c r="S332">
        <v>1.2032602694854699</v>
      </c>
      <c r="T332">
        <v>1.1584932227135101</v>
      </c>
      <c r="U332">
        <v>0.56777648311455298</v>
      </c>
      <c r="V332">
        <v>0.45952575933836398</v>
      </c>
      <c r="W332">
        <v>183.05770429621199</v>
      </c>
      <c r="X332">
        <v>182.91083078318101</v>
      </c>
      <c r="Y332">
        <v>180.972783737252</v>
      </c>
      <c r="Z332">
        <v>180.617630444024</v>
      </c>
      <c r="AA332">
        <v>1</v>
      </c>
      <c r="AB332">
        <v>0</v>
      </c>
      <c r="AC332">
        <v>0</v>
      </c>
      <c r="AD332">
        <v>0</v>
      </c>
      <c r="AE332">
        <v>32</v>
      </c>
      <c r="AF332">
        <v>3</v>
      </c>
    </row>
    <row r="333" spans="1:32" x14ac:dyDescent="0.3">
      <c r="A333" t="s">
        <v>83</v>
      </c>
      <c r="B333">
        <v>68</v>
      </c>
      <c r="C333">
        <v>3.3426183844011102E-2</v>
      </c>
      <c r="D333">
        <v>7.7994428969359306E-2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33</v>
      </c>
      <c r="P333">
        <v>36</v>
      </c>
      <c r="Q333">
        <v>31</v>
      </c>
      <c r="R333">
        <v>25</v>
      </c>
      <c r="S333">
        <v>0.68029944636780904</v>
      </c>
      <c r="T333">
        <v>1.22505944147361</v>
      </c>
      <c r="U333">
        <v>0.63091678314781596</v>
      </c>
      <c r="V333">
        <v>0.48494930261406699</v>
      </c>
      <c r="W333">
        <v>181.341953564199</v>
      </c>
      <c r="X333">
        <v>183.12922388934899</v>
      </c>
      <c r="Y333">
        <v>181.179936952585</v>
      </c>
      <c r="Z333">
        <v>180.70104101907501</v>
      </c>
      <c r="AA333">
        <v>1</v>
      </c>
      <c r="AB333">
        <v>0</v>
      </c>
      <c r="AC333">
        <v>0</v>
      </c>
      <c r="AD333">
        <v>0</v>
      </c>
      <c r="AE333">
        <v>3</v>
      </c>
      <c r="AF333">
        <v>3</v>
      </c>
    </row>
    <row r="334" spans="1:32" x14ac:dyDescent="0.3">
      <c r="A334" t="s">
        <v>86</v>
      </c>
      <c r="B334">
        <v>72</v>
      </c>
      <c r="C334">
        <v>0.24001857010213601</v>
      </c>
      <c r="D334">
        <v>0.16573816155988899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40</v>
      </c>
      <c r="P334">
        <v>38</v>
      </c>
      <c r="Q334">
        <v>14</v>
      </c>
      <c r="R334">
        <v>13</v>
      </c>
      <c r="S334">
        <v>0.75195174553062105</v>
      </c>
      <c r="T334">
        <v>1.4970894600139699</v>
      </c>
      <c r="U334">
        <v>0.53941180985958004</v>
      </c>
      <c r="V334">
        <v>0.59491034447152202</v>
      </c>
      <c r="W334">
        <v>181.577033285862</v>
      </c>
      <c r="X334">
        <v>184.02171082681801</v>
      </c>
      <c r="Y334">
        <v>180.87972378562901</v>
      </c>
      <c r="Z334">
        <v>181.06180559209801</v>
      </c>
      <c r="AA334">
        <v>1</v>
      </c>
      <c r="AB334">
        <v>0</v>
      </c>
      <c r="AC334">
        <v>0</v>
      </c>
      <c r="AD334">
        <v>0</v>
      </c>
      <c r="AE334">
        <v>25</v>
      </c>
      <c r="AF334">
        <v>3</v>
      </c>
    </row>
    <row r="335" spans="1:32" x14ac:dyDescent="0.3">
      <c r="A335" t="s">
        <v>89</v>
      </c>
      <c r="B335">
        <v>76</v>
      </c>
      <c r="C335">
        <v>6.9637883008356605E-2</v>
      </c>
      <c r="D335">
        <v>3.3426183844011102E-2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0.92</v>
      </c>
      <c r="N335">
        <v>0</v>
      </c>
      <c r="O335">
        <v>20</v>
      </c>
      <c r="P335">
        <v>21</v>
      </c>
      <c r="Q335">
        <v>20</v>
      </c>
      <c r="R335">
        <v>21</v>
      </c>
      <c r="S335">
        <v>0.68723374242888302</v>
      </c>
      <c r="T335">
        <v>0.80846811081342296</v>
      </c>
      <c r="U335">
        <v>0.68723374242888302</v>
      </c>
      <c r="V335">
        <v>0.80846811081342296</v>
      </c>
      <c r="W335">
        <v>181.36470387936001</v>
      </c>
      <c r="X335">
        <v>181.76245443180301</v>
      </c>
      <c r="Y335">
        <v>181.36470387936001</v>
      </c>
      <c r="Z335">
        <v>181.76245443180301</v>
      </c>
      <c r="AA335">
        <v>1</v>
      </c>
      <c r="AB335">
        <v>0</v>
      </c>
      <c r="AC335">
        <v>0</v>
      </c>
      <c r="AD335">
        <v>0</v>
      </c>
      <c r="AE335">
        <v>1</v>
      </c>
      <c r="AF335">
        <v>3</v>
      </c>
    </row>
    <row r="336" spans="1:32" x14ac:dyDescent="0.3">
      <c r="A336" t="s">
        <v>93</v>
      </c>
      <c r="B336">
        <v>80</v>
      </c>
      <c r="C336">
        <v>0.33658310120705698</v>
      </c>
      <c r="D336">
        <v>0.24001857010213601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0.48</v>
      </c>
      <c r="N336">
        <v>0</v>
      </c>
      <c r="O336">
        <v>40</v>
      </c>
      <c r="P336">
        <v>37</v>
      </c>
      <c r="Q336">
        <v>20</v>
      </c>
      <c r="R336">
        <v>19</v>
      </c>
      <c r="S336">
        <v>1.1192929825406199</v>
      </c>
      <c r="T336">
        <v>1.1470512507720401</v>
      </c>
      <c r="U336">
        <v>0.250825946625852</v>
      </c>
      <c r="V336">
        <v>0.40351440271744998</v>
      </c>
      <c r="W336">
        <v>182.782221071328</v>
      </c>
      <c r="X336">
        <v>182.87329150515799</v>
      </c>
      <c r="Y336">
        <v>179.932919772395</v>
      </c>
      <c r="Z336">
        <v>180.43386615064799</v>
      </c>
      <c r="AA336">
        <v>1</v>
      </c>
      <c r="AB336">
        <v>0</v>
      </c>
      <c r="AC336">
        <v>0</v>
      </c>
      <c r="AD336">
        <v>0</v>
      </c>
      <c r="AE336">
        <v>67</v>
      </c>
      <c r="AF336">
        <v>3</v>
      </c>
    </row>
    <row r="337" spans="1:32" x14ac:dyDescent="0.3">
      <c r="A337" t="s">
        <v>97</v>
      </c>
      <c r="B337">
        <v>84</v>
      </c>
      <c r="C337">
        <v>7.6601671309192196E-2</v>
      </c>
      <c r="D337">
        <v>6.9637883008356605E-2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32</v>
      </c>
      <c r="P337">
        <v>28</v>
      </c>
      <c r="Q337">
        <v>32</v>
      </c>
      <c r="R337">
        <v>23</v>
      </c>
      <c r="S337">
        <v>0.83403977160716503</v>
      </c>
      <c r="T337">
        <v>0.55330096755088898</v>
      </c>
      <c r="U337">
        <v>0.83403977160716503</v>
      </c>
      <c r="V337">
        <v>0.260034251418442</v>
      </c>
      <c r="W337">
        <v>181.84635095671601</v>
      </c>
      <c r="X337">
        <v>180.92529188828999</v>
      </c>
      <c r="Y337">
        <v>181.84635095671601</v>
      </c>
      <c r="Z337">
        <v>179.96313074612399</v>
      </c>
      <c r="AA337">
        <v>1</v>
      </c>
      <c r="AB337">
        <v>0</v>
      </c>
      <c r="AC337">
        <v>0</v>
      </c>
      <c r="AD337">
        <v>0</v>
      </c>
      <c r="AE337">
        <v>1</v>
      </c>
      <c r="AF337">
        <v>3</v>
      </c>
    </row>
    <row r="338" spans="1:32" x14ac:dyDescent="0.3">
      <c r="A338" t="s">
        <v>105</v>
      </c>
      <c r="B338">
        <v>88</v>
      </c>
      <c r="C338">
        <v>0.16573816155988899</v>
      </c>
      <c r="D338">
        <v>7.6601671309192196E-2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36</v>
      </c>
      <c r="P338">
        <v>29</v>
      </c>
      <c r="Q338">
        <v>15</v>
      </c>
      <c r="R338">
        <v>23</v>
      </c>
      <c r="S338">
        <v>0.879515979129883</v>
      </c>
      <c r="T338">
        <v>0.92974533506203205</v>
      </c>
      <c r="U338">
        <v>0.53439333418861801</v>
      </c>
      <c r="V338">
        <v>0.82613198219377604</v>
      </c>
      <c r="W338">
        <v>181.99555111263101</v>
      </c>
      <c r="X338">
        <v>182.16034558747401</v>
      </c>
      <c r="Y338">
        <v>180.863258970435</v>
      </c>
      <c r="Z338">
        <v>181.82040676572799</v>
      </c>
      <c r="AA338">
        <v>1</v>
      </c>
      <c r="AB338">
        <v>0</v>
      </c>
      <c r="AC338">
        <v>0</v>
      </c>
      <c r="AD338">
        <v>0</v>
      </c>
      <c r="AE338">
        <v>23</v>
      </c>
      <c r="AF338">
        <v>3</v>
      </c>
    </row>
    <row r="339" spans="1:32" x14ac:dyDescent="0.3">
      <c r="A339" t="s">
        <v>12</v>
      </c>
      <c r="B339">
        <v>92</v>
      </c>
      <c r="C339">
        <v>0.36603773584905702</v>
      </c>
      <c r="D339">
        <v>0.25622641509434002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32</v>
      </c>
      <c r="P339">
        <v>20</v>
      </c>
      <c r="Q339">
        <v>17</v>
      </c>
      <c r="R339">
        <v>17</v>
      </c>
      <c r="S339">
        <v>1.40950891209219</v>
      </c>
      <c r="T339">
        <v>1.76330879713842</v>
      </c>
      <c r="U339">
        <v>0.86441035012684198</v>
      </c>
      <c r="V339">
        <v>1.4960001361144599</v>
      </c>
      <c r="W339">
        <v>181.51437307116899</v>
      </c>
      <c r="X339">
        <v>182.675133848879</v>
      </c>
      <c r="Y339">
        <v>179.72599196235799</v>
      </c>
      <c r="Z339">
        <v>181.79813692950901</v>
      </c>
      <c r="AA339">
        <v>0</v>
      </c>
      <c r="AB339">
        <v>1</v>
      </c>
      <c r="AC339">
        <v>0</v>
      </c>
      <c r="AD339">
        <v>0</v>
      </c>
      <c r="AE339">
        <v>77</v>
      </c>
      <c r="AF339">
        <v>3</v>
      </c>
    </row>
    <row r="340" spans="1:32" x14ac:dyDescent="0.3">
      <c r="A340" t="s">
        <v>16</v>
      </c>
      <c r="B340">
        <v>96</v>
      </c>
      <c r="C340">
        <v>6.2641509433962295E-2</v>
      </c>
      <c r="D340">
        <v>5.7735849056603797E-2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0.34649999999999997</v>
      </c>
      <c r="N340">
        <v>0</v>
      </c>
      <c r="O340">
        <v>30</v>
      </c>
      <c r="P340">
        <v>34</v>
      </c>
      <c r="Q340">
        <v>20</v>
      </c>
      <c r="R340">
        <v>20</v>
      </c>
      <c r="S340">
        <v>1.49992622090348</v>
      </c>
      <c r="T340">
        <v>1.63501635663776</v>
      </c>
      <c r="U340">
        <v>0.74936375087622897</v>
      </c>
      <c r="V340">
        <v>0.90689656342082403</v>
      </c>
      <c r="W340">
        <v>181.81101778511601</v>
      </c>
      <c r="X340">
        <v>182.25422689185601</v>
      </c>
      <c r="Y340">
        <v>179.348542489751</v>
      </c>
      <c r="Z340">
        <v>179.86538242592101</v>
      </c>
      <c r="AA340">
        <v>0</v>
      </c>
      <c r="AB340">
        <v>1</v>
      </c>
      <c r="AC340">
        <v>0</v>
      </c>
      <c r="AD340">
        <v>0</v>
      </c>
      <c r="AE340">
        <v>3</v>
      </c>
      <c r="AF340">
        <v>3</v>
      </c>
    </row>
    <row r="341" spans="1:32" x14ac:dyDescent="0.3">
      <c r="A341" t="s">
        <v>26</v>
      </c>
      <c r="B341">
        <v>104</v>
      </c>
      <c r="C341">
        <v>0.36603773584905702</v>
      </c>
      <c r="D341">
        <v>0.25622641509434002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0</v>
      </c>
      <c r="O341">
        <v>28</v>
      </c>
      <c r="P341">
        <v>24</v>
      </c>
      <c r="Q341">
        <v>17</v>
      </c>
      <c r="R341">
        <v>20</v>
      </c>
      <c r="S341">
        <v>1.8804302852843799</v>
      </c>
      <c r="T341">
        <v>2.1409831883019401</v>
      </c>
      <c r="U341">
        <v>1.6384625625799101</v>
      </c>
      <c r="V341">
        <v>1.5721835434596101</v>
      </c>
      <c r="W341">
        <v>183.05939069975199</v>
      </c>
      <c r="X341">
        <v>183.914223058733</v>
      </c>
      <c r="Y341">
        <v>182.265533341798</v>
      </c>
      <c r="Z341">
        <v>182.04808249166501</v>
      </c>
      <c r="AA341">
        <v>0</v>
      </c>
      <c r="AB341">
        <v>1</v>
      </c>
      <c r="AC341">
        <v>0</v>
      </c>
      <c r="AD341">
        <v>0</v>
      </c>
      <c r="AE341">
        <v>46</v>
      </c>
      <c r="AF341">
        <v>3</v>
      </c>
    </row>
    <row r="342" spans="1:32" x14ac:dyDescent="0.3">
      <c r="A342" t="s">
        <v>32</v>
      </c>
      <c r="B342">
        <v>108</v>
      </c>
      <c r="C342">
        <v>0.25622641509434002</v>
      </c>
      <c r="D342">
        <v>0.13018867924528299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0.27650000000000002</v>
      </c>
      <c r="N342">
        <v>0</v>
      </c>
      <c r="O342">
        <v>29</v>
      </c>
      <c r="P342">
        <v>32</v>
      </c>
      <c r="Q342">
        <v>20</v>
      </c>
      <c r="R342">
        <v>22</v>
      </c>
      <c r="S342">
        <v>1.87717863666728</v>
      </c>
      <c r="T342">
        <v>2.1678142544521699</v>
      </c>
      <c r="U342">
        <v>1.70336886535428</v>
      </c>
      <c r="V342">
        <v>1.6138895308846599</v>
      </c>
      <c r="W342">
        <v>183.04872256124401</v>
      </c>
      <c r="X342">
        <v>184.002251490985</v>
      </c>
      <c r="Y342">
        <v>182.478480529378</v>
      </c>
      <c r="Z342">
        <v>182.18491315906999</v>
      </c>
      <c r="AA342">
        <v>0</v>
      </c>
      <c r="AB342">
        <v>1</v>
      </c>
      <c r="AC342">
        <v>0</v>
      </c>
      <c r="AD342">
        <v>0</v>
      </c>
      <c r="AE342">
        <v>19</v>
      </c>
      <c r="AF342">
        <v>3</v>
      </c>
    </row>
    <row r="343" spans="1:32" x14ac:dyDescent="0.3">
      <c r="A343" t="s">
        <v>37</v>
      </c>
      <c r="B343">
        <v>112</v>
      </c>
      <c r="C343">
        <v>0.13018867924528299</v>
      </c>
      <c r="D343">
        <v>6.2641509433962295E-2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29</v>
      </c>
      <c r="P343">
        <v>28</v>
      </c>
      <c r="Q343">
        <v>19</v>
      </c>
      <c r="R343">
        <v>18</v>
      </c>
      <c r="S343">
        <v>2.0065873901789701</v>
      </c>
      <c r="T343">
        <v>1.6593247799001201</v>
      </c>
      <c r="U343">
        <v>1.49002709791621</v>
      </c>
      <c r="V343">
        <v>1.2857876050553501</v>
      </c>
      <c r="W343">
        <v>183.473291962529</v>
      </c>
      <c r="X343">
        <v>182.33397893668001</v>
      </c>
      <c r="Y343">
        <v>181.77854034749399</v>
      </c>
      <c r="Z343">
        <v>181.10846327117901</v>
      </c>
      <c r="AA343">
        <v>0</v>
      </c>
      <c r="AB343">
        <v>1</v>
      </c>
      <c r="AC343">
        <v>0</v>
      </c>
      <c r="AD343">
        <v>0</v>
      </c>
      <c r="AE343">
        <v>18</v>
      </c>
      <c r="AF343">
        <v>3</v>
      </c>
    </row>
    <row r="344" spans="1:32" x14ac:dyDescent="0.3">
      <c r="A344" t="s">
        <v>43</v>
      </c>
      <c r="B344">
        <v>116</v>
      </c>
      <c r="C344">
        <v>6.2641509433962295E-2</v>
      </c>
      <c r="D344">
        <v>5.7735849056603797E-2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0.15049999999999999</v>
      </c>
      <c r="O344">
        <v>34</v>
      </c>
      <c r="P344">
        <v>26</v>
      </c>
      <c r="Q344">
        <v>22</v>
      </c>
      <c r="R344">
        <v>26</v>
      </c>
      <c r="S344">
        <v>2.4697822792206998</v>
      </c>
      <c r="T344">
        <v>2.4468295492590899</v>
      </c>
      <c r="U344">
        <v>2.2950728559031801</v>
      </c>
      <c r="V344">
        <v>2.4468295492590899</v>
      </c>
      <c r="W344">
        <v>184.99296023366401</v>
      </c>
      <c r="X344">
        <v>184.917656001506</v>
      </c>
      <c r="Y344">
        <v>184.41976658760899</v>
      </c>
      <c r="Z344">
        <v>184.917656001506</v>
      </c>
      <c r="AA344">
        <v>0</v>
      </c>
      <c r="AB344">
        <v>1</v>
      </c>
      <c r="AC344">
        <v>0</v>
      </c>
      <c r="AD344">
        <v>0</v>
      </c>
      <c r="AE344">
        <v>19</v>
      </c>
      <c r="AF344">
        <v>3</v>
      </c>
    </row>
    <row r="345" spans="1:32" x14ac:dyDescent="0.3">
      <c r="A345" t="s">
        <v>47</v>
      </c>
      <c r="B345">
        <v>120</v>
      </c>
      <c r="C345">
        <v>8.9433962264150901E-2</v>
      </c>
      <c r="D345">
        <v>0.36603773584905702</v>
      </c>
      <c r="E345">
        <v>0</v>
      </c>
      <c r="F345">
        <v>0</v>
      </c>
      <c r="G345">
        <v>0</v>
      </c>
      <c r="H345">
        <v>0</v>
      </c>
      <c r="I345">
        <v>1</v>
      </c>
      <c r="J345">
        <v>0</v>
      </c>
      <c r="K345">
        <v>1</v>
      </c>
      <c r="L345">
        <v>0</v>
      </c>
      <c r="M345">
        <v>0.17849999999999999</v>
      </c>
      <c r="N345">
        <v>1.351</v>
      </c>
      <c r="O345">
        <v>26</v>
      </c>
      <c r="P345">
        <v>16</v>
      </c>
      <c r="Q345">
        <v>25</v>
      </c>
      <c r="R345">
        <v>14</v>
      </c>
      <c r="S345">
        <v>2.4198821666573598</v>
      </c>
      <c r="T345">
        <v>1.60148084240161</v>
      </c>
      <c r="U345">
        <v>2.3838481745731102</v>
      </c>
      <c r="V345">
        <v>1.25635487279335</v>
      </c>
      <c r="W345">
        <v>184.82924595360001</v>
      </c>
      <c r="X345">
        <v>182.14420223885</v>
      </c>
      <c r="Y345">
        <v>184.71102419479399</v>
      </c>
      <c r="Z345">
        <v>181.011899188955</v>
      </c>
      <c r="AA345">
        <v>0</v>
      </c>
      <c r="AB345">
        <v>1</v>
      </c>
      <c r="AC345">
        <v>0</v>
      </c>
      <c r="AD345">
        <v>0</v>
      </c>
      <c r="AE345">
        <v>2</v>
      </c>
      <c r="AF345">
        <v>3</v>
      </c>
    </row>
    <row r="346" spans="1:32" x14ac:dyDescent="0.3">
      <c r="A346" t="s">
        <v>53</v>
      </c>
      <c r="B346">
        <v>124</v>
      </c>
      <c r="C346">
        <v>0.36603773584905702</v>
      </c>
      <c r="D346">
        <v>0.25622641509434002</v>
      </c>
      <c r="E346">
        <v>0</v>
      </c>
      <c r="F346">
        <v>1</v>
      </c>
      <c r="G346">
        <v>1</v>
      </c>
      <c r="H346">
        <v>0</v>
      </c>
      <c r="I346">
        <v>0</v>
      </c>
      <c r="J346">
        <v>0</v>
      </c>
      <c r="K346">
        <v>1</v>
      </c>
      <c r="L346">
        <v>0</v>
      </c>
      <c r="M346">
        <v>0.13300000000000001</v>
      </c>
      <c r="N346">
        <v>0</v>
      </c>
      <c r="O346">
        <v>32</v>
      </c>
      <c r="P346">
        <v>22</v>
      </c>
      <c r="Q346">
        <v>22</v>
      </c>
      <c r="R346">
        <v>18</v>
      </c>
      <c r="S346">
        <v>2.04615959853292</v>
      </c>
      <c r="T346">
        <v>2.0928678593900298</v>
      </c>
      <c r="U346">
        <v>1.5841169458359501</v>
      </c>
      <c r="V346">
        <v>1.7330159103526499</v>
      </c>
      <c r="W346">
        <v>183.60312204243101</v>
      </c>
      <c r="X346">
        <v>183.75636436807801</v>
      </c>
      <c r="Y346">
        <v>182.08723407426501</v>
      </c>
      <c r="Z346">
        <v>182.57574773737699</v>
      </c>
      <c r="AA346">
        <v>0</v>
      </c>
      <c r="AB346">
        <v>1</v>
      </c>
      <c r="AC346">
        <v>0</v>
      </c>
      <c r="AD346">
        <v>0</v>
      </c>
      <c r="AE346">
        <v>107</v>
      </c>
      <c r="AF346">
        <v>3</v>
      </c>
    </row>
    <row r="347" spans="1:32" x14ac:dyDescent="0.3">
      <c r="A347" t="s">
        <v>57</v>
      </c>
      <c r="B347">
        <v>128</v>
      </c>
      <c r="C347">
        <v>6.2641509433962295E-2</v>
      </c>
      <c r="D347">
        <v>5.7735849056603797E-2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0.85399999999999998</v>
      </c>
      <c r="O347">
        <v>31</v>
      </c>
      <c r="P347">
        <v>29</v>
      </c>
      <c r="Q347">
        <v>20</v>
      </c>
      <c r="R347">
        <v>21</v>
      </c>
      <c r="S347">
        <v>1.5516246145810499</v>
      </c>
      <c r="T347">
        <v>1.8408368964894899</v>
      </c>
      <c r="U347">
        <v>1.4230120162375799</v>
      </c>
      <c r="V347">
        <v>1.23506407276555</v>
      </c>
      <c r="W347">
        <v>181.980631937602</v>
      </c>
      <c r="X347">
        <v>182.92949113021501</v>
      </c>
      <c r="Y347">
        <v>181.558674593955</v>
      </c>
      <c r="Z347">
        <v>180.94204748282701</v>
      </c>
      <c r="AA347">
        <v>0</v>
      </c>
      <c r="AB347">
        <v>1</v>
      </c>
      <c r="AC347">
        <v>0</v>
      </c>
      <c r="AD347">
        <v>0</v>
      </c>
      <c r="AE347">
        <v>18</v>
      </c>
      <c r="AF347">
        <v>3</v>
      </c>
    </row>
    <row r="348" spans="1:32" x14ac:dyDescent="0.3">
      <c r="A348" t="s">
        <v>61</v>
      </c>
      <c r="B348">
        <v>132</v>
      </c>
      <c r="C348">
        <v>8.9433962264150901E-2</v>
      </c>
      <c r="D348">
        <v>0.36603773584905702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36</v>
      </c>
      <c r="P348">
        <v>34</v>
      </c>
      <c r="Q348">
        <v>29</v>
      </c>
      <c r="R348">
        <v>25</v>
      </c>
      <c r="S348">
        <v>1.7069819973946301</v>
      </c>
      <c r="T348">
        <v>1.90852537682927</v>
      </c>
      <c r="U348">
        <v>1.2154496858302499</v>
      </c>
      <c r="V348">
        <v>1.30968579142554</v>
      </c>
      <c r="W348">
        <v>182.49033463712101</v>
      </c>
      <c r="X348">
        <v>183.15156619694599</v>
      </c>
      <c r="Y348">
        <v>180.87769581965301</v>
      </c>
      <c r="Z348">
        <v>181.186869394441</v>
      </c>
      <c r="AA348">
        <v>0</v>
      </c>
      <c r="AB348">
        <v>1</v>
      </c>
      <c r="AC348">
        <v>0</v>
      </c>
      <c r="AD348">
        <v>0</v>
      </c>
      <c r="AE348">
        <v>9</v>
      </c>
      <c r="AF348">
        <v>3</v>
      </c>
    </row>
    <row r="349" spans="1:32" x14ac:dyDescent="0.3">
      <c r="A349" t="s">
        <v>65</v>
      </c>
      <c r="B349">
        <v>136</v>
      </c>
      <c r="C349">
        <v>0.13018867924528299</v>
      </c>
      <c r="D349">
        <v>6.2641509433962295E-2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33</v>
      </c>
      <c r="P349">
        <v>26</v>
      </c>
      <c r="Q349">
        <v>19</v>
      </c>
      <c r="R349">
        <v>20</v>
      </c>
      <c r="S349">
        <v>1.63772443865734</v>
      </c>
      <c r="T349">
        <v>1.29629681457192</v>
      </c>
      <c r="U349">
        <v>1.0455657299715</v>
      </c>
      <c r="V349">
        <v>0.78728605184301004</v>
      </c>
      <c r="W349">
        <v>182.26311167538501</v>
      </c>
      <c r="X349">
        <v>181.142942305026</v>
      </c>
      <c r="Y349">
        <v>180.32033375974899</v>
      </c>
      <c r="Z349">
        <v>179.47295948767399</v>
      </c>
      <c r="AA349">
        <v>0</v>
      </c>
      <c r="AB349">
        <v>1</v>
      </c>
      <c r="AC349">
        <v>0</v>
      </c>
      <c r="AD349">
        <v>0</v>
      </c>
      <c r="AE349">
        <v>28</v>
      </c>
      <c r="AF349">
        <v>3</v>
      </c>
    </row>
    <row r="350" spans="1:32" x14ac:dyDescent="0.3">
      <c r="A350" t="s">
        <v>69</v>
      </c>
      <c r="B350">
        <v>140</v>
      </c>
      <c r="C350">
        <v>3.77358490566038E-2</v>
      </c>
      <c r="D350">
        <v>8.9433962264150901E-2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9.8000000000000004E-2</v>
      </c>
      <c r="O350">
        <v>34</v>
      </c>
      <c r="P350">
        <v>36</v>
      </c>
      <c r="Q350">
        <v>26</v>
      </c>
      <c r="R350">
        <v>23</v>
      </c>
      <c r="S350">
        <v>2.2220043662086901</v>
      </c>
      <c r="T350">
        <v>2.1479445682005101</v>
      </c>
      <c r="U350">
        <v>1.5506455279924301</v>
      </c>
      <c r="V350">
        <v>1.12206144366585</v>
      </c>
      <c r="W350">
        <v>184.18004057155099</v>
      </c>
      <c r="X350">
        <v>183.937062231629</v>
      </c>
      <c r="Y350">
        <v>181.97741971126101</v>
      </c>
      <c r="Z350">
        <v>180.57130394903501</v>
      </c>
      <c r="AA350">
        <v>0</v>
      </c>
      <c r="AB350">
        <v>1</v>
      </c>
      <c r="AC350">
        <v>0</v>
      </c>
      <c r="AD350">
        <v>0</v>
      </c>
      <c r="AE350">
        <v>18</v>
      </c>
      <c r="AF350">
        <v>3</v>
      </c>
    </row>
    <row r="351" spans="1:32" x14ac:dyDescent="0.3">
      <c r="A351" t="s">
        <v>73</v>
      </c>
      <c r="B351">
        <v>144</v>
      </c>
      <c r="C351">
        <v>0.25622641509434002</v>
      </c>
      <c r="D351">
        <v>0.13018867924528299</v>
      </c>
      <c r="E351">
        <v>0</v>
      </c>
      <c r="F351">
        <v>0</v>
      </c>
      <c r="G351">
        <v>1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34</v>
      </c>
      <c r="P351">
        <v>31</v>
      </c>
      <c r="Q351">
        <v>18</v>
      </c>
      <c r="R351">
        <v>17</v>
      </c>
      <c r="S351">
        <v>1.8762405967389599</v>
      </c>
      <c r="T351">
        <v>1.9095660897848401</v>
      </c>
      <c r="U351">
        <v>1.3399017136498399</v>
      </c>
      <c r="V351">
        <v>1.59039135376651</v>
      </c>
      <c r="W351">
        <v>183.04564500242401</v>
      </c>
      <c r="X351">
        <v>183.15498060953001</v>
      </c>
      <c r="Y351">
        <v>181.28600299753899</v>
      </c>
      <c r="Z351">
        <v>182.10781940212101</v>
      </c>
      <c r="AA351">
        <v>0</v>
      </c>
      <c r="AB351">
        <v>1</v>
      </c>
      <c r="AC351">
        <v>0</v>
      </c>
      <c r="AD351">
        <v>0</v>
      </c>
      <c r="AE351">
        <v>56</v>
      </c>
      <c r="AF351">
        <v>3</v>
      </c>
    </row>
    <row r="352" spans="1:32" x14ac:dyDescent="0.3">
      <c r="A352" t="s">
        <v>77</v>
      </c>
      <c r="B352">
        <v>148</v>
      </c>
      <c r="C352">
        <v>5.7735849056603797E-2</v>
      </c>
      <c r="D352">
        <v>3.77358490566038E-2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9.8000000000000004E-2</v>
      </c>
      <c r="N352">
        <v>9.8000000000000004E-2</v>
      </c>
      <c r="O352">
        <v>39</v>
      </c>
      <c r="P352">
        <v>36</v>
      </c>
      <c r="Q352">
        <v>22</v>
      </c>
      <c r="R352">
        <v>26</v>
      </c>
      <c r="S352">
        <v>1.90493936818501</v>
      </c>
      <c r="T352">
        <v>1.8110574129846</v>
      </c>
      <c r="U352">
        <v>1.0465038446369599</v>
      </c>
      <c r="V352">
        <v>0.91339228934695804</v>
      </c>
      <c r="W352">
        <v>183.13980107672199</v>
      </c>
      <c r="X352">
        <v>182.831789412679</v>
      </c>
      <c r="Y352">
        <v>180.32341156377001</v>
      </c>
      <c r="Z352">
        <v>179.886693862687</v>
      </c>
      <c r="AA352">
        <v>0</v>
      </c>
      <c r="AB352">
        <v>1</v>
      </c>
      <c r="AC352">
        <v>0</v>
      </c>
      <c r="AD352">
        <v>0</v>
      </c>
      <c r="AE352">
        <v>24</v>
      </c>
      <c r="AF352">
        <v>3</v>
      </c>
    </row>
    <row r="353" spans="1:32" x14ac:dyDescent="0.3">
      <c r="A353" t="s">
        <v>81</v>
      </c>
      <c r="B353">
        <v>152</v>
      </c>
      <c r="C353">
        <v>0.36603773584905702</v>
      </c>
      <c r="D353">
        <v>0.25622641509434002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1.0500000000000001E-2</v>
      </c>
      <c r="N353">
        <v>0</v>
      </c>
      <c r="O353">
        <v>34</v>
      </c>
      <c r="P353">
        <v>34</v>
      </c>
      <c r="Q353">
        <v>23</v>
      </c>
      <c r="R353">
        <v>23</v>
      </c>
      <c r="S353">
        <v>1.5045641895302999</v>
      </c>
      <c r="T353">
        <v>1.7933164699734601</v>
      </c>
      <c r="U353">
        <v>1.15657945388038</v>
      </c>
      <c r="V353">
        <v>1.1685366887267601</v>
      </c>
      <c r="W353">
        <v>181.826234217619</v>
      </c>
      <c r="X353">
        <v>182.773584219073</v>
      </c>
      <c r="Y353">
        <v>180.68455201404299</v>
      </c>
      <c r="Z353">
        <v>180.72378178716099</v>
      </c>
      <c r="AA353">
        <v>0</v>
      </c>
      <c r="AB353">
        <v>1</v>
      </c>
      <c r="AC353">
        <v>0</v>
      </c>
      <c r="AD353">
        <v>0</v>
      </c>
      <c r="AE353">
        <v>71</v>
      </c>
      <c r="AF353">
        <v>3</v>
      </c>
    </row>
    <row r="354" spans="1:32" x14ac:dyDescent="0.3">
      <c r="A354" t="s">
        <v>84</v>
      </c>
      <c r="B354">
        <v>156</v>
      </c>
      <c r="C354">
        <v>6.2641509433962295E-2</v>
      </c>
      <c r="D354">
        <v>5.7735849056603797E-2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0.80149999999999999</v>
      </c>
      <c r="O354">
        <v>33</v>
      </c>
      <c r="P354">
        <v>35</v>
      </c>
      <c r="Q354">
        <v>23</v>
      </c>
      <c r="R354">
        <v>23</v>
      </c>
      <c r="S354">
        <v>1.83550449449894</v>
      </c>
      <c r="T354">
        <v>1.7081152419663701</v>
      </c>
      <c r="U354">
        <v>0.93447577691827099</v>
      </c>
      <c r="V354">
        <v>0.78143879344273104</v>
      </c>
      <c r="W354">
        <v>182.91199637302799</v>
      </c>
      <c r="X354">
        <v>182.494052631123</v>
      </c>
      <c r="Y354">
        <v>179.955865409837</v>
      </c>
      <c r="Z354">
        <v>179.45377556903799</v>
      </c>
      <c r="AA354">
        <v>0</v>
      </c>
      <c r="AB354">
        <v>1</v>
      </c>
      <c r="AC354">
        <v>0</v>
      </c>
      <c r="AD354">
        <v>0</v>
      </c>
      <c r="AE354">
        <v>16</v>
      </c>
      <c r="AF354">
        <v>3</v>
      </c>
    </row>
    <row r="355" spans="1:32" x14ac:dyDescent="0.3">
      <c r="A355" t="s">
        <v>88</v>
      </c>
      <c r="B355">
        <v>160</v>
      </c>
      <c r="C355">
        <v>8.9433962264150901E-2</v>
      </c>
      <c r="D355">
        <v>0.36603773584905702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33</v>
      </c>
      <c r="P355">
        <v>32</v>
      </c>
      <c r="Q355">
        <v>28</v>
      </c>
      <c r="R355">
        <v>22</v>
      </c>
      <c r="S355">
        <v>1.7937206701340001</v>
      </c>
      <c r="T355">
        <v>1.50617809966368</v>
      </c>
      <c r="U355">
        <v>1.1147626715771799</v>
      </c>
      <c r="V355">
        <v>0.84783024476023905</v>
      </c>
      <c r="W355">
        <v>182.774910335085</v>
      </c>
      <c r="X355">
        <v>181.83152919837201</v>
      </c>
      <c r="Y355">
        <v>180.547357846382</v>
      </c>
      <c r="Z355">
        <v>179.67159529120801</v>
      </c>
      <c r="AA355">
        <v>0</v>
      </c>
      <c r="AB355">
        <v>1</v>
      </c>
      <c r="AC355">
        <v>0</v>
      </c>
      <c r="AD355">
        <v>0</v>
      </c>
      <c r="AE355">
        <v>15</v>
      </c>
      <c r="AF355">
        <v>3</v>
      </c>
    </row>
    <row r="356" spans="1:32" x14ac:dyDescent="0.3">
      <c r="A356" t="s">
        <v>93</v>
      </c>
      <c r="B356">
        <v>164</v>
      </c>
      <c r="C356">
        <v>0.36603773584905702</v>
      </c>
      <c r="D356">
        <v>0.25622641509434002</v>
      </c>
      <c r="E356">
        <v>0</v>
      </c>
      <c r="F356">
        <v>0</v>
      </c>
      <c r="G356">
        <v>1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0.48</v>
      </c>
      <c r="N356">
        <v>0</v>
      </c>
      <c r="O356">
        <v>38</v>
      </c>
      <c r="P356">
        <v>36</v>
      </c>
      <c r="Q356">
        <v>21</v>
      </c>
      <c r="R356">
        <v>22</v>
      </c>
      <c r="S356">
        <v>1.7919532248707599</v>
      </c>
      <c r="T356">
        <v>1.7825215833769801</v>
      </c>
      <c r="U356">
        <v>0.89208227275281504</v>
      </c>
      <c r="V356">
        <v>1.05732418745759</v>
      </c>
      <c r="W356">
        <v>182.76911163015299</v>
      </c>
      <c r="X356">
        <v>182.73816792446499</v>
      </c>
      <c r="Y356">
        <v>179.816779110081</v>
      </c>
      <c r="Z356">
        <v>180.35891137617301</v>
      </c>
      <c r="AA356">
        <v>0</v>
      </c>
      <c r="AB356">
        <v>1</v>
      </c>
      <c r="AC356">
        <v>0</v>
      </c>
      <c r="AD356">
        <v>0</v>
      </c>
      <c r="AE356">
        <v>116</v>
      </c>
      <c r="AF356">
        <v>3</v>
      </c>
    </row>
    <row r="357" spans="1:32" x14ac:dyDescent="0.3">
      <c r="A357" t="s">
        <v>97</v>
      </c>
      <c r="B357">
        <v>168</v>
      </c>
      <c r="C357">
        <v>6.2641509433962295E-2</v>
      </c>
      <c r="D357">
        <v>5.7735849056603797E-2</v>
      </c>
      <c r="E357">
        <v>0</v>
      </c>
      <c r="F357">
        <v>0</v>
      </c>
      <c r="G357">
        <v>1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34</v>
      </c>
      <c r="P357">
        <v>35</v>
      </c>
      <c r="Q357">
        <v>30</v>
      </c>
      <c r="R357">
        <v>22</v>
      </c>
      <c r="S357">
        <v>1.6308713459951101</v>
      </c>
      <c r="T357">
        <v>2.0328545581945301</v>
      </c>
      <c r="U357">
        <v>1.1726445248731701</v>
      </c>
      <c r="V357">
        <v>1.05067540758448</v>
      </c>
      <c r="W357">
        <v>182.24062777557501</v>
      </c>
      <c r="X357">
        <v>183.559470335284</v>
      </c>
      <c r="Y357">
        <v>180.73725893987299</v>
      </c>
      <c r="Z357">
        <v>180.33709779391199</v>
      </c>
      <c r="AA357">
        <v>0</v>
      </c>
      <c r="AB357">
        <v>1</v>
      </c>
      <c r="AC357">
        <v>0</v>
      </c>
      <c r="AD357">
        <v>0</v>
      </c>
      <c r="AE357">
        <v>2</v>
      </c>
      <c r="AF357">
        <v>3</v>
      </c>
    </row>
    <row r="358" spans="1:32" x14ac:dyDescent="0.3">
      <c r="A358" t="s">
        <v>101</v>
      </c>
      <c r="B358">
        <v>172</v>
      </c>
      <c r="C358">
        <v>8.9433962264150901E-2</v>
      </c>
      <c r="D358">
        <v>0.36603773584905702</v>
      </c>
      <c r="E358">
        <v>0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1</v>
      </c>
      <c r="L358">
        <v>0</v>
      </c>
      <c r="M358">
        <v>0.03</v>
      </c>
      <c r="N358">
        <v>0</v>
      </c>
      <c r="O358">
        <v>36</v>
      </c>
      <c r="P358">
        <v>27</v>
      </c>
      <c r="Q358">
        <v>24</v>
      </c>
      <c r="R358">
        <v>18</v>
      </c>
      <c r="S358">
        <v>1.9564827160509699</v>
      </c>
      <c r="T358">
        <v>0.86263919917524901</v>
      </c>
      <c r="U358">
        <v>0.83110439779644396</v>
      </c>
      <c r="V358">
        <v>0.51097217716941801</v>
      </c>
      <c r="W358">
        <v>183.308906548724</v>
      </c>
      <c r="X358">
        <v>179.720181099656</v>
      </c>
      <c r="Y358">
        <v>179.61672046521099</v>
      </c>
      <c r="Z358">
        <v>178.56641790409901</v>
      </c>
      <c r="AA358">
        <v>0</v>
      </c>
      <c r="AB358">
        <v>1</v>
      </c>
      <c r="AC358">
        <v>0</v>
      </c>
      <c r="AD358">
        <v>0</v>
      </c>
      <c r="AE358">
        <v>13</v>
      </c>
      <c r="AF358">
        <v>3</v>
      </c>
    </row>
    <row r="359" spans="1:32" x14ac:dyDescent="0.3">
      <c r="A359" t="s">
        <v>107</v>
      </c>
      <c r="B359">
        <v>176</v>
      </c>
      <c r="C359">
        <v>0.36603773584905702</v>
      </c>
      <c r="D359">
        <v>0.25622641509434002</v>
      </c>
      <c r="E359">
        <v>0</v>
      </c>
      <c r="F359">
        <v>0</v>
      </c>
      <c r="G359">
        <v>1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34</v>
      </c>
      <c r="P359">
        <v>33</v>
      </c>
      <c r="Q359">
        <v>19</v>
      </c>
      <c r="R359">
        <v>18</v>
      </c>
      <c r="S359">
        <v>1.9335679578392899</v>
      </c>
      <c r="T359">
        <v>1.5942674542686901</v>
      </c>
      <c r="U359">
        <v>1.38581959954274</v>
      </c>
      <c r="V359">
        <v>1.3587707796269799</v>
      </c>
      <c r="W359">
        <v>183.23372689579799</v>
      </c>
      <c r="X359">
        <v>182.12053626728601</v>
      </c>
      <c r="Y359">
        <v>181.43665222947101</v>
      </c>
      <c r="Z359">
        <v>181.34790938197801</v>
      </c>
      <c r="AA359">
        <v>0</v>
      </c>
      <c r="AB359">
        <v>1</v>
      </c>
      <c r="AC359">
        <v>0</v>
      </c>
      <c r="AD359">
        <v>0</v>
      </c>
      <c r="AE359">
        <v>53</v>
      </c>
      <c r="AF359">
        <v>3</v>
      </c>
    </row>
    <row r="360" spans="1:32" x14ac:dyDescent="0.3">
      <c r="A360" t="s">
        <v>111</v>
      </c>
      <c r="B360">
        <v>180</v>
      </c>
      <c r="C360">
        <v>6.2641509433962295E-2</v>
      </c>
      <c r="D360">
        <v>5.7735849056603797E-2</v>
      </c>
      <c r="E360">
        <v>0</v>
      </c>
      <c r="F360">
        <v>0</v>
      </c>
      <c r="G360">
        <v>1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36</v>
      </c>
      <c r="P360">
        <v>30</v>
      </c>
      <c r="Q360">
        <v>21</v>
      </c>
      <c r="R360">
        <v>25</v>
      </c>
      <c r="S360">
        <v>1.3612157858629499</v>
      </c>
      <c r="T360">
        <v>1.55780568039307</v>
      </c>
      <c r="U360">
        <v>1.2368906039913401</v>
      </c>
      <c r="V360">
        <v>1.47096178920245</v>
      </c>
      <c r="W360">
        <v>181.35593105598099</v>
      </c>
      <c r="X360">
        <v>182.000911024912</v>
      </c>
      <c r="Y360">
        <v>180.948040039342</v>
      </c>
      <c r="Z360">
        <v>181.71599012205499</v>
      </c>
      <c r="AA360">
        <v>0</v>
      </c>
      <c r="AB360">
        <v>1</v>
      </c>
      <c r="AC360">
        <v>0</v>
      </c>
      <c r="AD360">
        <v>0</v>
      </c>
      <c r="AE360">
        <v>6</v>
      </c>
      <c r="AF360">
        <v>3</v>
      </c>
    </row>
    <row r="361" spans="1:32" x14ac:dyDescent="0.3">
      <c r="A361" t="s">
        <v>115</v>
      </c>
      <c r="B361">
        <v>184</v>
      </c>
      <c r="C361">
        <v>8.9433962264150901E-2</v>
      </c>
      <c r="D361">
        <v>0.36603773584905702</v>
      </c>
      <c r="E361">
        <v>1</v>
      </c>
      <c r="F361">
        <v>0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38</v>
      </c>
      <c r="P361">
        <v>38</v>
      </c>
      <c r="Q361">
        <v>24</v>
      </c>
      <c r="R361">
        <v>14</v>
      </c>
      <c r="S361">
        <v>1.49734414679942</v>
      </c>
      <c r="T361">
        <v>1.45484260938882</v>
      </c>
      <c r="U361">
        <v>0.54281059989186498</v>
      </c>
      <c r="V361">
        <v>0.81726615001874903</v>
      </c>
      <c r="W361">
        <v>181.80254641338399</v>
      </c>
      <c r="X361">
        <v>181.66310567384801</v>
      </c>
      <c r="Y361">
        <v>178.67087467156099</v>
      </c>
      <c r="Z361">
        <v>179.57131938982499</v>
      </c>
      <c r="AA361">
        <v>0</v>
      </c>
      <c r="AB361">
        <v>1</v>
      </c>
      <c r="AC361">
        <v>0</v>
      </c>
      <c r="AD361">
        <v>0</v>
      </c>
      <c r="AE361">
        <v>75</v>
      </c>
      <c r="AF361">
        <v>3</v>
      </c>
    </row>
    <row r="362" spans="1:32" x14ac:dyDescent="0.3">
      <c r="A362" t="s">
        <v>119</v>
      </c>
      <c r="B362">
        <v>188</v>
      </c>
      <c r="C362">
        <v>0.13018867924528299</v>
      </c>
      <c r="D362">
        <v>6.2641509433962295E-2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0.68</v>
      </c>
      <c r="N362">
        <v>0.78</v>
      </c>
      <c r="O362">
        <v>25</v>
      </c>
      <c r="P362">
        <v>26</v>
      </c>
      <c r="Q362">
        <v>19</v>
      </c>
      <c r="R362">
        <v>23</v>
      </c>
      <c r="S362">
        <v>1.9491430538377701</v>
      </c>
      <c r="T362">
        <v>1.8145303246776601</v>
      </c>
      <c r="U362">
        <v>1.7133873781842099</v>
      </c>
      <c r="V362">
        <v>1.51930554692651</v>
      </c>
      <c r="W362">
        <v>183.28482629211899</v>
      </c>
      <c r="X362">
        <v>182.84318347991399</v>
      </c>
      <c r="Y362">
        <v>182.51134966595899</v>
      </c>
      <c r="Z362">
        <v>181.87459825107101</v>
      </c>
      <c r="AA362">
        <v>0</v>
      </c>
      <c r="AB362">
        <v>1</v>
      </c>
      <c r="AC362">
        <v>0</v>
      </c>
      <c r="AD362">
        <v>0</v>
      </c>
      <c r="AE362">
        <v>11</v>
      </c>
      <c r="AF362">
        <v>3</v>
      </c>
    </row>
    <row r="363" spans="1:32" x14ac:dyDescent="0.3">
      <c r="A363" t="s">
        <v>10</v>
      </c>
      <c r="B363">
        <v>192</v>
      </c>
      <c r="C363">
        <v>0.144602851323829</v>
      </c>
      <c r="D363">
        <v>6.1778682959945701E-2</v>
      </c>
      <c r="E363">
        <v>0</v>
      </c>
      <c r="F363">
        <v>0</v>
      </c>
      <c r="G363">
        <v>1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29</v>
      </c>
      <c r="P363">
        <v>25</v>
      </c>
      <c r="Q363">
        <v>15</v>
      </c>
      <c r="R363">
        <v>16</v>
      </c>
      <c r="S363">
        <v>3.2795314772128399</v>
      </c>
      <c r="T363">
        <v>3.2944217054488498</v>
      </c>
      <c r="U363">
        <v>2.6702638721303802</v>
      </c>
      <c r="V363">
        <v>2.8214645115074002</v>
      </c>
      <c r="W363">
        <v>183.399617707391</v>
      </c>
      <c r="X363">
        <v>183.448470162234</v>
      </c>
      <c r="Y363">
        <v>181.400708241898</v>
      </c>
      <c r="Z363">
        <v>181.89677333171699</v>
      </c>
      <c r="AA363">
        <v>0</v>
      </c>
      <c r="AB363">
        <v>0</v>
      </c>
      <c r="AC363">
        <v>1</v>
      </c>
      <c r="AD363">
        <v>0</v>
      </c>
      <c r="AE363">
        <v>23</v>
      </c>
      <c r="AF363">
        <v>3</v>
      </c>
    </row>
    <row r="364" spans="1:32" x14ac:dyDescent="0.3">
      <c r="A364" t="s">
        <v>14</v>
      </c>
      <c r="B364">
        <v>196</v>
      </c>
      <c r="C364">
        <v>3.9646978954514599E-2</v>
      </c>
      <c r="D364">
        <v>9.6673455532926E-2</v>
      </c>
      <c r="E364">
        <v>0</v>
      </c>
      <c r="F364">
        <v>1</v>
      </c>
      <c r="G364">
        <v>1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0</v>
      </c>
      <c r="O364">
        <v>33</v>
      </c>
      <c r="P364">
        <v>33</v>
      </c>
      <c r="Q364">
        <v>20</v>
      </c>
      <c r="R364">
        <v>16</v>
      </c>
      <c r="S364">
        <v>2.96585649865944</v>
      </c>
      <c r="T364">
        <v>2.9545467058269002</v>
      </c>
      <c r="U364">
        <v>2.5588718966264299</v>
      </c>
      <c r="V364">
        <v>2.8358416729268501</v>
      </c>
      <c r="W364">
        <v>182.370500323686</v>
      </c>
      <c r="X364">
        <v>182.333394704157</v>
      </c>
      <c r="Y364">
        <v>181.03524900468</v>
      </c>
      <c r="Z364">
        <v>181.943942496479</v>
      </c>
      <c r="AA364">
        <v>0</v>
      </c>
      <c r="AB364">
        <v>0</v>
      </c>
      <c r="AC364">
        <v>1</v>
      </c>
      <c r="AD364">
        <v>0</v>
      </c>
      <c r="AE364">
        <v>13</v>
      </c>
      <c r="AF364">
        <v>3</v>
      </c>
    </row>
    <row r="365" spans="1:32" x14ac:dyDescent="0.3">
      <c r="A365" t="s">
        <v>18</v>
      </c>
      <c r="B365">
        <v>200</v>
      </c>
      <c r="C365">
        <v>0.273455532926001</v>
      </c>
      <c r="D365">
        <v>0.144602851323829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9.8000000000000004E-2</v>
      </c>
      <c r="O365">
        <v>35</v>
      </c>
      <c r="P365">
        <v>34</v>
      </c>
      <c r="Q365">
        <v>17</v>
      </c>
      <c r="R365">
        <v>16</v>
      </c>
      <c r="S365">
        <v>3.21157178905325</v>
      </c>
      <c r="T365">
        <v>3.4431616938824501</v>
      </c>
      <c r="U365">
        <v>2.3230500216619299</v>
      </c>
      <c r="V365">
        <v>2.3903412874947598</v>
      </c>
      <c r="W365">
        <v>183.17665285122499</v>
      </c>
      <c r="X365">
        <v>183.93646225027101</v>
      </c>
      <c r="Y365">
        <v>180.26155518918</v>
      </c>
      <c r="Z365">
        <v>180.48232705871001</v>
      </c>
      <c r="AA365">
        <v>0</v>
      </c>
      <c r="AB365">
        <v>0</v>
      </c>
      <c r="AC365">
        <v>1</v>
      </c>
      <c r="AD365">
        <v>0</v>
      </c>
      <c r="AE365">
        <v>141</v>
      </c>
      <c r="AF365">
        <v>3</v>
      </c>
    </row>
    <row r="366" spans="1:32" x14ac:dyDescent="0.3">
      <c r="A366" t="s">
        <v>22</v>
      </c>
      <c r="B366">
        <v>204</v>
      </c>
      <c r="C366">
        <v>6.5987780040733204E-2</v>
      </c>
      <c r="D366">
        <v>3.9646978954514599E-2</v>
      </c>
      <c r="E366">
        <v>0</v>
      </c>
      <c r="F366">
        <v>0</v>
      </c>
      <c r="G366">
        <v>1</v>
      </c>
      <c r="H366">
        <v>0</v>
      </c>
      <c r="I366">
        <v>0</v>
      </c>
      <c r="J366">
        <v>0</v>
      </c>
      <c r="K366">
        <v>1</v>
      </c>
      <c r="L366">
        <v>0</v>
      </c>
      <c r="M366">
        <v>1.7500000000000002E-2</v>
      </c>
      <c r="N366">
        <v>1.379</v>
      </c>
      <c r="O366">
        <v>32</v>
      </c>
      <c r="P366">
        <v>17</v>
      </c>
      <c r="Q366">
        <v>23</v>
      </c>
      <c r="R366">
        <v>12</v>
      </c>
      <c r="S366">
        <v>3.2200779640211898</v>
      </c>
      <c r="T366">
        <v>3.3863490827643301</v>
      </c>
      <c r="U366">
        <v>2.9841385320878002</v>
      </c>
      <c r="V366">
        <v>3.1223785240568498</v>
      </c>
      <c r="W366">
        <v>183.20456024941299</v>
      </c>
      <c r="X366">
        <v>183.750069169174</v>
      </c>
      <c r="Y366">
        <v>182.43048074832001</v>
      </c>
      <c r="Z366">
        <v>182.884024029058</v>
      </c>
      <c r="AA366">
        <v>0</v>
      </c>
      <c r="AB366">
        <v>0</v>
      </c>
      <c r="AC366">
        <v>1</v>
      </c>
      <c r="AD366">
        <v>0</v>
      </c>
      <c r="AE366">
        <v>8</v>
      </c>
      <c r="AF366">
        <v>3</v>
      </c>
    </row>
    <row r="367" spans="1:32" x14ac:dyDescent="0.3">
      <c r="A367" t="s">
        <v>26</v>
      </c>
      <c r="B367">
        <v>208</v>
      </c>
      <c r="C367">
        <v>0.31785471826204997</v>
      </c>
      <c r="D367">
        <v>0.273455532926001</v>
      </c>
      <c r="E367">
        <v>0</v>
      </c>
      <c r="F367">
        <v>0</v>
      </c>
      <c r="G367">
        <v>1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30</v>
      </c>
      <c r="P367">
        <v>29</v>
      </c>
      <c r="Q367">
        <v>9</v>
      </c>
      <c r="R367">
        <v>17</v>
      </c>
      <c r="S367">
        <v>3.1834264322903301</v>
      </c>
      <c r="T367">
        <v>3.3349968666776602</v>
      </c>
      <c r="U367">
        <v>2.8801177140020302</v>
      </c>
      <c r="V367">
        <v>2.5852282691199502</v>
      </c>
      <c r="W367">
        <v>183.084312441897</v>
      </c>
      <c r="X367">
        <v>183.58159076993999</v>
      </c>
      <c r="Y367">
        <v>182.08920509843199</v>
      </c>
      <c r="Z367">
        <v>181.12172004304401</v>
      </c>
      <c r="AA367">
        <v>0</v>
      </c>
      <c r="AB367">
        <v>0</v>
      </c>
      <c r="AC367">
        <v>1</v>
      </c>
      <c r="AD367">
        <v>0</v>
      </c>
      <c r="AE367">
        <v>139</v>
      </c>
      <c r="AF367">
        <v>3</v>
      </c>
    </row>
    <row r="368" spans="1:32" x14ac:dyDescent="0.3">
      <c r="A368" t="s">
        <v>30</v>
      </c>
      <c r="B368">
        <v>212</v>
      </c>
      <c r="C368">
        <v>6.1778682959945701E-2</v>
      </c>
      <c r="D368">
        <v>6.5987780040733204E-2</v>
      </c>
      <c r="E368">
        <v>0</v>
      </c>
      <c r="F368">
        <v>0</v>
      </c>
      <c r="G368">
        <v>1</v>
      </c>
      <c r="H368">
        <v>0</v>
      </c>
      <c r="I368">
        <v>0</v>
      </c>
      <c r="J368">
        <v>1</v>
      </c>
      <c r="K368">
        <v>0</v>
      </c>
      <c r="L368">
        <v>0</v>
      </c>
      <c r="M368">
        <v>0</v>
      </c>
      <c r="N368">
        <v>0.11550000000000001</v>
      </c>
      <c r="O368">
        <v>36</v>
      </c>
      <c r="P368">
        <v>33</v>
      </c>
      <c r="Q368">
        <v>25</v>
      </c>
      <c r="R368">
        <v>17</v>
      </c>
      <c r="S368">
        <v>3.38554170555512</v>
      </c>
      <c r="T368">
        <v>2.9936899035194098</v>
      </c>
      <c r="U368">
        <v>2.8467698328199802</v>
      </c>
      <c r="V368">
        <v>2.4469827444300001</v>
      </c>
      <c r="W368">
        <v>183.74742029381599</v>
      </c>
      <c r="X368">
        <v>182.46181726876401</v>
      </c>
      <c r="Y368">
        <v>181.979796039436</v>
      </c>
      <c r="Z368">
        <v>180.66815861033501</v>
      </c>
      <c r="AA368">
        <v>0</v>
      </c>
      <c r="AB368">
        <v>0</v>
      </c>
      <c r="AC368">
        <v>1</v>
      </c>
      <c r="AD368">
        <v>0</v>
      </c>
      <c r="AE368">
        <v>29</v>
      </c>
      <c r="AF368">
        <v>3</v>
      </c>
    </row>
    <row r="369" spans="1:32" x14ac:dyDescent="0.3">
      <c r="A369" t="s">
        <v>35</v>
      </c>
      <c r="B369">
        <v>216</v>
      </c>
      <c r="C369">
        <v>6.5987780040733204E-2</v>
      </c>
      <c r="D369">
        <v>3.9646978954514599E-2</v>
      </c>
      <c r="E369">
        <v>0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0</v>
      </c>
      <c r="N369">
        <v>0.47249999999999998</v>
      </c>
      <c r="O369">
        <v>30</v>
      </c>
      <c r="P369">
        <v>23</v>
      </c>
      <c r="Q369">
        <v>17</v>
      </c>
      <c r="R369">
        <v>23</v>
      </c>
      <c r="S369">
        <v>2.8620115023801498</v>
      </c>
      <c r="T369">
        <v>2.7213253413901</v>
      </c>
      <c r="U369">
        <v>2.4406481092402199</v>
      </c>
      <c r="V369">
        <v>2.6791574094638602</v>
      </c>
      <c r="W369">
        <v>182.02980151699501</v>
      </c>
      <c r="X369">
        <v>181.56823274734299</v>
      </c>
      <c r="Y369">
        <v>180.647375686484</v>
      </c>
      <c r="Z369">
        <v>181.429886513989</v>
      </c>
      <c r="AA369">
        <v>0</v>
      </c>
      <c r="AB369">
        <v>0</v>
      </c>
      <c r="AC369">
        <v>1</v>
      </c>
      <c r="AD369">
        <v>0</v>
      </c>
      <c r="AE369">
        <v>20</v>
      </c>
      <c r="AF369">
        <v>3</v>
      </c>
    </row>
    <row r="370" spans="1:32" x14ac:dyDescent="0.3">
      <c r="A370" t="s">
        <v>39</v>
      </c>
      <c r="B370">
        <v>220</v>
      </c>
      <c r="C370">
        <v>0.31785471826204997</v>
      </c>
      <c r="D370">
        <v>0.273455532926001</v>
      </c>
      <c r="E370">
        <v>0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0</v>
      </c>
      <c r="L370">
        <v>1</v>
      </c>
      <c r="M370">
        <v>0.44450000000000001</v>
      </c>
      <c r="N370">
        <v>0</v>
      </c>
      <c r="O370">
        <v>37</v>
      </c>
      <c r="P370">
        <v>29</v>
      </c>
      <c r="Q370">
        <v>19</v>
      </c>
      <c r="R370">
        <v>12</v>
      </c>
      <c r="S370">
        <v>3.2642012556386302</v>
      </c>
      <c r="T370">
        <v>2.7631589238913699</v>
      </c>
      <c r="U370">
        <v>2.53619543291699</v>
      </c>
      <c r="V370">
        <v>2.3148129874602099</v>
      </c>
      <c r="W370">
        <v>183.34932170485101</v>
      </c>
      <c r="X370">
        <v>181.70548203376401</v>
      </c>
      <c r="Y370">
        <v>180.960851157864</v>
      </c>
      <c r="Z370">
        <v>180.23453079875401</v>
      </c>
      <c r="AA370">
        <v>0</v>
      </c>
      <c r="AB370">
        <v>0</v>
      </c>
      <c r="AC370">
        <v>1</v>
      </c>
      <c r="AD370">
        <v>0</v>
      </c>
      <c r="AE370">
        <v>34</v>
      </c>
      <c r="AF370">
        <v>3</v>
      </c>
    </row>
    <row r="371" spans="1:32" x14ac:dyDescent="0.3">
      <c r="A371" t="s">
        <v>43</v>
      </c>
      <c r="B371">
        <v>224</v>
      </c>
      <c r="C371">
        <v>6.1778682959945701E-2</v>
      </c>
      <c r="D371">
        <v>6.5987780040733204E-2</v>
      </c>
      <c r="E371">
        <v>0</v>
      </c>
      <c r="F371">
        <v>0</v>
      </c>
      <c r="G371">
        <v>1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0.15049999999999999</v>
      </c>
      <c r="O371">
        <v>34</v>
      </c>
      <c r="P371">
        <v>30</v>
      </c>
      <c r="Q371">
        <v>21</v>
      </c>
      <c r="R371">
        <v>17</v>
      </c>
      <c r="S371">
        <v>3.4594961184167299</v>
      </c>
      <c r="T371">
        <v>3.5665805568402198</v>
      </c>
      <c r="U371">
        <v>3.2220109243389299</v>
      </c>
      <c r="V371">
        <v>3.2504465470725701</v>
      </c>
      <c r="W371">
        <v>183.99005288194499</v>
      </c>
      <c r="X371">
        <v>184.34137977966</v>
      </c>
      <c r="Y371">
        <v>183.21090198273899</v>
      </c>
      <c r="Z371">
        <v>183.30419470824299</v>
      </c>
      <c r="AA371">
        <v>0</v>
      </c>
      <c r="AB371">
        <v>0</v>
      </c>
      <c r="AC371">
        <v>1</v>
      </c>
      <c r="AD371">
        <v>0</v>
      </c>
      <c r="AE371">
        <v>32</v>
      </c>
      <c r="AF371">
        <v>3</v>
      </c>
    </row>
    <row r="372" spans="1:32" x14ac:dyDescent="0.3">
      <c r="A372" t="s">
        <v>47</v>
      </c>
      <c r="B372">
        <v>228</v>
      </c>
      <c r="C372">
        <v>9.6673455532926E-2</v>
      </c>
      <c r="D372">
        <v>0.31785471826204997</v>
      </c>
      <c r="E372">
        <v>0</v>
      </c>
      <c r="F372">
        <v>0</v>
      </c>
      <c r="G372">
        <v>0</v>
      </c>
      <c r="H372">
        <v>0</v>
      </c>
      <c r="I372">
        <v>1</v>
      </c>
      <c r="J372">
        <v>0</v>
      </c>
      <c r="K372">
        <v>1</v>
      </c>
      <c r="L372">
        <v>0</v>
      </c>
      <c r="M372">
        <v>0.17849999999999999</v>
      </c>
      <c r="N372">
        <v>1.351</v>
      </c>
      <c r="O372">
        <v>25</v>
      </c>
      <c r="P372">
        <v>17</v>
      </c>
      <c r="Q372">
        <v>21</v>
      </c>
      <c r="R372">
        <v>15</v>
      </c>
      <c r="S372">
        <v>3.3676135066968098</v>
      </c>
      <c r="T372">
        <v>2.6884648551503001</v>
      </c>
      <c r="U372">
        <v>3.3116294969325502</v>
      </c>
      <c r="V372">
        <v>2.21701753933114</v>
      </c>
      <c r="W372">
        <v>183.68860074375601</v>
      </c>
      <c r="X372">
        <v>181.460422753118</v>
      </c>
      <c r="Y372">
        <v>183.50492617103899</v>
      </c>
      <c r="Z372">
        <v>179.91367959098099</v>
      </c>
      <c r="AA372">
        <v>0</v>
      </c>
      <c r="AB372">
        <v>0</v>
      </c>
      <c r="AC372">
        <v>1</v>
      </c>
      <c r="AD372">
        <v>0</v>
      </c>
      <c r="AE372">
        <v>10</v>
      </c>
      <c r="AF372">
        <v>3</v>
      </c>
    </row>
    <row r="373" spans="1:32" x14ac:dyDescent="0.3">
      <c r="A373" t="s">
        <v>51</v>
      </c>
      <c r="B373">
        <v>232</v>
      </c>
      <c r="C373">
        <v>0.144602851323829</v>
      </c>
      <c r="D373">
        <v>6.1778682959945701E-2</v>
      </c>
      <c r="E373">
        <v>0</v>
      </c>
      <c r="F373">
        <v>0</v>
      </c>
      <c r="G373">
        <v>1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0.38150000000000001</v>
      </c>
      <c r="O373">
        <v>35</v>
      </c>
      <c r="P373">
        <v>34</v>
      </c>
      <c r="Q373">
        <v>16</v>
      </c>
      <c r="R373">
        <v>17</v>
      </c>
      <c r="S373">
        <v>3.4080070681696801</v>
      </c>
      <c r="T373">
        <v>3.4393005032516299</v>
      </c>
      <c r="U373">
        <v>2.94136256459735</v>
      </c>
      <c r="V373">
        <v>3.03295606030929</v>
      </c>
      <c r="W373">
        <v>183.82112555173799</v>
      </c>
      <c r="X373">
        <v>183.923794302007</v>
      </c>
      <c r="Y373">
        <v>182.29013964762899</v>
      </c>
      <c r="Z373">
        <v>182.59064324248499</v>
      </c>
      <c r="AA373">
        <v>0</v>
      </c>
      <c r="AB373">
        <v>0</v>
      </c>
      <c r="AC373">
        <v>1</v>
      </c>
      <c r="AD373">
        <v>0</v>
      </c>
      <c r="AE373">
        <v>152</v>
      </c>
      <c r="AF373">
        <v>3</v>
      </c>
    </row>
    <row r="374" spans="1:32" x14ac:dyDescent="0.3">
      <c r="A374" t="s">
        <v>55</v>
      </c>
      <c r="B374">
        <v>236</v>
      </c>
      <c r="C374">
        <v>3.9646978954514599E-2</v>
      </c>
      <c r="D374">
        <v>9.6673455532926E-2</v>
      </c>
      <c r="E374">
        <v>0</v>
      </c>
      <c r="F374">
        <v>0</v>
      </c>
      <c r="G374">
        <v>1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30</v>
      </c>
      <c r="P374">
        <v>37</v>
      </c>
      <c r="Q374">
        <v>21</v>
      </c>
      <c r="R374">
        <v>25</v>
      </c>
      <c r="S374">
        <v>2.71764799795409</v>
      </c>
      <c r="T374">
        <v>3.5494412620142399</v>
      </c>
      <c r="U374">
        <v>2.5071564861102802</v>
      </c>
      <c r="V374">
        <v>2.8258402483057101</v>
      </c>
      <c r="W374">
        <v>181.55616797229001</v>
      </c>
      <c r="X374">
        <v>184.285148497422</v>
      </c>
      <c r="Y374">
        <v>180.86557902267199</v>
      </c>
      <c r="Z374">
        <v>181.91112942357501</v>
      </c>
      <c r="AA374">
        <v>0</v>
      </c>
      <c r="AB374">
        <v>0</v>
      </c>
      <c r="AC374">
        <v>1</v>
      </c>
      <c r="AD374">
        <v>0</v>
      </c>
      <c r="AE374">
        <v>10</v>
      </c>
      <c r="AF374">
        <v>3</v>
      </c>
    </row>
    <row r="375" spans="1:32" x14ac:dyDescent="0.3">
      <c r="A375" t="s">
        <v>59</v>
      </c>
      <c r="B375">
        <v>240</v>
      </c>
      <c r="C375">
        <v>0.273455532926001</v>
      </c>
      <c r="D375">
        <v>0.144602851323829</v>
      </c>
      <c r="E375">
        <v>0</v>
      </c>
      <c r="F375">
        <v>0</v>
      </c>
      <c r="G375">
        <v>1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1.5645</v>
      </c>
      <c r="O375">
        <v>39</v>
      </c>
      <c r="P375">
        <v>37</v>
      </c>
      <c r="Q375">
        <v>18</v>
      </c>
      <c r="R375">
        <v>22</v>
      </c>
      <c r="S375">
        <v>2.6149165324742398</v>
      </c>
      <c r="T375">
        <v>2.8344187843281099</v>
      </c>
      <c r="U375">
        <v>2.0083717502627199</v>
      </c>
      <c r="V375">
        <v>2.44560468705129</v>
      </c>
      <c r="W375">
        <v>181.21912248187101</v>
      </c>
      <c r="X375">
        <v>181.93927422679801</v>
      </c>
      <c r="Y375">
        <v>179.22914616227899</v>
      </c>
      <c r="Z375">
        <v>180.66363742470901</v>
      </c>
      <c r="AA375">
        <v>0</v>
      </c>
      <c r="AB375">
        <v>0</v>
      </c>
      <c r="AC375">
        <v>1</v>
      </c>
      <c r="AD375">
        <v>0</v>
      </c>
      <c r="AE375">
        <v>161</v>
      </c>
      <c r="AF375">
        <v>3</v>
      </c>
    </row>
    <row r="376" spans="1:32" x14ac:dyDescent="0.3">
      <c r="A376" t="s">
        <v>63</v>
      </c>
      <c r="B376">
        <v>244</v>
      </c>
      <c r="C376">
        <v>6.5987780040733204E-2</v>
      </c>
      <c r="D376">
        <v>3.9646978954514599E-2</v>
      </c>
      <c r="E376">
        <v>0</v>
      </c>
      <c r="F376">
        <v>0</v>
      </c>
      <c r="G376">
        <v>1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0.42699999999999999</v>
      </c>
      <c r="N376">
        <v>7.0000000000000007E-2</v>
      </c>
      <c r="O376">
        <v>31</v>
      </c>
      <c r="P376">
        <v>30</v>
      </c>
      <c r="Q376">
        <v>21</v>
      </c>
      <c r="R376">
        <v>28</v>
      </c>
      <c r="S376">
        <v>3.0930010543036701</v>
      </c>
      <c r="T376">
        <v>3.10758751050354</v>
      </c>
      <c r="U376">
        <v>2.9808936165014401</v>
      </c>
      <c r="V376">
        <v>2.9508628750762602</v>
      </c>
      <c r="W376">
        <v>182.78764125427699</v>
      </c>
      <c r="X376">
        <v>182.835497081705</v>
      </c>
      <c r="Y376">
        <v>182.41983469980801</v>
      </c>
      <c r="Z376">
        <v>182.321308645263</v>
      </c>
      <c r="AA376">
        <v>0</v>
      </c>
      <c r="AB376">
        <v>0</v>
      </c>
      <c r="AC376">
        <v>1</v>
      </c>
      <c r="AD376">
        <v>0</v>
      </c>
      <c r="AE376">
        <v>23</v>
      </c>
      <c r="AF376">
        <v>3</v>
      </c>
    </row>
    <row r="377" spans="1:32" x14ac:dyDescent="0.3">
      <c r="A377" t="s">
        <v>67</v>
      </c>
      <c r="B377">
        <v>248</v>
      </c>
      <c r="C377">
        <v>0.31785471826204997</v>
      </c>
      <c r="D377">
        <v>0.273455532926001</v>
      </c>
      <c r="E377">
        <v>0</v>
      </c>
      <c r="F377">
        <v>0</v>
      </c>
      <c r="G377">
        <v>1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4.5499999999999999E-2</v>
      </c>
      <c r="N377">
        <v>8.0500000000000002E-2</v>
      </c>
      <c r="O377">
        <v>37</v>
      </c>
      <c r="P377">
        <v>34</v>
      </c>
      <c r="Q377">
        <v>23</v>
      </c>
      <c r="R377">
        <v>20</v>
      </c>
      <c r="S377">
        <v>3.1521504947544998</v>
      </c>
      <c r="T377">
        <v>2.8282645737680898</v>
      </c>
      <c r="U377">
        <v>2.5392023603058602</v>
      </c>
      <c r="V377">
        <v>2.48789918807655</v>
      </c>
      <c r="W377">
        <v>182.98170109827601</v>
      </c>
      <c r="X377">
        <v>181.919083247271</v>
      </c>
      <c r="Y377">
        <v>180.97071640520301</v>
      </c>
      <c r="Z377">
        <v>180.80239891101201</v>
      </c>
      <c r="AA377">
        <v>0</v>
      </c>
      <c r="AB377">
        <v>0</v>
      </c>
      <c r="AC377">
        <v>1</v>
      </c>
      <c r="AD377">
        <v>0</v>
      </c>
      <c r="AE377">
        <v>205</v>
      </c>
      <c r="AF377">
        <v>3</v>
      </c>
    </row>
    <row r="378" spans="1:32" x14ac:dyDescent="0.3">
      <c r="A378" t="s">
        <v>71</v>
      </c>
      <c r="B378">
        <v>252</v>
      </c>
      <c r="C378">
        <v>6.1778682959945701E-2</v>
      </c>
      <c r="D378">
        <v>6.5987780040733204E-2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33</v>
      </c>
      <c r="P378">
        <v>35</v>
      </c>
      <c r="Q378">
        <v>20</v>
      </c>
      <c r="R378">
        <v>23</v>
      </c>
      <c r="S378">
        <v>2.9486984154107798</v>
      </c>
      <c r="T378">
        <v>2.8728049890614402</v>
      </c>
      <c r="U378">
        <v>2.3374490822005498</v>
      </c>
      <c r="V378">
        <v>2.6095079448896699</v>
      </c>
      <c r="W378">
        <v>182.31420739964199</v>
      </c>
      <c r="X378">
        <v>182.065213218705</v>
      </c>
      <c r="Y378">
        <v>180.30879620144501</v>
      </c>
      <c r="Z378">
        <v>181.20137777194799</v>
      </c>
      <c r="AA378">
        <v>0</v>
      </c>
      <c r="AB378">
        <v>0</v>
      </c>
      <c r="AC378">
        <v>1</v>
      </c>
      <c r="AD378">
        <v>0</v>
      </c>
      <c r="AE378">
        <v>36</v>
      </c>
      <c r="AF378">
        <v>3</v>
      </c>
    </row>
    <row r="379" spans="1:32" x14ac:dyDescent="0.3">
      <c r="A379" t="s">
        <v>75</v>
      </c>
      <c r="B379">
        <v>256</v>
      </c>
      <c r="C379">
        <v>9.6673455532926E-2</v>
      </c>
      <c r="D379">
        <v>0.31785471826204997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0</v>
      </c>
      <c r="L379">
        <v>1</v>
      </c>
      <c r="M379">
        <v>1.0500000000000001E-2</v>
      </c>
      <c r="N379">
        <v>1.0500000000000001E-2</v>
      </c>
      <c r="O379">
        <v>34</v>
      </c>
      <c r="P379">
        <v>33</v>
      </c>
      <c r="Q379">
        <v>23</v>
      </c>
      <c r="R379">
        <v>20</v>
      </c>
      <c r="S379">
        <v>2.9862764790177998</v>
      </c>
      <c r="T379">
        <v>2.9203386055044298</v>
      </c>
      <c r="U379">
        <v>1.9752050568136501</v>
      </c>
      <c r="V379">
        <v>2.0465011733700398</v>
      </c>
      <c r="W379">
        <v>182.437495009901</v>
      </c>
      <c r="X379">
        <v>182.22116340388601</v>
      </c>
      <c r="Y379">
        <v>179.120331551226</v>
      </c>
      <c r="Z379">
        <v>179.35424269478401</v>
      </c>
      <c r="AA379">
        <v>0</v>
      </c>
      <c r="AB379">
        <v>0</v>
      </c>
      <c r="AC379">
        <v>1</v>
      </c>
      <c r="AD379">
        <v>0</v>
      </c>
      <c r="AE379">
        <v>13</v>
      </c>
      <c r="AF379">
        <v>3</v>
      </c>
    </row>
    <row r="380" spans="1:32" x14ac:dyDescent="0.3">
      <c r="A380" t="s">
        <v>79</v>
      </c>
      <c r="B380">
        <v>260</v>
      </c>
      <c r="C380">
        <v>0.144602851323829</v>
      </c>
      <c r="D380">
        <v>6.1778682959945701E-2</v>
      </c>
      <c r="E380">
        <v>0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0.59499999999999997</v>
      </c>
      <c r="N380">
        <v>0</v>
      </c>
      <c r="O380">
        <v>39</v>
      </c>
      <c r="P380">
        <v>32</v>
      </c>
      <c r="Q380">
        <v>20</v>
      </c>
      <c r="R380">
        <v>23</v>
      </c>
      <c r="S380">
        <v>3.1440955930777101</v>
      </c>
      <c r="T380">
        <v>2.6207388963318099</v>
      </c>
      <c r="U380">
        <v>2.3865821231379898</v>
      </c>
      <c r="V380">
        <v>1.7741758769868201</v>
      </c>
      <c r="W380">
        <v>182.95527425550401</v>
      </c>
      <c r="X380">
        <v>181.23822472549799</v>
      </c>
      <c r="Y380">
        <v>180.469993842316</v>
      </c>
      <c r="Z380">
        <v>178.46078699798801</v>
      </c>
      <c r="AA380">
        <v>0</v>
      </c>
      <c r="AB380">
        <v>0</v>
      </c>
      <c r="AC380">
        <v>1</v>
      </c>
      <c r="AD380">
        <v>0</v>
      </c>
      <c r="AE380">
        <v>96</v>
      </c>
      <c r="AF380">
        <v>3</v>
      </c>
    </row>
    <row r="381" spans="1:32" x14ac:dyDescent="0.3">
      <c r="A381" t="s">
        <v>83</v>
      </c>
      <c r="B381">
        <v>264</v>
      </c>
      <c r="C381">
        <v>3.9646978954514599E-2</v>
      </c>
      <c r="D381">
        <v>9.6673455532926E-2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39</v>
      </c>
      <c r="P381">
        <v>36</v>
      </c>
      <c r="Q381">
        <v>25</v>
      </c>
      <c r="R381">
        <v>25</v>
      </c>
      <c r="S381">
        <v>2.8382892570009401</v>
      </c>
      <c r="T381">
        <v>3.0236331761974098</v>
      </c>
      <c r="U381">
        <v>2.57771233848363</v>
      </c>
      <c r="V381">
        <v>2.4108405581824699</v>
      </c>
      <c r="W381">
        <v>181.951972627956</v>
      </c>
      <c r="X381">
        <v>182.560056352354</v>
      </c>
      <c r="Y381">
        <v>181.09706147796501</v>
      </c>
      <c r="Z381">
        <v>180.54958188380101</v>
      </c>
      <c r="AA381">
        <v>0</v>
      </c>
      <c r="AB381">
        <v>0</v>
      </c>
      <c r="AC381">
        <v>1</v>
      </c>
      <c r="AD381">
        <v>0</v>
      </c>
      <c r="AE381">
        <v>22</v>
      </c>
      <c r="AF381">
        <v>3</v>
      </c>
    </row>
    <row r="382" spans="1:32" x14ac:dyDescent="0.3">
      <c r="A382" t="s">
        <v>86</v>
      </c>
      <c r="B382">
        <v>268</v>
      </c>
      <c r="C382">
        <v>0.273455532926001</v>
      </c>
      <c r="D382">
        <v>0.144602851323829</v>
      </c>
      <c r="E382">
        <v>0</v>
      </c>
      <c r="F382">
        <v>0</v>
      </c>
      <c r="G382">
        <v>1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36</v>
      </c>
      <c r="P382">
        <v>36</v>
      </c>
      <c r="Q382">
        <v>16</v>
      </c>
      <c r="R382">
        <v>20</v>
      </c>
      <c r="S382">
        <v>3.1397741928697398</v>
      </c>
      <c r="T382">
        <v>3.3349657401912798</v>
      </c>
      <c r="U382">
        <v>2.396361559442</v>
      </c>
      <c r="V382">
        <v>2.5560580066162402</v>
      </c>
      <c r="W382">
        <v>182.9410964333</v>
      </c>
      <c r="X382">
        <v>183.581488648922</v>
      </c>
      <c r="Y382">
        <v>180.50207860709301</v>
      </c>
      <c r="Z382">
        <v>181.02601708207399</v>
      </c>
      <c r="AA382">
        <v>0</v>
      </c>
      <c r="AB382">
        <v>0</v>
      </c>
      <c r="AC382">
        <v>1</v>
      </c>
      <c r="AD382">
        <v>0</v>
      </c>
      <c r="AE382">
        <v>172</v>
      </c>
      <c r="AF382">
        <v>3</v>
      </c>
    </row>
    <row r="383" spans="1:32" x14ac:dyDescent="0.3">
      <c r="A383" t="s">
        <v>91</v>
      </c>
      <c r="B383">
        <v>272</v>
      </c>
      <c r="C383">
        <v>0.144602851323829</v>
      </c>
      <c r="D383">
        <v>6.1778682959945701E-2</v>
      </c>
      <c r="E383">
        <v>0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37</v>
      </c>
      <c r="P383">
        <v>37</v>
      </c>
      <c r="Q383">
        <v>21</v>
      </c>
      <c r="R383">
        <v>20</v>
      </c>
      <c r="S383">
        <v>2.95137179645827</v>
      </c>
      <c r="T383">
        <v>3.04321180857717</v>
      </c>
      <c r="U383">
        <v>2.1102183510966501</v>
      </c>
      <c r="V383">
        <v>2.2132802106938998</v>
      </c>
      <c r="W383">
        <v>182.32297833483699</v>
      </c>
      <c r="X383">
        <v>182.62429071055499</v>
      </c>
      <c r="Y383">
        <v>179.563288553467</v>
      </c>
      <c r="Z383">
        <v>179.90141801408799</v>
      </c>
      <c r="AA383">
        <v>0</v>
      </c>
      <c r="AB383">
        <v>0</v>
      </c>
      <c r="AC383">
        <v>1</v>
      </c>
      <c r="AD383">
        <v>0</v>
      </c>
      <c r="AE383">
        <v>76</v>
      </c>
      <c r="AF383">
        <v>3</v>
      </c>
    </row>
    <row r="384" spans="1:32" x14ac:dyDescent="0.3">
      <c r="A384" t="s">
        <v>95</v>
      </c>
      <c r="B384">
        <v>276</v>
      </c>
      <c r="C384">
        <v>3.9646978954514599E-2</v>
      </c>
      <c r="D384">
        <v>9.6673455532926E-2</v>
      </c>
      <c r="E384">
        <v>0</v>
      </c>
      <c r="F384">
        <v>0</v>
      </c>
      <c r="G384">
        <v>1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0.17</v>
      </c>
      <c r="N384">
        <v>0</v>
      </c>
      <c r="O384">
        <v>41</v>
      </c>
      <c r="P384">
        <v>42</v>
      </c>
      <c r="Q384">
        <v>23</v>
      </c>
      <c r="R384">
        <v>21</v>
      </c>
      <c r="S384">
        <v>3.1868377366175098</v>
      </c>
      <c r="T384">
        <v>3.0680796797693302</v>
      </c>
      <c r="U384">
        <v>2.02899065528042</v>
      </c>
      <c r="V384">
        <v>2.0526259079836802</v>
      </c>
      <c r="W384">
        <v>183.095504385228</v>
      </c>
      <c r="X384">
        <v>182.705878214466</v>
      </c>
      <c r="Y384">
        <v>179.29679348845301</v>
      </c>
      <c r="Z384">
        <v>179.37433696845</v>
      </c>
      <c r="AA384">
        <v>0</v>
      </c>
      <c r="AB384">
        <v>0</v>
      </c>
      <c r="AC384">
        <v>1</v>
      </c>
      <c r="AD384">
        <v>0</v>
      </c>
      <c r="AE384">
        <v>54</v>
      </c>
      <c r="AF384">
        <v>3</v>
      </c>
    </row>
    <row r="385" spans="1:32" x14ac:dyDescent="0.3">
      <c r="A385" t="s">
        <v>99</v>
      </c>
      <c r="B385">
        <v>280</v>
      </c>
      <c r="C385">
        <v>0.273455532926001</v>
      </c>
      <c r="D385">
        <v>0.144602851323829</v>
      </c>
      <c r="E385">
        <v>0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1</v>
      </c>
      <c r="L385">
        <v>0</v>
      </c>
      <c r="M385">
        <v>0.65</v>
      </c>
      <c r="N385">
        <v>0.06</v>
      </c>
      <c r="O385">
        <v>40</v>
      </c>
      <c r="P385">
        <v>37</v>
      </c>
      <c r="Q385">
        <v>18</v>
      </c>
      <c r="R385">
        <v>22</v>
      </c>
      <c r="S385">
        <v>2.5724462250998501</v>
      </c>
      <c r="T385">
        <v>3.02182131651533</v>
      </c>
      <c r="U385">
        <v>2.04245257336152</v>
      </c>
      <c r="V385">
        <v>2.7202962146299998</v>
      </c>
      <c r="W385">
        <v>181.07978420308299</v>
      </c>
      <c r="X385">
        <v>182.554111930825</v>
      </c>
      <c r="Y385">
        <v>179.34095988635701</v>
      </c>
      <c r="Z385">
        <v>181.56485634721099</v>
      </c>
      <c r="AA385">
        <v>0</v>
      </c>
      <c r="AB385">
        <v>0</v>
      </c>
      <c r="AC385">
        <v>1</v>
      </c>
      <c r="AD385">
        <v>0</v>
      </c>
      <c r="AE385">
        <v>139</v>
      </c>
      <c r="AF385">
        <v>3</v>
      </c>
    </row>
    <row r="386" spans="1:32" x14ac:dyDescent="0.3">
      <c r="A386" t="s">
        <v>103</v>
      </c>
      <c r="B386">
        <v>284</v>
      </c>
      <c r="C386">
        <v>6.5987780040733204E-2</v>
      </c>
      <c r="D386">
        <v>3.9646978954514599E-2</v>
      </c>
      <c r="E386">
        <v>0</v>
      </c>
      <c r="F386">
        <v>0</v>
      </c>
      <c r="G386">
        <v>1</v>
      </c>
      <c r="H386">
        <v>0</v>
      </c>
      <c r="I386">
        <v>0</v>
      </c>
      <c r="J386">
        <v>0</v>
      </c>
      <c r="K386">
        <v>1</v>
      </c>
      <c r="L386">
        <v>0</v>
      </c>
      <c r="M386">
        <v>1.59</v>
      </c>
      <c r="N386">
        <v>0</v>
      </c>
      <c r="O386">
        <v>34</v>
      </c>
      <c r="P386">
        <v>29</v>
      </c>
      <c r="Q386">
        <v>23</v>
      </c>
      <c r="R386">
        <v>26</v>
      </c>
      <c r="S386">
        <v>3.2658176236902299</v>
      </c>
      <c r="T386">
        <v>3.4183521132655201</v>
      </c>
      <c r="U386">
        <v>2.4572778467671701</v>
      </c>
      <c r="V386">
        <v>2.9742954630799798</v>
      </c>
      <c r="W386">
        <v>183.35462474964001</v>
      </c>
      <c r="X386">
        <v>183.85506598840399</v>
      </c>
      <c r="Y386">
        <v>180.70193519280599</v>
      </c>
      <c r="Z386">
        <v>182.39818721482899</v>
      </c>
      <c r="AA386">
        <v>0</v>
      </c>
      <c r="AB386">
        <v>0</v>
      </c>
      <c r="AC386">
        <v>1</v>
      </c>
      <c r="AD386">
        <v>0</v>
      </c>
      <c r="AE386">
        <v>25</v>
      </c>
      <c r="AF386">
        <v>3</v>
      </c>
    </row>
    <row r="387" spans="1:32" x14ac:dyDescent="0.3">
      <c r="A387" t="s">
        <v>107</v>
      </c>
      <c r="B387">
        <v>288</v>
      </c>
      <c r="C387">
        <v>0.31785471826204997</v>
      </c>
      <c r="D387">
        <v>0.273455532926001</v>
      </c>
      <c r="E387">
        <v>0</v>
      </c>
      <c r="F387">
        <v>0</v>
      </c>
      <c r="G387">
        <v>1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36</v>
      </c>
      <c r="P387">
        <v>35</v>
      </c>
      <c r="Q387">
        <v>19</v>
      </c>
      <c r="R387">
        <v>17</v>
      </c>
      <c r="S387">
        <v>3.3783949803314002</v>
      </c>
      <c r="T387">
        <v>2.9688744484679401</v>
      </c>
      <c r="U387">
        <v>2.6768222335156602</v>
      </c>
      <c r="V387">
        <v>2.6865443469864001</v>
      </c>
      <c r="W387">
        <v>183.72397303258299</v>
      </c>
      <c r="X387">
        <v>182.38040173381901</v>
      </c>
      <c r="Y387">
        <v>181.42222517557599</v>
      </c>
      <c r="Z387">
        <v>181.45412187331499</v>
      </c>
      <c r="AA387">
        <v>0</v>
      </c>
      <c r="AB387">
        <v>0</v>
      </c>
      <c r="AC387">
        <v>1</v>
      </c>
      <c r="AD387">
        <v>0</v>
      </c>
      <c r="AE387">
        <v>198</v>
      </c>
      <c r="AF387">
        <v>3</v>
      </c>
    </row>
    <row r="388" spans="1:32" x14ac:dyDescent="0.3">
      <c r="A388" t="s">
        <v>111</v>
      </c>
      <c r="B388">
        <v>292</v>
      </c>
      <c r="C388">
        <v>6.1778682959945701E-2</v>
      </c>
      <c r="D388">
        <v>6.5987780040733204E-2</v>
      </c>
      <c r="E388">
        <v>0</v>
      </c>
      <c r="F388">
        <v>0</v>
      </c>
      <c r="G388">
        <v>1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39</v>
      </c>
      <c r="P388">
        <v>42</v>
      </c>
      <c r="Q388">
        <v>21</v>
      </c>
      <c r="R388">
        <v>22</v>
      </c>
      <c r="S388">
        <v>3.2285230308995598</v>
      </c>
      <c r="T388">
        <v>2.8898811771351598</v>
      </c>
      <c r="U388">
        <v>2.5324843494864702</v>
      </c>
      <c r="V388">
        <v>2.6232131948681499</v>
      </c>
      <c r="W388">
        <v>183.23226716174401</v>
      </c>
      <c r="X388">
        <v>182.121237457793</v>
      </c>
      <c r="Y388">
        <v>180.948675687292</v>
      </c>
      <c r="Z388">
        <v>181.24634250284799</v>
      </c>
      <c r="AA388">
        <v>0</v>
      </c>
      <c r="AB388">
        <v>0</v>
      </c>
      <c r="AC388">
        <v>1</v>
      </c>
      <c r="AD388">
        <v>0</v>
      </c>
      <c r="AE388">
        <v>21</v>
      </c>
      <c r="AF388">
        <v>3</v>
      </c>
    </row>
    <row r="389" spans="1:32" x14ac:dyDescent="0.3">
      <c r="A389" t="s">
        <v>115</v>
      </c>
      <c r="B389">
        <v>296</v>
      </c>
      <c r="C389">
        <v>9.6673455532926E-2</v>
      </c>
      <c r="D389">
        <v>0.31785471826204997</v>
      </c>
      <c r="E389">
        <v>1</v>
      </c>
      <c r="F389">
        <v>0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43</v>
      </c>
      <c r="P389">
        <v>44</v>
      </c>
      <c r="Q389">
        <v>17</v>
      </c>
      <c r="R389">
        <v>18</v>
      </c>
      <c r="S389">
        <v>2.7916910823877501</v>
      </c>
      <c r="T389">
        <v>2.9149156923419701</v>
      </c>
      <c r="U389">
        <v>1.8399879520046201</v>
      </c>
      <c r="V389">
        <v>2.0919060584220199</v>
      </c>
      <c r="W389">
        <v>181.79909147764999</v>
      </c>
      <c r="X389">
        <v>182.20337169403501</v>
      </c>
      <c r="Y389">
        <v>178.67670587928001</v>
      </c>
      <c r="Z389">
        <v>179.503208853091</v>
      </c>
      <c r="AA389">
        <v>0</v>
      </c>
      <c r="AB389">
        <v>0</v>
      </c>
      <c r="AC389">
        <v>1</v>
      </c>
      <c r="AD389">
        <v>0</v>
      </c>
      <c r="AE389">
        <v>196</v>
      </c>
      <c r="AF389">
        <v>3</v>
      </c>
    </row>
    <row r="390" spans="1:32" x14ac:dyDescent="0.3">
      <c r="A390" t="s">
        <v>119</v>
      </c>
      <c r="B390">
        <v>300</v>
      </c>
      <c r="C390">
        <v>0.144602851323829</v>
      </c>
      <c r="D390">
        <v>6.1778682959945701E-2</v>
      </c>
      <c r="E390">
        <v>0</v>
      </c>
      <c r="F390">
        <v>0</v>
      </c>
      <c r="G390">
        <v>1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0.68</v>
      </c>
      <c r="N390">
        <v>0.78</v>
      </c>
      <c r="O390">
        <v>38</v>
      </c>
      <c r="P390">
        <v>26</v>
      </c>
      <c r="Q390">
        <v>17</v>
      </c>
      <c r="R390">
        <v>24</v>
      </c>
      <c r="S390">
        <v>3.17733137443863</v>
      </c>
      <c r="T390">
        <v>3.0488197407085398</v>
      </c>
      <c r="U390">
        <v>2.7104820658264401</v>
      </c>
      <c r="V390">
        <v>2.8229531405844401</v>
      </c>
      <c r="W390">
        <v>183.06431553293501</v>
      </c>
      <c r="X390">
        <v>182.64268943802</v>
      </c>
      <c r="Y390">
        <v>181.53265769628101</v>
      </c>
      <c r="Z390">
        <v>181.90165728538199</v>
      </c>
      <c r="AA390">
        <v>0</v>
      </c>
      <c r="AB390">
        <v>0</v>
      </c>
      <c r="AC390">
        <v>1</v>
      </c>
      <c r="AD390">
        <v>0</v>
      </c>
      <c r="AE390">
        <v>22</v>
      </c>
      <c r="AF390">
        <v>3</v>
      </c>
    </row>
    <row r="391" spans="1:32" x14ac:dyDescent="0.3">
      <c r="A391" s="26" t="s">
        <v>9</v>
      </c>
      <c r="B391">
        <v>304</v>
      </c>
      <c r="C391">
        <v>6.0994079581440201E-2</v>
      </c>
      <c r="D391">
        <v>6.0994079581440201E-2</v>
      </c>
      <c r="E391">
        <v>0</v>
      </c>
      <c r="F391">
        <v>0</v>
      </c>
      <c r="G391">
        <v>1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25</v>
      </c>
      <c r="P391">
        <v>25</v>
      </c>
      <c r="Q391">
        <v>16</v>
      </c>
      <c r="R391">
        <v>16</v>
      </c>
      <c r="S391">
        <v>3.3138898043287202</v>
      </c>
      <c r="T391">
        <v>3.3138898043287202</v>
      </c>
      <c r="U391">
        <v>2.8571812924574198</v>
      </c>
      <c r="V391">
        <v>2.8571812924574198</v>
      </c>
      <c r="W391">
        <v>183.572341877719</v>
      </c>
      <c r="X391">
        <v>183.572341877719</v>
      </c>
      <c r="Y391">
        <v>182.07395437157899</v>
      </c>
      <c r="Z391">
        <v>182.07395437157899</v>
      </c>
      <c r="AA391">
        <v>0</v>
      </c>
      <c r="AB391">
        <v>0</v>
      </c>
      <c r="AC391">
        <v>0</v>
      </c>
      <c r="AD391">
        <v>1</v>
      </c>
      <c r="AE391">
        <v>4</v>
      </c>
      <c r="AF391">
        <v>3</v>
      </c>
    </row>
    <row r="392" spans="1:32" x14ac:dyDescent="0.3">
      <c r="A392" t="s">
        <v>13</v>
      </c>
      <c r="B392">
        <v>308</v>
      </c>
      <c r="C392">
        <v>9.7067327550598895E-2</v>
      </c>
      <c r="D392">
        <v>0.32190554867134802</v>
      </c>
      <c r="E392">
        <v>1</v>
      </c>
      <c r="F392">
        <v>0</v>
      </c>
      <c r="G392">
        <v>1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32</v>
      </c>
      <c r="P392">
        <v>35</v>
      </c>
      <c r="Q392">
        <v>16</v>
      </c>
      <c r="R392">
        <v>9</v>
      </c>
      <c r="S392">
        <v>2.9869687916580401</v>
      </c>
      <c r="T392">
        <v>2.7141767339608802</v>
      </c>
      <c r="U392">
        <v>2.8635976143222099</v>
      </c>
      <c r="V392">
        <v>2.1278792560472102</v>
      </c>
      <c r="W392">
        <v>182.49976637683099</v>
      </c>
      <c r="X392">
        <v>181.604779310895</v>
      </c>
      <c r="Y392">
        <v>182.095005296333</v>
      </c>
      <c r="Z392">
        <v>179.68123115501101</v>
      </c>
      <c r="AA392">
        <v>0</v>
      </c>
      <c r="AB392">
        <v>0</v>
      </c>
      <c r="AC392">
        <v>0</v>
      </c>
      <c r="AD392">
        <v>1</v>
      </c>
      <c r="AE392">
        <v>51</v>
      </c>
      <c r="AF392">
        <v>3</v>
      </c>
    </row>
    <row r="393" spans="1:32" x14ac:dyDescent="0.3">
      <c r="A393" t="s">
        <v>17</v>
      </c>
      <c r="B393">
        <v>312</v>
      </c>
      <c r="C393">
        <v>0.14209004543577</v>
      </c>
      <c r="D393">
        <v>6.0994079581440201E-2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9.8000000000000004E-2</v>
      </c>
      <c r="N393">
        <v>0.34649999999999997</v>
      </c>
      <c r="O393">
        <v>34</v>
      </c>
      <c r="P393">
        <v>31</v>
      </c>
      <c r="Q393">
        <v>16</v>
      </c>
      <c r="R393">
        <v>21</v>
      </c>
      <c r="S393">
        <v>3.4735812407406099</v>
      </c>
      <c r="T393">
        <v>3.3028932025522</v>
      </c>
      <c r="U393">
        <v>2.4215599341995002</v>
      </c>
      <c r="V393">
        <v>2.0114901384452999</v>
      </c>
      <c r="W393">
        <v>184.096263913191</v>
      </c>
      <c r="X393">
        <v>183.53626378790099</v>
      </c>
      <c r="Y393">
        <v>180.644750440287</v>
      </c>
      <c r="Z393">
        <v>179.29937709463701</v>
      </c>
      <c r="AA393">
        <v>0</v>
      </c>
      <c r="AB393">
        <v>0</v>
      </c>
      <c r="AC393">
        <v>0</v>
      </c>
      <c r="AD393">
        <v>1</v>
      </c>
      <c r="AE393">
        <v>69</v>
      </c>
      <c r="AF393">
        <v>3</v>
      </c>
    </row>
    <row r="394" spans="1:32" x14ac:dyDescent="0.3">
      <c r="A394" t="s">
        <v>21</v>
      </c>
      <c r="B394">
        <v>316</v>
      </c>
      <c r="C394">
        <v>4.0066088393225903E-2</v>
      </c>
      <c r="D394">
        <v>9.7067327550598895E-2</v>
      </c>
      <c r="E394">
        <v>0</v>
      </c>
      <c r="F394">
        <v>0</v>
      </c>
      <c r="G394">
        <v>0</v>
      </c>
      <c r="H394">
        <v>1</v>
      </c>
      <c r="I394">
        <v>0</v>
      </c>
      <c r="J394">
        <v>0</v>
      </c>
      <c r="K394">
        <v>1</v>
      </c>
      <c r="L394">
        <v>0</v>
      </c>
      <c r="M394">
        <v>1.379</v>
      </c>
      <c r="N394">
        <v>0.33950000000000002</v>
      </c>
      <c r="O394">
        <v>17</v>
      </c>
      <c r="P394">
        <v>14</v>
      </c>
      <c r="Q394">
        <v>12</v>
      </c>
      <c r="R394">
        <v>13</v>
      </c>
      <c r="S394">
        <v>3.4135681845418699</v>
      </c>
      <c r="T394">
        <v>2.80283619613233</v>
      </c>
      <c r="U394">
        <v>3.1532239441105099</v>
      </c>
      <c r="V394">
        <v>2.7727926758282901</v>
      </c>
      <c r="W394">
        <v>183.89937068419201</v>
      </c>
      <c r="X394">
        <v>181.895656811458</v>
      </c>
      <c r="Y394">
        <v>183.04522291374801</v>
      </c>
      <c r="Z394">
        <v>181.79708883145801</v>
      </c>
      <c r="AA394">
        <v>0</v>
      </c>
      <c r="AB394">
        <v>0</v>
      </c>
      <c r="AC394">
        <v>0</v>
      </c>
      <c r="AD394">
        <v>1</v>
      </c>
      <c r="AE394">
        <v>6</v>
      </c>
      <c r="AF394">
        <v>3</v>
      </c>
    </row>
    <row r="395" spans="1:32" x14ac:dyDescent="0.3">
      <c r="A395" t="s">
        <v>25</v>
      </c>
      <c r="B395">
        <v>320</v>
      </c>
      <c r="C395">
        <v>0.27110009637890697</v>
      </c>
      <c r="D395">
        <v>0.14209004543577</v>
      </c>
      <c r="E395">
        <v>0</v>
      </c>
      <c r="F395">
        <v>0</v>
      </c>
      <c r="G395">
        <v>1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29</v>
      </c>
      <c r="P395">
        <v>29</v>
      </c>
      <c r="Q395">
        <v>17</v>
      </c>
      <c r="R395">
        <v>15</v>
      </c>
      <c r="S395">
        <v>3.3671785745120801</v>
      </c>
      <c r="T395">
        <v>3.27001571237088</v>
      </c>
      <c r="U395">
        <v>2.6169533778604102</v>
      </c>
      <c r="V395">
        <v>2.90390633167168</v>
      </c>
      <c r="W395">
        <v>183.74717380089299</v>
      </c>
      <c r="X395">
        <v>183.42839800646601</v>
      </c>
      <c r="Y395">
        <v>181.28580504547401</v>
      </c>
      <c r="Z395">
        <v>182.22725174433</v>
      </c>
      <c r="AA395">
        <v>0</v>
      </c>
      <c r="AB395">
        <v>0</v>
      </c>
      <c r="AC395">
        <v>0</v>
      </c>
      <c r="AD395">
        <v>1</v>
      </c>
      <c r="AE395">
        <v>49</v>
      </c>
      <c r="AF395">
        <v>3</v>
      </c>
    </row>
    <row r="396" spans="1:32" x14ac:dyDescent="0.3">
      <c r="A396" t="s">
        <v>29</v>
      </c>
      <c r="B396">
        <v>324</v>
      </c>
      <c r="C396">
        <v>6.6776813988709896E-2</v>
      </c>
      <c r="D396">
        <v>4.0066088393225903E-2</v>
      </c>
      <c r="E396">
        <v>0</v>
      </c>
      <c r="F396">
        <v>0</v>
      </c>
      <c r="G396">
        <v>1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0.11550000000000001</v>
      </c>
      <c r="N396">
        <v>0.434</v>
      </c>
      <c r="O396">
        <v>32</v>
      </c>
      <c r="P396">
        <v>29</v>
      </c>
      <c r="Q396">
        <v>16</v>
      </c>
      <c r="R396">
        <v>17</v>
      </c>
      <c r="S396">
        <v>3.0262108148687998</v>
      </c>
      <c r="T396">
        <v>2.9960352592556898</v>
      </c>
      <c r="U396">
        <v>2.47866582581227</v>
      </c>
      <c r="V396">
        <v>2.2710694121370998</v>
      </c>
      <c r="W396">
        <v>182.62851317214199</v>
      </c>
      <c r="X396">
        <v>182.529512005432</v>
      </c>
      <c r="Y396">
        <v>180.832105727731</v>
      </c>
      <c r="Z396">
        <v>180.15101513168301</v>
      </c>
      <c r="AA396">
        <v>0</v>
      </c>
      <c r="AB396">
        <v>0</v>
      </c>
      <c r="AC396">
        <v>0</v>
      </c>
      <c r="AD396">
        <v>1</v>
      </c>
      <c r="AE396">
        <v>29</v>
      </c>
      <c r="AF396">
        <v>3</v>
      </c>
    </row>
    <row r="397" spans="1:32" x14ac:dyDescent="0.3">
      <c r="A397" t="s">
        <v>33</v>
      </c>
      <c r="B397">
        <v>328</v>
      </c>
      <c r="C397">
        <v>0.32190554867134802</v>
      </c>
      <c r="D397">
        <v>0.27110009637890697</v>
      </c>
      <c r="E397">
        <v>0</v>
      </c>
      <c r="F397">
        <v>0</v>
      </c>
      <c r="G397">
        <v>1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0.27650000000000002</v>
      </c>
      <c r="O397">
        <v>38</v>
      </c>
      <c r="P397">
        <v>37</v>
      </c>
      <c r="Q397">
        <v>21</v>
      </c>
      <c r="R397">
        <v>21</v>
      </c>
      <c r="S397">
        <v>3.5803034379737899</v>
      </c>
      <c r="T397">
        <v>3.09283809548314</v>
      </c>
      <c r="U397">
        <v>2.8577846112931802</v>
      </c>
      <c r="V397">
        <v>2.84309104773864</v>
      </c>
      <c r="W397">
        <v>184.44640235555701</v>
      </c>
      <c r="X397">
        <v>182.847106612478</v>
      </c>
      <c r="Y397">
        <v>182.07593376408499</v>
      </c>
      <c r="Z397">
        <v>182.027726534576</v>
      </c>
      <c r="AA397">
        <v>0</v>
      </c>
      <c r="AB397">
        <v>0</v>
      </c>
      <c r="AC397">
        <v>0</v>
      </c>
      <c r="AD397">
        <v>1</v>
      </c>
      <c r="AE397">
        <v>201</v>
      </c>
      <c r="AF397">
        <v>3</v>
      </c>
    </row>
    <row r="398" spans="1:32" x14ac:dyDescent="0.3">
      <c r="A398" t="s">
        <v>38</v>
      </c>
      <c r="B398">
        <v>332</v>
      </c>
      <c r="C398">
        <v>0.27110009637890697</v>
      </c>
      <c r="D398">
        <v>0.14209004543577</v>
      </c>
      <c r="E398">
        <v>0</v>
      </c>
      <c r="F398">
        <v>0</v>
      </c>
      <c r="G398">
        <v>0</v>
      </c>
      <c r="H398">
        <v>0</v>
      </c>
      <c r="I398">
        <v>1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29</v>
      </c>
      <c r="P398">
        <v>34</v>
      </c>
      <c r="Q398">
        <v>12</v>
      </c>
      <c r="R398">
        <v>19</v>
      </c>
      <c r="S398">
        <v>2.7925979423073199</v>
      </c>
      <c r="T398">
        <v>3.2819546872238399</v>
      </c>
      <c r="U398">
        <v>2.3459295301659302</v>
      </c>
      <c r="V398">
        <v>2.6886504549980499</v>
      </c>
      <c r="W398">
        <v>181.86206673985299</v>
      </c>
      <c r="X398">
        <v>183.46756787146899</v>
      </c>
      <c r="Y398">
        <v>180.39661919345801</v>
      </c>
      <c r="Z398">
        <v>181.52103167650299</v>
      </c>
      <c r="AA398">
        <v>0</v>
      </c>
      <c r="AB398">
        <v>0</v>
      </c>
      <c r="AC398">
        <v>0</v>
      </c>
      <c r="AD398">
        <v>1</v>
      </c>
      <c r="AE398">
        <v>113</v>
      </c>
      <c r="AF398">
        <v>3</v>
      </c>
    </row>
    <row r="399" spans="1:32" x14ac:dyDescent="0.3">
      <c r="A399" t="s">
        <v>46</v>
      </c>
      <c r="B399">
        <v>340</v>
      </c>
      <c r="C399">
        <v>0.32190554867134802</v>
      </c>
      <c r="D399">
        <v>0.27110009637890697</v>
      </c>
      <c r="E399">
        <v>0</v>
      </c>
      <c r="F399">
        <v>0</v>
      </c>
      <c r="G399">
        <v>0</v>
      </c>
      <c r="H399">
        <v>1</v>
      </c>
      <c r="I399">
        <v>0</v>
      </c>
      <c r="J399">
        <v>0</v>
      </c>
      <c r="K399">
        <v>0</v>
      </c>
      <c r="L399">
        <v>1</v>
      </c>
      <c r="M399">
        <v>1.351</v>
      </c>
      <c r="N399">
        <v>0</v>
      </c>
      <c r="O399">
        <v>17</v>
      </c>
      <c r="P399">
        <v>28</v>
      </c>
      <c r="Q399">
        <v>14</v>
      </c>
      <c r="R399">
        <v>14</v>
      </c>
      <c r="S399">
        <v>2.7193452665566298</v>
      </c>
      <c r="T399">
        <v>2.67511141187348</v>
      </c>
      <c r="U399">
        <v>2.2487025378658299</v>
      </c>
      <c r="V399">
        <v>2.4230813889214602</v>
      </c>
      <c r="W399">
        <v>181.62173643883401</v>
      </c>
      <c r="X399">
        <v>181.476612243679</v>
      </c>
      <c r="Y399">
        <v>180.077632998247</v>
      </c>
      <c r="Z399">
        <v>180.64974208963699</v>
      </c>
      <c r="AA399">
        <v>0</v>
      </c>
      <c r="AB399">
        <v>0</v>
      </c>
      <c r="AC399">
        <v>0</v>
      </c>
      <c r="AD399">
        <v>1</v>
      </c>
      <c r="AE399">
        <v>13</v>
      </c>
      <c r="AF399">
        <v>3</v>
      </c>
    </row>
    <row r="400" spans="1:32" x14ac:dyDescent="0.3">
      <c r="A400" t="s">
        <v>50</v>
      </c>
      <c r="B400">
        <v>344</v>
      </c>
      <c r="C400">
        <v>6.0994079581440201E-2</v>
      </c>
      <c r="D400">
        <v>6.6776813988709896E-2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0.38150000000000001</v>
      </c>
      <c r="N400">
        <v>0.60550000000000004</v>
      </c>
      <c r="O400">
        <v>34</v>
      </c>
      <c r="P400">
        <v>32</v>
      </c>
      <c r="Q400">
        <v>17</v>
      </c>
      <c r="R400">
        <v>24</v>
      </c>
      <c r="S400">
        <v>3.4724997887116098</v>
      </c>
      <c r="T400">
        <v>3.4258276680225901</v>
      </c>
      <c r="U400">
        <v>3.0644223186603998</v>
      </c>
      <c r="V400">
        <v>3.1129905151449702</v>
      </c>
      <c r="W400">
        <v>184.09271584223001</v>
      </c>
      <c r="X400">
        <v>183.93959208668801</v>
      </c>
      <c r="Y400">
        <v>182.75387899822999</v>
      </c>
      <c r="Z400">
        <v>182.913223474885</v>
      </c>
      <c r="AA400">
        <v>0</v>
      </c>
      <c r="AB400">
        <v>0</v>
      </c>
      <c r="AC400">
        <v>0</v>
      </c>
      <c r="AD400">
        <v>1</v>
      </c>
      <c r="AE400">
        <v>39</v>
      </c>
      <c r="AF400">
        <v>3</v>
      </c>
    </row>
    <row r="401" spans="1:36" x14ac:dyDescent="0.3">
      <c r="A401" t="s">
        <v>54</v>
      </c>
      <c r="B401">
        <v>348</v>
      </c>
      <c r="C401">
        <v>9.7067327550598895E-2</v>
      </c>
      <c r="D401">
        <v>0.32190554867134802</v>
      </c>
      <c r="E401">
        <v>0</v>
      </c>
      <c r="F401">
        <v>0</v>
      </c>
      <c r="G401">
        <v>1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0.13300000000000001</v>
      </c>
      <c r="O401">
        <v>37</v>
      </c>
      <c r="P401">
        <v>36</v>
      </c>
      <c r="Q401">
        <v>25</v>
      </c>
      <c r="R401">
        <v>17</v>
      </c>
      <c r="S401">
        <v>3.5795403580946998</v>
      </c>
      <c r="T401">
        <v>3.2709531642576102</v>
      </c>
      <c r="U401">
        <v>2.8584819889750199</v>
      </c>
      <c r="V401">
        <v>2.5540484960878702</v>
      </c>
      <c r="W401">
        <v>184.44389881264701</v>
      </c>
      <c r="X401">
        <v>183.43147363601599</v>
      </c>
      <c r="Y401">
        <v>182.07822174860601</v>
      </c>
      <c r="Z401">
        <v>181.079424199763</v>
      </c>
      <c r="AA401">
        <v>0</v>
      </c>
      <c r="AB401">
        <v>0</v>
      </c>
      <c r="AC401">
        <v>0</v>
      </c>
      <c r="AD401">
        <v>1</v>
      </c>
      <c r="AE401">
        <v>66</v>
      </c>
      <c r="AF401">
        <v>3</v>
      </c>
    </row>
    <row r="402" spans="1:36" x14ac:dyDescent="0.3">
      <c r="A402" t="s">
        <v>58</v>
      </c>
      <c r="B402">
        <v>352</v>
      </c>
      <c r="C402">
        <v>0.14209004543577</v>
      </c>
      <c r="D402">
        <v>6.0994079581440201E-2</v>
      </c>
      <c r="E402">
        <v>0</v>
      </c>
      <c r="F402">
        <v>0</v>
      </c>
      <c r="G402">
        <v>1</v>
      </c>
      <c r="H402">
        <v>0</v>
      </c>
      <c r="I402">
        <v>0</v>
      </c>
      <c r="J402">
        <v>1</v>
      </c>
      <c r="K402">
        <v>0</v>
      </c>
      <c r="L402">
        <v>0</v>
      </c>
      <c r="M402">
        <v>1.5645</v>
      </c>
      <c r="N402">
        <v>0</v>
      </c>
      <c r="O402">
        <v>37</v>
      </c>
      <c r="P402">
        <v>30</v>
      </c>
      <c r="Q402">
        <v>21</v>
      </c>
      <c r="R402">
        <v>17</v>
      </c>
      <c r="S402">
        <v>2.8960080039462901</v>
      </c>
      <c r="T402">
        <v>2.7625156939890601</v>
      </c>
      <c r="U402">
        <v>2.48240187557494</v>
      </c>
      <c r="V402">
        <v>2.6574299244520501</v>
      </c>
      <c r="W402">
        <v>182.20133859562401</v>
      </c>
      <c r="X402">
        <v>181.76337169943901</v>
      </c>
      <c r="Y402">
        <v>180.844363108842</v>
      </c>
      <c r="Z402">
        <v>181.418602114344</v>
      </c>
      <c r="AA402">
        <v>0</v>
      </c>
      <c r="AB402">
        <v>0</v>
      </c>
      <c r="AC402">
        <v>0</v>
      </c>
      <c r="AD402">
        <v>1</v>
      </c>
      <c r="AE402">
        <v>82</v>
      </c>
      <c r="AF402">
        <v>3</v>
      </c>
    </row>
    <row r="403" spans="1:36" x14ac:dyDescent="0.3">
      <c r="A403" t="s">
        <v>62</v>
      </c>
      <c r="B403">
        <v>356</v>
      </c>
      <c r="C403">
        <v>4.0066088393225903E-2</v>
      </c>
      <c r="D403">
        <v>9.7067327550598895E-2</v>
      </c>
      <c r="E403">
        <v>0</v>
      </c>
      <c r="F403">
        <v>0</v>
      </c>
      <c r="G403">
        <v>1</v>
      </c>
      <c r="H403">
        <v>0</v>
      </c>
      <c r="I403">
        <v>0</v>
      </c>
      <c r="J403">
        <v>1</v>
      </c>
      <c r="K403">
        <v>0</v>
      </c>
      <c r="L403">
        <v>0</v>
      </c>
      <c r="M403">
        <v>7.0000000000000007E-2</v>
      </c>
      <c r="N403">
        <v>0</v>
      </c>
      <c r="O403">
        <v>30</v>
      </c>
      <c r="P403">
        <v>38</v>
      </c>
      <c r="Q403">
        <v>29</v>
      </c>
      <c r="R403">
        <v>24</v>
      </c>
      <c r="S403">
        <v>3.13985784568598</v>
      </c>
      <c r="T403">
        <v>3.4800308881612199</v>
      </c>
      <c r="U403">
        <v>2.9860484256084301</v>
      </c>
      <c r="V403">
        <v>2.4881310713168898</v>
      </c>
      <c r="W403">
        <v>183.00137088479701</v>
      </c>
      <c r="X403">
        <v>184.117424173757</v>
      </c>
      <c r="Y403">
        <v>182.49674680317699</v>
      </c>
      <c r="Z403">
        <v>180.863159682798</v>
      </c>
      <c r="AA403">
        <v>0</v>
      </c>
      <c r="AB403">
        <v>0</v>
      </c>
      <c r="AC403">
        <v>0</v>
      </c>
      <c r="AD403">
        <v>1</v>
      </c>
      <c r="AE403">
        <v>2</v>
      </c>
      <c r="AF403">
        <v>3</v>
      </c>
    </row>
    <row r="404" spans="1:36" x14ac:dyDescent="0.3">
      <c r="A404" t="s">
        <v>66</v>
      </c>
      <c r="B404">
        <v>360</v>
      </c>
      <c r="C404">
        <v>0.27110009637890697</v>
      </c>
      <c r="D404">
        <v>0.14209004543577</v>
      </c>
      <c r="E404">
        <v>0</v>
      </c>
      <c r="F404">
        <v>0</v>
      </c>
      <c r="G404">
        <v>1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8.0500000000000002E-2</v>
      </c>
      <c r="N404">
        <v>0</v>
      </c>
      <c r="O404">
        <v>33</v>
      </c>
      <c r="P404">
        <v>34</v>
      </c>
      <c r="Q404">
        <v>20</v>
      </c>
      <c r="R404">
        <v>15</v>
      </c>
      <c r="S404">
        <v>2.86183639898193</v>
      </c>
      <c r="T404">
        <v>2.9116029069496601</v>
      </c>
      <c r="U404">
        <v>2.5199894389395001</v>
      </c>
      <c r="V404">
        <v>2.34821595120478</v>
      </c>
      <c r="W404">
        <v>182.08922703078099</v>
      </c>
      <c r="X404">
        <v>182.25250297555701</v>
      </c>
      <c r="Y404">
        <v>180.967681886284</v>
      </c>
      <c r="Z404">
        <v>180.40412057481899</v>
      </c>
      <c r="AA404">
        <v>0</v>
      </c>
      <c r="AB404">
        <v>0</v>
      </c>
      <c r="AC404">
        <v>0</v>
      </c>
      <c r="AD404">
        <v>1</v>
      </c>
      <c r="AE404">
        <v>53</v>
      </c>
      <c r="AF404">
        <v>3</v>
      </c>
      <c r="AH404" t="s">
        <v>137</v>
      </c>
      <c r="AI404">
        <f>COUNTIF($AF$2:$AF$3956,1)</f>
        <v>220</v>
      </c>
      <c r="AJ404">
        <f>AI404*100/$AI$407</f>
        <v>52.884615384615387</v>
      </c>
    </row>
    <row r="405" spans="1:36" x14ac:dyDescent="0.3">
      <c r="A405" t="s">
        <v>70</v>
      </c>
      <c r="B405">
        <v>364</v>
      </c>
      <c r="C405">
        <v>6.6776813988709896E-2</v>
      </c>
      <c r="D405">
        <v>4.0066088393225903E-2</v>
      </c>
      <c r="E405">
        <v>0</v>
      </c>
      <c r="F405">
        <v>0</v>
      </c>
      <c r="G405">
        <v>1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36</v>
      </c>
      <c r="P405">
        <v>37</v>
      </c>
      <c r="Q405">
        <v>22</v>
      </c>
      <c r="R405">
        <v>24</v>
      </c>
      <c r="S405">
        <v>2.9008732421152601</v>
      </c>
      <c r="T405">
        <v>3.33719051888351</v>
      </c>
      <c r="U405">
        <v>2.6434905583845199</v>
      </c>
      <c r="V405">
        <v>2.5009391887233599</v>
      </c>
      <c r="W405">
        <v>182.21730066310801</v>
      </c>
      <c r="X405">
        <v>183.64878779161299</v>
      </c>
      <c r="Y405">
        <v>181.372869286038</v>
      </c>
      <c r="Z405">
        <v>180.90518106536501</v>
      </c>
      <c r="AA405">
        <v>0</v>
      </c>
      <c r="AB405">
        <v>0</v>
      </c>
      <c r="AC405">
        <v>0</v>
      </c>
      <c r="AD405">
        <v>1</v>
      </c>
      <c r="AE405">
        <v>44</v>
      </c>
      <c r="AF405">
        <v>3</v>
      </c>
      <c r="AH405" t="s">
        <v>138</v>
      </c>
      <c r="AI405">
        <f>COUNTIF($AF$2:$AF$3956,2)</f>
        <v>99</v>
      </c>
      <c r="AJ405">
        <f>AI405*100/$AI$407</f>
        <v>23.798076923076923</v>
      </c>
    </row>
    <row r="406" spans="1:36" x14ac:dyDescent="0.3">
      <c r="A406" t="s">
        <v>74</v>
      </c>
      <c r="B406">
        <v>368</v>
      </c>
      <c r="C406">
        <v>0.32190554867134802</v>
      </c>
      <c r="D406">
        <v>0.27110009637890697</v>
      </c>
      <c r="E406">
        <v>0</v>
      </c>
      <c r="F406">
        <v>0</v>
      </c>
      <c r="G406">
        <v>0</v>
      </c>
      <c r="H406">
        <v>0</v>
      </c>
      <c r="I406">
        <v>1</v>
      </c>
      <c r="J406">
        <v>1</v>
      </c>
      <c r="K406">
        <v>0</v>
      </c>
      <c r="L406">
        <v>0</v>
      </c>
      <c r="M406">
        <v>1.0500000000000001E-2</v>
      </c>
      <c r="N406">
        <v>0</v>
      </c>
      <c r="O406">
        <v>33</v>
      </c>
      <c r="P406">
        <v>36</v>
      </c>
      <c r="Q406">
        <v>20</v>
      </c>
      <c r="R406">
        <v>17</v>
      </c>
      <c r="S406">
        <v>2.9548104257557202</v>
      </c>
      <c r="T406">
        <v>3.15159135159342</v>
      </c>
      <c r="U406">
        <v>2.0890290475775899</v>
      </c>
      <c r="V406">
        <v>2.54550346672367</v>
      </c>
      <c r="W406">
        <v>182.39425992701999</v>
      </c>
      <c r="X406">
        <v>183.039866639086</v>
      </c>
      <c r="Y406">
        <v>179.553769841134</v>
      </c>
      <c r="Z406">
        <v>181.05138932652099</v>
      </c>
      <c r="AA406">
        <v>0</v>
      </c>
      <c r="AB406">
        <v>0</v>
      </c>
      <c r="AC406">
        <v>0</v>
      </c>
      <c r="AD406">
        <v>1</v>
      </c>
      <c r="AE406">
        <v>72</v>
      </c>
      <c r="AF406">
        <v>3</v>
      </c>
      <c r="AH406" t="s">
        <v>139</v>
      </c>
      <c r="AI406">
        <f>COUNTIF($AF$2:$AF$3956,3)</f>
        <v>97</v>
      </c>
      <c r="AJ406">
        <f>AI406*100/$AI$407</f>
        <v>23.317307692307693</v>
      </c>
    </row>
    <row r="407" spans="1:36" x14ac:dyDescent="0.3">
      <c r="A407" t="s">
        <v>78</v>
      </c>
      <c r="B407">
        <v>372</v>
      </c>
      <c r="C407">
        <v>6.0994079581440201E-2</v>
      </c>
      <c r="D407">
        <v>6.6776813988709896E-2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9.8000000000000004E-2</v>
      </c>
      <c r="O407">
        <v>32</v>
      </c>
      <c r="P407">
        <v>42</v>
      </c>
      <c r="Q407">
        <v>23</v>
      </c>
      <c r="R407">
        <v>22</v>
      </c>
      <c r="S407">
        <v>2.6643693170572398</v>
      </c>
      <c r="T407">
        <v>3.1292313971055998</v>
      </c>
      <c r="U407">
        <v>1.8217822633946701</v>
      </c>
      <c r="V407">
        <v>2.35252463415681</v>
      </c>
      <c r="W407">
        <v>181.44136915044999</v>
      </c>
      <c r="X407">
        <v>182.966507208352</v>
      </c>
      <c r="Y407">
        <v>178.67697592977299</v>
      </c>
      <c r="Z407">
        <v>180.418256673743</v>
      </c>
      <c r="AA407">
        <v>0</v>
      </c>
      <c r="AB407">
        <v>0</v>
      </c>
      <c r="AC407">
        <v>0</v>
      </c>
      <c r="AD407">
        <v>1</v>
      </c>
      <c r="AE407">
        <v>12</v>
      </c>
      <c r="AF407">
        <v>3</v>
      </c>
      <c r="AH407" t="s">
        <v>140</v>
      </c>
      <c r="AI407">
        <f>COUNT($AF$2:$AF$3956)</f>
        <v>416</v>
      </c>
      <c r="AJ407">
        <f>AI407*100/$AI$407</f>
        <v>100</v>
      </c>
    </row>
    <row r="408" spans="1:36" x14ac:dyDescent="0.3">
      <c r="A408" t="s">
        <v>82</v>
      </c>
      <c r="B408">
        <v>376</v>
      </c>
      <c r="C408">
        <v>9.7067327550598895E-2</v>
      </c>
      <c r="D408">
        <v>0.32190554867134802</v>
      </c>
      <c r="E408">
        <v>0</v>
      </c>
      <c r="F408">
        <v>0</v>
      </c>
      <c r="G408">
        <v>1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1.0500000000000001E-2</v>
      </c>
      <c r="O408">
        <v>36</v>
      </c>
      <c r="P408">
        <v>35</v>
      </c>
      <c r="Q408">
        <v>25</v>
      </c>
      <c r="R408">
        <v>16</v>
      </c>
      <c r="S408">
        <v>3.07297139599171</v>
      </c>
      <c r="T408">
        <v>2.9225071261839601</v>
      </c>
      <c r="U408">
        <v>2.4531760727929099</v>
      </c>
      <c r="V408">
        <v>2.4730295551910002</v>
      </c>
      <c r="W408">
        <v>182.78192715220399</v>
      </c>
      <c r="X408">
        <v>182.28827797304399</v>
      </c>
      <c r="Y408">
        <v>180.748477929111</v>
      </c>
      <c r="Z408">
        <v>180.81361402621701</v>
      </c>
      <c r="AA408">
        <v>0</v>
      </c>
      <c r="AB408">
        <v>0</v>
      </c>
      <c r="AC408">
        <v>0</v>
      </c>
      <c r="AD408">
        <v>1</v>
      </c>
      <c r="AE408">
        <v>57</v>
      </c>
      <c r="AF408">
        <v>3</v>
      </c>
    </row>
    <row r="409" spans="1:36" x14ac:dyDescent="0.3">
      <c r="A409" t="s">
        <v>85</v>
      </c>
      <c r="B409">
        <v>380</v>
      </c>
      <c r="C409">
        <v>0.14209004543577</v>
      </c>
      <c r="D409">
        <v>6.0994079581440201E-2</v>
      </c>
      <c r="E409">
        <v>0</v>
      </c>
      <c r="F409">
        <v>0</v>
      </c>
      <c r="G409">
        <v>1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38</v>
      </c>
      <c r="P409">
        <v>35</v>
      </c>
      <c r="Q409">
        <v>20</v>
      </c>
      <c r="R409">
        <v>18</v>
      </c>
      <c r="S409">
        <v>3.3746451013868102</v>
      </c>
      <c r="T409">
        <v>3.18460900659742</v>
      </c>
      <c r="U409">
        <v>2.5978393725443398</v>
      </c>
      <c r="V409">
        <v>2.2661937722477901</v>
      </c>
      <c r="W409">
        <v>183.77167028014</v>
      </c>
      <c r="X409">
        <v>183.14819227886301</v>
      </c>
      <c r="Y409">
        <v>181.22309505427901</v>
      </c>
      <c r="Z409">
        <v>180.135018937821</v>
      </c>
      <c r="AA409">
        <v>0</v>
      </c>
      <c r="AB409">
        <v>0</v>
      </c>
      <c r="AC409">
        <v>0</v>
      </c>
      <c r="AD409">
        <v>1</v>
      </c>
      <c r="AE409">
        <v>71</v>
      </c>
      <c r="AF409">
        <v>3</v>
      </c>
    </row>
    <row r="410" spans="1:36" x14ac:dyDescent="0.3">
      <c r="A410" t="s">
        <v>90</v>
      </c>
      <c r="B410">
        <v>384</v>
      </c>
      <c r="C410">
        <v>6.0994079581440201E-2</v>
      </c>
      <c r="D410">
        <v>6.6776813988709896E-2</v>
      </c>
      <c r="E410">
        <v>0</v>
      </c>
      <c r="F410">
        <v>0</v>
      </c>
      <c r="G410">
        <v>0</v>
      </c>
      <c r="H410">
        <v>1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0.92</v>
      </c>
      <c r="O410">
        <v>36</v>
      </c>
      <c r="P410">
        <v>36</v>
      </c>
      <c r="Q410">
        <v>19</v>
      </c>
      <c r="R410">
        <v>21</v>
      </c>
      <c r="S410">
        <v>3.0770049069274301</v>
      </c>
      <c r="T410">
        <v>3.4134513736994498</v>
      </c>
      <c r="U410">
        <v>2.26033441980403</v>
      </c>
      <c r="V410">
        <v>2.7274054233023302</v>
      </c>
      <c r="W410">
        <v>182.79516045579899</v>
      </c>
      <c r="X410">
        <v>183.89898744652101</v>
      </c>
      <c r="Y410">
        <v>180.11579534056401</v>
      </c>
      <c r="Z410">
        <v>181.64818052264499</v>
      </c>
      <c r="AA410">
        <v>0</v>
      </c>
      <c r="AB410">
        <v>0</v>
      </c>
      <c r="AC410">
        <v>0</v>
      </c>
      <c r="AD410">
        <v>1</v>
      </c>
      <c r="AE410">
        <v>51</v>
      </c>
      <c r="AF410">
        <v>3</v>
      </c>
    </row>
    <row r="411" spans="1:36" x14ac:dyDescent="0.3">
      <c r="A411" t="s">
        <v>94</v>
      </c>
      <c r="B411">
        <v>388</v>
      </c>
      <c r="C411">
        <v>9.7067327550598895E-2</v>
      </c>
      <c r="D411">
        <v>0.32190554867134802</v>
      </c>
      <c r="E411">
        <v>0</v>
      </c>
      <c r="F411">
        <v>0</v>
      </c>
      <c r="G411">
        <v>1</v>
      </c>
      <c r="H411">
        <v>0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0.48</v>
      </c>
      <c r="O411">
        <v>43</v>
      </c>
      <c r="P411">
        <v>42</v>
      </c>
      <c r="Q411">
        <v>21</v>
      </c>
      <c r="R411">
        <v>21</v>
      </c>
      <c r="S411">
        <v>3.107502596117</v>
      </c>
      <c r="T411">
        <v>3.1243299815364698</v>
      </c>
      <c r="U411">
        <v>2.0988623128691399</v>
      </c>
      <c r="V411">
        <v>2.1959621091833101</v>
      </c>
      <c r="W411">
        <v>182.895218491197</v>
      </c>
      <c r="X411">
        <v>182.95042644860999</v>
      </c>
      <c r="Y411">
        <v>179.58603121020101</v>
      </c>
      <c r="Z411">
        <v>179.90460009574599</v>
      </c>
      <c r="AA411">
        <v>0</v>
      </c>
      <c r="AB411">
        <v>0</v>
      </c>
      <c r="AC411">
        <v>0</v>
      </c>
      <c r="AD411">
        <v>1</v>
      </c>
      <c r="AE411">
        <v>58</v>
      </c>
      <c r="AF411">
        <v>3</v>
      </c>
    </row>
    <row r="412" spans="1:36" x14ac:dyDescent="0.3">
      <c r="A412" t="s">
        <v>98</v>
      </c>
      <c r="B412">
        <v>392</v>
      </c>
      <c r="C412">
        <v>0.14209004543577</v>
      </c>
      <c r="D412">
        <v>6.0994079581440201E-2</v>
      </c>
      <c r="E412">
        <v>0</v>
      </c>
      <c r="F412">
        <v>0</v>
      </c>
      <c r="G412">
        <v>0</v>
      </c>
      <c r="H412">
        <v>1</v>
      </c>
      <c r="I412">
        <v>0</v>
      </c>
      <c r="J412">
        <v>1</v>
      </c>
      <c r="K412">
        <v>0</v>
      </c>
      <c r="L412">
        <v>0</v>
      </c>
      <c r="M412">
        <v>0.06</v>
      </c>
      <c r="N412">
        <v>0</v>
      </c>
      <c r="O412">
        <v>37</v>
      </c>
      <c r="P412">
        <v>37</v>
      </c>
      <c r="Q412">
        <v>22</v>
      </c>
      <c r="R412">
        <v>24</v>
      </c>
      <c r="S412">
        <v>3.0746669200310301</v>
      </c>
      <c r="T412">
        <v>3.3589616578697501</v>
      </c>
      <c r="U412">
        <v>2.76231893385257</v>
      </c>
      <c r="V412">
        <v>2.3231345282795202</v>
      </c>
      <c r="W412">
        <v>182.78748989511499</v>
      </c>
      <c r="X412">
        <v>183.720215412958</v>
      </c>
      <c r="Y412">
        <v>181.76272616093399</v>
      </c>
      <c r="Z412">
        <v>180.321832441862</v>
      </c>
      <c r="AA412">
        <v>0</v>
      </c>
      <c r="AB412">
        <v>0</v>
      </c>
      <c r="AC412">
        <v>0</v>
      </c>
      <c r="AD412">
        <v>1</v>
      </c>
      <c r="AE412">
        <v>14</v>
      </c>
      <c r="AF412">
        <v>3</v>
      </c>
    </row>
    <row r="413" spans="1:36" x14ac:dyDescent="0.3">
      <c r="A413" t="s">
        <v>106</v>
      </c>
      <c r="B413">
        <v>400</v>
      </c>
      <c r="C413">
        <v>0.27110009637890697</v>
      </c>
      <c r="D413">
        <v>0.14209004543577</v>
      </c>
      <c r="E413">
        <v>0</v>
      </c>
      <c r="F413">
        <v>0</v>
      </c>
      <c r="G413">
        <v>1</v>
      </c>
      <c r="H413">
        <v>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35</v>
      </c>
      <c r="P413">
        <v>37</v>
      </c>
      <c r="Q413">
        <v>17</v>
      </c>
      <c r="R413">
        <v>17</v>
      </c>
      <c r="S413">
        <v>2.9285489300107499</v>
      </c>
      <c r="T413">
        <v>2.7899076627286301</v>
      </c>
      <c r="U413">
        <v>2.66103720796331</v>
      </c>
      <c r="V413">
        <v>2.5444777960045899</v>
      </c>
      <c r="W413">
        <v>182.30810016407699</v>
      </c>
      <c r="X413">
        <v>181.85324036328299</v>
      </c>
      <c r="Y413">
        <v>181.43043703399999</v>
      </c>
      <c r="Z413">
        <v>181.04802426510699</v>
      </c>
      <c r="AA413">
        <v>0</v>
      </c>
      <c r="AB413">
        <v>0</v>
      </c>
      <c r="AC413">
        <v>0</v>
      </c>
      <c r="AD413">
        <v>1</v>
      </c>
      <c r="AE413">
        <v>143</v>
      </c>
      <c r="AF413">
        <v>3</v>
      </c>
    </row>
    <row r="414" spans="1:36" x14ac:dyDescent="0.3">
      <c r="A414" t="s">
        <v>110</v>
      </c>
      <c r="B414">
        <v>404</v>
      </c>
      <c r="C414">
        <v>6.6776813988709896E-2</v>
      </c>
      <c r="D414">
        <v>4.0066088393225903E-2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1</v>
      </c>
      <c r="K414">
        <v>0</v>
      </c>
      <c r="L414">
        <v>0</v>
      </c>
      <c r="M414">
        <v>0</v>
      </c>
      <c r="N414">
        <v>0</v>
      </c>
      <c r="O414">
        <v>41</v>
      </c>
      <c r="P414">
        <v>41</v>
      </c>
      <c r="Q414">
        <v>22</v>
      </c>
      <c r="R414">
        <v>19</v>
      </c>
      <c r="S414">
        <v>2.8894556535309301</v>
      </c>
      <c r="T414">
        <v>3.01213519800582</v>
      </c>
      <c r="U414">
        <v>2.6223230768571799</v>
      </c>
      <c r="V414">
        <v>2.2077857991169201</v>
      </c>
      <c r="W414">
        <v>182.17984138297501</v>
      </c>
      <c r="X414">
        <v>182.582333326791</v>
      </c>
      <c r="Y414">
        <v>181.303422168167</v>
      </c>
      <c r="Z414">
        <v>179.94339172938601</v>
      </c>
      <c r="AA414">
        <v>0</v>
      </c>
      <c r="AB414">
        <v>0</v>
      </c>
      <c r="AC414">
        <v>0</v>
      </c>
      <c r="AD414">
        <v>1</v>
      </c>
      <c r="AE414">
        <v>43</v>
      </c>
      <c r="AF414">
        <v>3</v>
      </c>
    </row>
    <row r="415" spans="1:36" x14ac:dyDescent="0.3">
      <c r="A415" t="s">
        <v>114</v>
      </c>
      <c r="B415">
        <v>408</v>
      </c>
      <c r="C415">
        <v>0.32190554867134802</v>
      </c>
      <c r="D415">
        <v>0.27110009637890697</v>
      </c>
      <c r="E415">
        <v>0</v>
      </c>
      <c r="F415">
        <v>0</v>
      </c>
      <c r="G415">
        <v>1</v>
      </c>
      <c r="H415">
        <v>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42</v>
      </c>
      <c r="P415">
        <v>40</v>
      </c>
      <c r="Q415">
        <v>18</v>
      </c>
      <c r="R415">
        <v>16</v>
      </c>
      <c r="S415">
        <v>2.88931643913322</v>
      </c>
      <c r="T415">
        <v>2.7995778075892899</v>
      </c>
      <c r="U415">
        <v>2.0859291551005099</v>
      </c>
      <c r="V415">
        <v>2.2161309791474801</v>
      </c>
      <c r="W415">
        <v>182.17938464282599</v>
      </c>
      <c r="X415">
        <v>181.884966560332</v>
      </c>
      <c r="Y415">
        <v>179.543599590225</v>
      </c>
      <c r="Z415">
        <v>179.970770928962</v>
      </c>
      <c r="AA415">
        <v>0</v>
      </c>
      <c r="AB415">
        <v>0</v>
      </c>
      <c r="AC415">
        <v>0</v>
      </c>
      <c r="AD415">
        <v>1</v>
      </c>
      <c r="AE415">
        <v>203</v>
      </c>
      <c r="AF415">
        <v>3</v>
      </c>
    </row>
    <row r="416" spans="1:36" x14ac:dyDescent="0.3">
      <c r="A416" t="s">
        <v>118</v>
      </c>
      <c r="B416">
        <v>412</v>
      </c>
      <c r="C416">
        <v>6.0994079581440201E-2</v>
      </c>
      <c r="D416">
        <v>6.6776813988709896E-2</v>
      </c>
      <c r="E416">
        <v>0</v>
      </c>
      <c r="F416">
        <v>0</v>
      </c>
      <c r="G416">
        <v>1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0.78</v>
      </c>
      <c r="N416">
        <v>0</v>
      </c>
      <c r="O416">
        <v>27</v>
      </c>
      <c r="P416">
        <v>39</v>
      </c>
      <c r="Q416">
        <v>24</v>
      </c>
      <c r="R416">
        <v>22</v>
      </c>
      <c r="S416">
        <v>2.9675731681712301</v>
      </c>
      <c r="T416">
        <v>3.3074010264487201</v>
      </c>
      <c r="U416">
        <v>2.80688720553725</v>
      </c>
      <c r="V416">
        <v>2.4574281061104002</v>
      </c>
      <c r="W416">
        <v>182.436132441507</v>
      </c>
      <c r="X416">
        <v>183.55105323638</v>
      </c>
      <c r="Y416">
        <v>181.908947524729</v>
      </c>
      <c r="Z416">
        <v>180.76242816965399</v>
      </c>
      <c r="AA416">
        <v>0</v>
      </c>
      <c r="AB416">
        <v>0</v>
      </c>
      <c r="AC416">
        <v>0</v>
      </c>
      <c r="AD416">
        <v>1</v>
      </c>
      <c r="AE416">
        <v>5</v>
      </c>
      <c r="AF416">
        <v>3</v>
      </c>
    </row>
    <row r="417" spans="1:32" x14ac:dyDescent="0.3">
      <c r="A417" t="s">
        <v>122</v>
      </c>
      <c r="B417">
        <v>416</v>
      </c>
      <c r="C417">
        <v>9.7067327550598895E-2</v>
      </c>
      <c r="D417">
        <v>0.32190554867134802</v>
      </c>
      <c r="E417">
        <v>0</v>
      </c>
      <c r="F417">
        <v>0</v>
      </c>
      <c r="G417">
        <v>0</v>
      </c>
      <c r="H417">
        <v>0</v>
      </c>
      <c r="I417">
        <v>1</v>
      </c>
      <c r="J417">
        <v>0</v>
      </c>
      <c r="K417">
        <v>1</v>
      </c>
      <c r="L417">
        <v>0</v>
      </c>
      <c r="M417">
        <v>0.72</v>
      </c>
      <c r="N417">
        <v>0.16</v>
      </c>
      <c r="O417">
        <v>24</v>
      </c>
      <c r="P417">
        <v>24</v>
      </c>
      <c r="Q417">
        <v>19</v>
      </c>
      <c r="R417">
        <v>19</v>
      </c>
      <c r="S417">
        <v>2.8910133662297901</v>
      </c>
      <c r="T417">
        <v>2.8980036154421902</v>
      </c>
      <c r="U417">
        <v>2.8465471454898799</v>
      </c>
      <c r="V417">
        <v>2.7177850454084802</v>
      </c>
      <c r="W417">
        <v>182.184951988943</v>
      </c>
      <c r="X417">
        <v>182.20788587743499</v>
      </c>
      <c r="Y417">
        <v>182.03906543795901</v>
      </c>
      <c r="Z417">
        <v>181.616617603046</v>
      </c>
      <c r="AA417">
        <v>0</v>
      </c>
      <c r="AB417">
        <v>0</v>
      </c>
      <c r="AC417">
        <v>0</v>
      </c>
      <c r="AD417">
        <v>1</v>
      </c>
      <c r="AE417">
        <v>3</v>
      </c>
      <c r="AF417">
        <v>3</v>
      </c>
    </row>
    <row r="419" spans="1:32" ht="15" thickBot="1" x14ac:dyDescent="0.35"/>
    <row r="420" spans="1:32" x14ac:dyDescent="0.3">
      <c r="E420" s="5" t="s">
        <v>132</v>
      </c>
      <c r="F420" s="32"/>
      <c r="G420" s="6" t="s">
        <v>133</v>
      </c>
    </row>
    <row r="421" spans="1:32" x14ac:dyDescent="0.3">
      <c r="E421" s="7" t="s">
        <v>130</v>
      </c>
      <c r="F421" s="33"/>
      <c r="G421" s="8" t="s">
        <v>131</v>
      </c>
    </row>
    <row r="422" spans="1:32" ht="15" thickBot="1" x14ac:dyDescent="0.35">
      <c r="E422" s="9">
        <v>0.2</v>
      </c>
      <c r="F422" s="34"/>
      <c r="G422" s="10">
        <f>1-E422</f>
        <v>0.8</v>
      </c>
    </row>
    <row r="424" spans="1:32" x14ac:dyDescent="0.3">
      <c r="C424">
        <f>MAX(C2:C417)</f>
        <v>0.36603773584905702</v>
      </c>
      <c r="D424">
        <f t="shared" ref="D424:AE424" si="0">MAX(D2:D417)</f>
        <v>0.36603773584905702</v>
      </c>
      <c r="E424">
        <f t="shared" si="0"/>
        <v>1</v>
      </c>
      <c r="F424">
        <f t="shared" si="0"/>
        <v>1</v>
      </c>
      <c r="G424">
        <f t="shared" si="0"/>
        <v>1</v>
      </c>
      <c r="H424">
        <f t="shared" si="0"/>
        <v>1</v>
      </c>
      <c r="I424">
        <f t="shared" si="0"/>
        <v>1</v>
      </c>
      <c r="J424">
        <f t="shared" si="0"/>
        <v>1</v>
      </c>
      <c r="K424">
        <f t="shared" si="0"/>
        <v>1</v>
      </c>
      <c r="L424">
        <f t="shared" si="0"/>
        <v>1</v>
      </c>
      <c r="M424">
        <f t="shared" si="0"/>
        <v>1.59</v>
      </c>
      <c r="N424">
        <f t="shared" si="0"/>
        <v>1.59</v>
      </c>
      <c r="O424">
        <f t="shared" si="0"/>
        <v>44</v>
      </c>
      <c r="P424">
        <f t="shared" si="0"/>
        <v>44</v>
      </c>
      <c r="Q424">
        <f t="shared" si="0"/>
        <v>34</v>
      </c>
      <c r="R424">
        <f t="shared" si="0"/>
        <v>34</v>
      </c>
      <c r="S424">
        <f t="shared" si="0"/>
        <v>3.5869428496788398</v>
      </c>
      <c r="T424">
        <f t="shared" si="0"/>
        <v>3.5869428496788398</v>
      </c>
      <c r="U424">
        <f t="shared" si="0"/>
        <v>3.4546419173882001</v>
      </c>
      <c r="V424">
        <f t="shared" si="0"/>
        <v>3.4546419173882001</v>
      </c>
      <c r="W424">
        <f t="shared" si="0"/>
        <v>185.64408056295099</v>
      </c>
      <c r="X424">
        <f t="shared" si="0"/>
        <v>185.671628245938</v>
      </c>
      <c r="Y424">
        <f t="shared" si="0"/>
        <v>184.97152567427401</v>
      </c>
      <c r="Z424">
        <f t="shared" si="0"/>
        <v>185.52454094845399</v>
      </c>
      <c r="AA424">
        <f t="shared" si="0"/>
        <v>1</v>
      </c>
      <c r="AB424">
        <f t="shared" si="0"/>
        <v>1</v>
      </c>
      <c r="AC424">
        <f t="shared" si="0"/>
        <v>1</v>
      </c>
      <c r="AD424">
        <f t="shared" si="0"/>
        <v>1</v>
      </c>
      <c r="AE424">
        <f t="shared" si="0"/>
        <v>239</v>
      </c>
    </row>
    <row r="425" spans="1:32" x14ac:dyDescent="0.3">
      <c r="C425">
        <f>MIN(C2:C417)</f>
        <v>3.3426183844011102E-2</v>
      </c>
      <c r="D425">
        <f t="shared" ref="D425:AE425" si="1">MIN(D2:D417)</f>
        <v>3.3426183844011102E-2</v>
      </c>
      <c r="E425">
        <f t="shared" si="1"/>
        <v>0</v>
      </c>
      <c r="F425">
        <f t="shared" si="1"/>
        <v>0</v>
      </c>
      <c r="G425">
        <f t="shared" si="1"/>
        <v>0</v>
      </c>
      <c r="H425">
        <f t="shared" si="1"/>
        <v>0</v>
      </c>
      <c r="I425">
        <f t="shared" si="1"/>
        <v>0</v>
      </c>
      <c r="J425">
        <f t="shared" si="1"/>
        <v>0</v>
      </c>
      <c r="K425">
        <f t="shared" si="1"/>
        <v>0</v>
      </c>
      <c r="L425">
        <f t="shared" si="1"/>
        <v>0</v>
      </c>
      <c r="M425">
        <f t="shared" si="1"/>
        <v>0</v>
      </c>
      <c r="N425">
        <f t="shared" si="1"/>
        <v>0</v>
      </c>
      <c r="O425">
        <f t="shared" si="1"/>
        <v>13</v>
      </c>
      <c r="P425">
        <f t="shared" si="1"/>
        <v>13</v>
      </c>
      <c r="Q425">
        <f t="shared" si="1"/>
        <v>5</v>
      </c>
      <c r="R425">
        <f t="shared" si="1"/>
        <v>5</v>
      </c>
      <c r="S425">
        <f t="shared" si="1"/>
        <v>0.39163094191130099</v>
      </c>
      <c r="T425">
        <f t="shared" si="1"/>
        <v>0.39163094191130099</v>
      </c>
      <c r="U425">
        <f t="shared" si="1"/>
        <v>5.16141025679255E-2</v>
      </c>
      <c r="V425">
        <f t="shared" si="1"/>
        <v>5.16141025679255E-2</v>
      </c>
      <c r="W425">
        <f t="shared" si="1"/>
        <v>178.591920426808</v>
      </c>
      <c r="X425">
        <f t="shared" si="1"/>
        <v>178.591920426808</v>
      </c>
      <c r="Y425">
        <f t="shared" si="1"/>
        <v>177.959734268067</v>
      </c>
      <c r="Z425">
        <f t="shared" si="1"/>
        <v>177.959734268067</v>
      </c>
      <c r="AA425">
        <f t="shared" si="1"/>
        <v>0</v>
      </c>
      <c r="AB425">
        <f t="shared" si="1"/>
        <v>0</v>
      </c>
      <c r="AC425">
        <f t="shared" si="1"/>
        <v>0</v>
      </c>
      <c r="AD425">
        <f t="shared" si="1"/>
        <v>0</v>
      </c>
      <c r="AE425">
        <f t="shared" si="1"/>
        <v>1</v>
      </c>
    </row>
    <row r="427" spans="1:32" x14ac:dyDescent="0.3">
      <c r="B427" s="12"/>
      <c r="C427" s="12">
        <f>(C424-C428)/$G$422+C428</f>
        <v>0.45754716981132126</v>
      </c>
      <c r="D427" s="12">
        <f t="shared" ref="D427:AE427" si="2">(D424-D428)/$G$422+D428</f>
        <v>0.45754716981132126</v>
      </c>
      <c r="E427" s="12">
        <v>1</v>
      </c>
      <c r="F427" s="12">
        <v>1</v>
      </c>
      <c r="G427" s="12">
        <v>1</v>
      </c>
      <c r="H427" s="12">
        <v>1</v>
      </c>
      <c r="I427" s="12">
        <v>1</v>
      </c>
      <c r="J427" s="12">
        <v>1</v>
      </c>
      <c r="K427" s="12">
        <v>1</v>
      </c>
      <c r="L427" s="12">
        <v>1</v>
      </c>
      <c r="M427" s="12">
        <f t="shared" si="2"/>
        <v>1.9875</v>
      </c>
      <c r="N427" s="12">
        <f t="shared" si="2"/>
        <v>1.9875</v>
      </c>
      <c r="O427" s="12">
        <f t="shared" si="2"/>
        <v>54.333333333333329</v>
      </c>
      <c r="P427" s="12">
        <f t="shared" si="2"/>
        <v>54.333333333333329</v>
      </c>
      <c r="Q427" s="12">
        <f t="shared" si="2"/>
        <v>43.666666666666664</v>
      </c>
      <c r="R427" s="12">
        <f t="shared" si="2"/>
        <v>43.666666666666664</v>
      </c>
      <c r="S427" s="12">
        <f t="shared" si="2"/>
        <v>4.4836785620985493</v>
      </c>
      <c r="T427" s="12">
        <f t="shared" si="2"/>
        <v>4.4836785620985493</v>
      </c>
      <c r="U427" s="12">
        <f t="shared" si="2"/>
        <v>4.3183023967352501</v>
      </c>
      <c r="V427" s="12">
        <f t="shared" si="2"/>
        <v>4.3183023967352501</v>
      </c>
      <c r="W427" s="12">
        <f t="shared" si="2"/>
        <v>187.99480060833199</v>
      </c>
      <c r="X427" s="12">
        <f t="shared" si="2"/>
        <v>188.03153085231466</v>
      </c>
      <c r="Y427" s="12">
        <f t="shared" si="2"/>
        <v>187.30878947634301</v>
      </c>
      <c r="Z427" s="12">
        <f t="shared" si="2"/>
        <v>188.04614317524965</v>
      </c>
      <c r="AA427" s="12">
        <v>1</v>
      </c>
      <c r="AB427" s="12">
        <v>1</v>
      </c>
      <c r="AC427" s="12">
        <v>1</v>
      </c>
      <c r="AD427" s="12">
        <v>1</v>
      </c>
      <c r="AE427" s="12">
        <f t="shared" si="2"/>
        <v>298.75</v>
      </c>
    </row>
    <row r="428" spans="1:32" x14ac:dyDescent="0.3">
      <c r="B428" s="12"/>
      <c r="C428" s="12">
        <v>0</v>
      </c>
      <c r="D428" s="12">
        <v>0</v>
      </c>
      <c r="E428" s="12">
        <v>0</v>
      </c>
      <c r="F428" s="12">
        <v>0</v>
      </c>
      <c r="G428" s="12">
        <v>0</v>
      </c>
      <c r="H428" s="12">
        <v>0</v>
      </c>
      <c r="I428" s="12">
        <v>0</v>
      </c>
      <c r="J428" s="12">
        <v>0</v>
      </c>
      <c r="K428" s="12">
        <v>0</v>
      </c>
      <c r="L428" s="12">
        <v>0</v>
      </c>
      <c r="M428" s="12">
        <v>0</v>
      </c>
      <c r="N428" s="12">
        <v>0</v>
      </c>
      <c r="O428" s="12">
        <f t="shared" ref="O428:Y428" si="3">(($G$422*O425-$E$422*O424)/($G$422-$E$422))</f>
        <v>2.6666666666666656</v>
      </c>
      <c r="P428" s="12">
        <f t="shared" si="3"/>
        <v>2.6666666666666656</v>
      </c>
      <c r="Q428" s="12">
        <f t="shared" si="3"/>
        <v>-4.666666666666667</v>
      </c>
      <c r="R428" s="12">
        <f t="shared" si="3"/>
        <v>-4.666666666666667</v>
      </c>
      <c r="S428" s="12">
        <v>0</v>
      </c>
      <c r="T428" s="12">
        <v>0</v>
      </c>
      <c r="U428" s="12">
        <v>0</v>
      </c>
      <c r="V428" s="12">
        <v>0</v>
      </c>
      <c r="W428" s="12">
        <f t="shared" si="3"/>
        <v>176.24120038142698</v>
      </c>
      <c r="X428" s="12">
        <f t="shared" si="3"/>
        <v>176.23201782043131</v>
      </c>
      <c r="Y428" s="12">
        <f t="shared" si="3"/>
        <v>175.62247046599796</v>
      </c>
      <c r="Z428" s="12">
        <f>(($G$422*Z425-$E$422*Z424)/($G$422-$E$422))</f>
        <v>175.4381320412713</v>
      </c>
      <c r="AA428" s="12">
        <v>0</v>
      </c>
      <c r="AB428" s="12">
        <v>0</v>
      </c>
      <c r="AC428" s="12">
        <v>0</v>
      </c>
      <c r="AD428" s="12">
        <v>0</v>
      </c>
      <c r="AE428" s="12">
        <v>0</v>
      </c>
    </row>
    <row r="430" spans="1:32" x14ac:dyDescent="0.3">
      <c r="C430">
        <v>0.45754716981132126</v>
      </c>
      <c r="D430">
        <v>0.45754716981132126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1.9875</v>
      </c>
      <c r="N430">
        <v>1.9875</v>
      </c>
      <c r="O430">
        <v>54.333333333333329</v>
      </c>
      <c r="P430">
        <v>54.333333333333329</v>
      </c>
      <c r="Q430">
        <v>43.666666666666664</v>
      </c>
      <c r="R430">
        <v>43.666666666666664</v>
      </c>
      <c r="S430">
        <v>4.4836785620985493</v>
      </c>
      <c r="T430">
        <v>4.4836785620985493</v>
      </c>
      <c r="U430">
        <v>4.3183023967352501</v>
      </c>
      <c r="V430">
        <v>4.3183023967352501</v>
      </c>
      <c r="W430">
        <v>187.99480060833199</v>
      </c>
      <c r="X430">
        <v>188.03153085231466</v>
      </c>
      <c r="Y430">
        <v>187.30878947634301</v>
      </c>
      <c r="Z430">
        <v>188.04614317524965</v>
      </c>
      <c r="AA430">
        <v>1</v>
      </c>
      <c r="AB430">
        <v>1</v>
      </c>
      <c r="AC430">
        <v>1</v>
      </c>
      <c r="AD430">
        <v>1</v>
      </c>
      <c r="AE430">
        <v>298.75</v>
      </c>
    </row>
    <row r="431" spans="1:32" x14ac:dyDescent="0.3"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2.6666666666666656</v>
      </c>
      <c r="P431">
        <v>2.6666666666666656</v>
      </c>
      <c r="Q431">
        <v>-4.666666666666667</v>
      </c>
      <c r="R431">
        <v>-4.666666666666667</v>
      </c>
      <c r="S431">
        <v>0</v>
      </c>
      <c r="T431">
        <v>0</v>
      </c>
      <c r="U431">
        <v>0</v>
      </c>
      <c r="V431">
        <v>0</v>
      </c>
      <c r="W431">
        <v>176.24120038142698</v>
      </c>
      <c r="X431">
        <v>176.23201782043131</v>
      </c>
      <c r="Y431">
        <v>175.62247046599796</v>
      </c>
      <c r="Z431">
        <v>175.4381320412713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3" spans="18:20" x14ac:dyDescent="0.3">
      <c r="S433" s="57" t="s">
        <v>135</v>
      </c>
      <c r="T433" s="57"/>
    </row>
    <row r="434" spans="18:20" x14ac:dyDescent="0.3">
      <c r="S434" s="12" t="s">
        <v>128</v>
      </c>
      <c r="T434" s="12" t="s">
        <v>129</v>
      </c>
    </row>
    <row r="435" spans="18:20" x14ac:dyDescent="0.3">
      <c r="R435" s="13"/>
      <c r="S435">
        <v>0.45754716981132126</v>
      </c>
      <c r="T435">
        <v>0</v>
      </c>
    </row>
    <row r="436" spans="18:20" x14ac:dyDescent="0.3">
      <c r="R436" s="13"/>
      <c r="S436">
        <v>0.45754716981132126</v>
      </c>
      <c r="T436">
        <v>0</v>
      </c>
    </row>
    <row r="437" spans="18:20" x14ac:dyDescent="0.3">
      <c r="R437" s="13"/>
      <c r="S437">
        <v>1</v>
      </c>
      <c r="T437">
        <v>0</v>
      </c>
    </row>
    <row r="438" spans="18:20" x14ac:dyDescent="0.3">
      <c r="R438" s="13"/>
      <c r="S438">
        <v>1</v>
      </c>
      <c r="T438">
        <v>0</v>
      </c>
    </row>
    <row r="439" spans="18:20" x14ac:dyDescent="0.3">
      <c r="R439" s="13"/>
      <c r="S439">
        <v>1</v>
      </c>
      <c r="T439">
        <v>0</v>
      </c>
    </row>
    <row r="440" spans="18:20" x14ac:dyDescent="0.3">
      <c r="R440" s="13"/>
      <c r="S440">
        <v>1</v>
      </c>
      <c r="T440">
        <v>0</v>
      </c>
    </row>
    <row r="441" spans="18:20" x14ac:dyDescent="0.3">
      <c r="R441" s="13"/>
      <c r="S441">
        <v>1</v>
      </c>
      <c r="T441">
        <v>0</v>
      </c>
    </row>
    <row r="442" spans="18:20" x14ac:dyDescent="0.3">
      <c r="R442" s="13"/>
      <c r="S442">
        <v>1</v>
      </c>
      <c r="T442">
        <v>0</v>
      </c>
    </row>
    <row r="443" spans="18:20" x14ac:dyDescent="0.3">
      <c r="R443" s="13"/>
      <c r="S443">
        <v>1</v>
      </c>
      <c r="T443">
        <v>0</v>
      </c>
    </row>
    <row r="444" spans="18:20" x14ac:dyDescent="0.3">
      <c r="R444" s="13"/>
      <c r="S444">
        <v>1</v>
      </c>
      <c r="T444">
        <v>0</v>
      </c>
    </row>
    <row r="445" spans="18:20" x14ac:dyDescent="0.3">
      <c r="R445" s="13"/>
      <c r="S445">
        <v>1.9875</v>
      </c>
      <c r="T445">
        <v>0</v>
      </c>
    </row>
    <row r="446" spans="18:20" x14ac:dyDescent="0.3">
      <c r="R446" s="13"/>
      <c r="S446">
        <v>1.9875</v>
      </c>
      <c r="T446">
        <v>0</v>
      </c>
    </row>
    <row r="447" spans="18:20" x14ac:dyDescent="0.3">
      <c r="R447" s="13"/>
      <c r="S447">
        <v>54.333333333333329</v>
      </c>
      <c r="T447">
        <v>2.6666666666666656</v>
      </c>
    </row>
    <row r="448" spans="18:20" x14ac:dyDescent="0.3">
      <c r="R448" s="13"/>
      <c r="S448">
        <v>54.333333333333329</v>
      </c>
      <c r="T448">
        <v>2.6666666666666656</v>
      </c>
    </row>
    <row r="449" spans="18:20" x14ac:dyDescent="0.3">
      <c r="R449" s="13"/>
      <c r="S449">
        <v>43.666666666666664</v>
      </c>
      <c r="T449">
        <v>-4.666666666666667</v>
      </c>
    </row>
    <row r="450" spans="18:20" x14ac:dyDescent="0.3">
      <c r="R450" s="13"/>
      <c r="S450">
        <v>43.666666666666664</v>
      </c>
      <c r="T450">
        <v>-4.666666666666667</v>
      </c>
    </row>
    <row r="451" spans="18:20" x14ac:dyDescent="0.3">
      <c r="R451" s="13"/>
      <c r="S451">
        <v>4.4836785620985493</v>
      </c>
      <c r="T451">
        <v>0</v>
      </c>
    </row>
    <row r="452" spans="18:20" x14ac:dyDescent="0.3">
      <c r="R452" s="13"/>
      <c r="S452">
        <v>4.4836785620985493</v>
      </c>
      <c r="T452">
        <v>0</v>
      </c>
    </row>
    <row r="453" spans="18:20" x14ac:dyDescent="0.3">
      <c r="R453" s="13"/>
      <c r="S453">
        <v>4.3183023967352501</v>
      </c>
      <c r="T453">
        <v>0</v>
      </c>
    </row>
    <row r="454" spans="18:20" x14ac:dyDescent="0.3">
      <c r="R454" s="13"/>
      <c r="S454">
        <v>4.3183023967352501</v>
      </c>
      <c r="T454">
        <v>0</v>
      </c>
    </row>
    <row r="455" spans="18:20" x14ac:dyDescent="0.3">
      <c r="R455" s="13"/>
      <c r="S455">
        <v>187.99480060833199</v>
      </c>
      <c r="T455">
        <v>176.24120038142698</v>
      </c>
    </row>
    <row r="456" spans="18:20" x14ac:dyDescent="0.3">
      <c r="R456" s="13"/>
      <c r="S456">
        <v>188.03153085231466</v>
      </c>
      <c r="T456">
        <v>176.23201782043131</v>
      </c>
    </row>
    <row r="457" spans="18:20" x14ac:dyDescent="0.3">
      <c r="R457" s="13"/>
      <c r="S457">
        <v>187.30878947634301</v>
      </c>
      <c r="T457">
        <v>175.62247046599796</v>
      </c>
    </row>
    <row r="458" spans="18:20" x14ac:dyDescent="0.3">
      <c r="R458" s="13"/>
      <c r="S458">
        <v>188.04614317524965</v>
      </c>
      <c r="T458">
        <v>175.4381320412713</v>
      </c>
    </row>
    <row r="459" spans="18:20" x14ac:dyDescent="0.3">
      <c r="R459" s="13"/>
      <c r="S459">
        <v>1</v>
      </c>
      <c r="T459">
        <v>0</v>
      </c>
    </row>
    <row r="460" spans="18:20" x14ac:dyDescent="0.3">
      <c r="R460" s="13"/>
      <c r="S460">
        <v>1</v>
      </c>
      <c r="T460">
        <v>0</v>
      </c>
    </row>
    <row r="461" spans="18:20" x14ac:dyDescent="0.3">
      <c r="R461" s="13"/>
      <c r="S461">
        <v>1</v>
      </c>
      <c r="T461">
        <v>0</v>
      </c>
    </row>
    <row r="462" spans="18:20" x14ac:dyDescent="0.3">
      <c r="R462" s="13"/>
      <c r="S462">
        <v>1</v>
      </c>
      <c r="T462">
        <v>0</v>
      </c>
    </row>
    <row r="463" spans="18:20" x14ac:dyDescent="0.3">
      <c r="R463" s="14"/>
      <c r="S463">
        <v>298.75</v>
      </c>
      <c r="T463">
        <v>0</v>
      </c>
    </row>
    <row r="3961" spans="22:28" ht="15" thickBot="1" x14ac:dyDescent="0.35"/>
    <row r="3962" spans="22:28" x14ac:dyDescent="0.3">
      <c r="Y3962" s="11"/>
      <c r="AA3962" s="5" t="s">
        <v>132</v>
      </c>
      <c r="AB3962" s="6" t="s">
        <v>133</v>
      </c>
    </row>
    <row r="3963" spans="22:28" x14ac:dyDescent="0.3">
      <c r="Y3963" s="11"/>
      <c r="AA3963" s="7" t="s">
        <v>134</v>
      </c>
      <c r="AB3963" s="8" t="s">
        <v>131</v>
      </c>
    </row>
    <row r="3964" spans="22:28" ht="15" thickBot="1" x14ac:dyDescent="0.35">
      <c r="Y3964" s="11"/>
      <c r="AA3964" s="9">
        <v>0.1</v>
      </c>
      <c r="AB3964" s="10">
        <f>1-AA3964</f>
        <v>0.9</v>
      </c>
    </row>
    <row r="3965" spans="22:28" x14ac:dyDescent="0.3">
      <c r="Y3965" s="11"/>
    </row>
    <row r="3966" spans="22:28" x14ac:dyDescent="0.3">
      <c r="V3966">
        <f>MAX(V2:V3956)</f>
        <v>4.3183023967352501</v>
      </c>
      <c r="W3966">
        <f>MAX(W2:W3956)</f>
        <v>187.99480060833199</v>
      </c>
      <c r="X3966">
        <f>MAX(X2:X3956)</f>
        <v>188.03153085231466</v>
      </c>
      <c r="Y3966">
        <f>MAX(Y2:Y3956)</f>
        <v>187.30878947634301</v>
      </c>
    </row>
    <row r="3967" spans="22:28" x14ac:dyDescent="0.3">
      <c r="V3967">
        <f>MIN(V2:V3956)</f>
        <v>0</v>
      </c>
      <c r="W3967">
        <f>MIN(W2:W3956)</f>
        <v>176.24120038142698</v>
      </c>
      <c r="X3967">
        <f>MIN(X2:X3956)</f>
        <v>176.23201782043131</v>
      </c>
      <c r="Y3967">
        <f>MIN(Y2:Y3956)</f>
        <v>175.62247046599796</v>
      </c>
    </row>
    <row r="3969" spans="1:25" x14ac:dyDescent="0.3">
      <c r="A3969" s="12"/>
      <c r="U3969" s="12"/>
      <c r="V3969" s="12">
        <f>(V3966-V3970)/$G$422+V3970</f>
        <v>5.7577365289803328</v>
      </c>
      <c r="W3969" s="12">
        <f>(W3966-W3970)/$G$422+W3970</f>
        <v>191.91266735063365</v>
      </c>
      <c r="X3969" s="12">
        <f>(X3966-X3970)/$G$422+X3970</f>
        <v>191.96470186294243</v>
      </c>
      <c r="Y3969" s="12">
        <f>(Y3966-Y3970)/$G$422+Y3970</f>
        <v>191.20422914645803</v>
      </c>
    </row>
    <row r="3970" spans="1:25" x14ac:dyDescent="0.3">
      <c r="A3970" s="12"/>
      <c r="U3970" s="12"/>
      <c r="V3970" s="12">
        <f>(($G$422*V3967-$E$422*V3966)/($G$422-$E$422))</f>
        <v>-1.4394341322450832</v>
      </c>
      <c r="W3970" s="12">
        <f>(($G$422*W3967-$E$422*W3966)/($G$422-$E$422))</f>
        <v>172.32333363912528</v>
      </c>
      <c r="X3970" s="12">
        <f>(($G$422*X3967-$E$422*X3966)/($G$422-$E$422))</f>
        <v>172.29884680980351</v>
      </c>
      <c r="Y3970" s="12">
        <f>(($G$422*Y3967-$E$422*Y3966)/($G$422-$E$422))</f>
        <v>171.72703079588294</v>
      </c>
    </row>
    <row r="3972" spans="1:25" x14ac:dyDescent="0.3">
      <c r="V3972">
        <v>1</v>
      </c>
      <c r="W3972">
        <v>1</v>
      </c>
      <c r="X3972">
        <v>1</v>
      </c>
      <c r="Y3972">
        <v>265.55555555555554</v>
      </c>
    </row>
    <row r="3973" spans="1:25" x14ac:dyDescent="0.3">
      <c r="V3973">
        <v>0</v>
      </c>
      <c r="W3973">
        <v>0</v>
      </c>
      <c r="X3973">
        <v>0</v>
      </c>
      <c r="Y3973">
        <v>0</v>
      </c>
    </row>
    <row r="3991" spans="18:20" x14ac:dyDescent="0.3">
      <c r="R3991" s="25"/>
      <c r="S3991" s="12"/>
      <c r="T3991" s="12"/>
    </row>
    <row r="3992" spans="18:20" x14ac:dyDescent="0.3">
      <c r="R3992" s="25"/>
      <c r="S3992" s="12"/>
      <c r="T3992" s="12"/>
    </row>
    <row r="3993" spans="18:20" x14ac:dyDescent="0.3">
      <c r="R3993" s="25"/>
      <c r="S3993" s="12"/>
      <c r="T3993" s="12"/>
    </row>
    <row r="3994" spans="18:20" x14ac:dyDescent="0.3">
      <c r="R3994" s="25"/>
      <c r="S3994" s="12"/>
      <c r="T3994" s="12"/>
    </row>
    <row r="3995" spans="18:20" x14ac:dyDescent="0.3">
      <c r="R3995" s="25"/>
      <c r="S3995" s="12"/>
      <c r="T3995" s="12"/>
    </row>
    <row r="3996" spans="18:20" x14ac:dyDescent="0.3">
      <c r="R3996" s="25"/>
      <c r="S3996" s="12"/>
      <c r="T3996" s="12"/>
    </row>
    <row r="3997" spans="18:20" x14ac:dyDescent="0.3">
      <c r="R3997" s="25"/>
      <c r="S3997" s="12"/>
      <c r="T3997" s="12"/>
    </row>
    <row r="3998" spans="18:20" x14ac:dyDescent="0.3">
      <c r="R3998" s="25"/>
      <c r="S3998" s="12"/>
      <c r="T3998" s="12"/>
    </row>
    <row r="3999" spans="18:20" x14ac:dyDescent="0.3">
      <c r="R3999" s="25"/>
      <c r="S3999" s="12"/>
      <c r="T3999" s="12"/>
    </row>
    <row r="4000" spans="18:20" x14ac:dyDescent="0.3">
      <c r="R4000" s="25"/>
      <c r="S4000" s="12"/>
      <c r="T4000" s="12"/>
    </row>
    <row r="4001" spans="18:20" x14ac:dyDescent="0.3">
      <c r="R4001" s="25"/>
    </row>
    <row r="4002" spans="18:20" x14ac:dyDescent="0.3">
      <c r="R4002" s="25"/>
      <c r="S4002" s="12"/>
      <c r="T4002" s="12"/>
    </row>
  </sheetData>
  <autoFilter ref="A1:AF417" xr:uid="{00000000-0009-0000-0000-000001000000}">
    <sortState ref="A2:AF417">
      <sortCondition ref="AF1:AF417"/>
    </sortState>
  </autoFilter>
  <sortState ref="K2:AF417">
    <sortCondition ref="AF2:AF417"/>
  </sortState>
  <mergeCells count="1">
    <mergeCell ref="S433:T43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19443"/>
  <sheetViews>
    <sheetView workbookViewId="0">
      <selection sqref="A1:AF318"/>
    </sheetView>
  </sheetViews>
  <sheetFormatPr defaultRowHeight="14.4" x14ac:dyDescent="0.3"/>
  <cols>
    <col min="1" max="1" width="13.109375" bestFit="1" customWidth="1"/>
    <col min="2" max="2" width="26" bestFit="1" customWidth="1"/>
    <col min="3" max="3" width="6.44140625" bestFit="1" customWidth="1"/>
    <col min="4" max="4" width="20" bestFit="1" customWidth="1"/>
    <col min="5" max="5" width="12" bestFit="1" customWidth="1"/>
    <col min="6" max="6" width="23.109375" bestFit="1" customWidth="1"/>
    <col min="7" max="7" width="14.33203125" bestFit="1" customWidth="1"/>
    <col min="8" max="8" width="6.44140625" bestFit="1" customWidth="1"/>
    <col min="9" max="9" width="5.44140625" bestFit="1" customWidth="1"/>
    <col min="10" max="10" width="7" bestFit="1" customWidth="1"/>
    <col min="11" max="11" width="11.88671875" bestFit="1" customWidth="1"/>
    <col min="12" max="12" width="10.88671875" bestFit="1" customWidth="1"/>
    <col min="13" max="13" width="12.44140625" bestFit="1" customWidth="1"/>
    <col min="14" max="14" width="7" bestFit="1" customWidth="1"/>
    <col min="15" max="15" width="11" bestFit="1" customWidth="1"/>
    <col min="16" max="16" width="10" bestFit="1" customWidth="1"/>
    <col min="17" max="17" width="15.5546875" bestFit="1" customWidth="1"/>
    <col min="18" max="18" width="9.6640625" bestFit="1" customWidth="1"/>
    <col min="19" max="19" width="15.33203125" bestFit="1" customWidth="1"/>
    <col min="20" max="20" width="17.88671875" bestFit="1" customWidth="1"/>
    <col min="21" max="21" width="13.88671875" bestFit="1" customWidth="1"/>
    <col min="22" max="22" width="17.5546875" bestFit="1" customWidth="1"/>
    <col min="23" max="23" width="13.5546875" bestFit="1" customWidth="1"/>
    <col min="24" max="24" width="16.44140625" bestFit="1" customWidth="1"/>
    <col min="25" max="25" width="12.6640625" bestFit="1" customWidth="1"/>
    <col min="26" max="26" width="16.109375" bestFit="1" customWidth="1"/>
    <col min="27" max="27" width="12.44140625" bestFit="1" customWidth="1"/>
    <col min="28" max="31" width="5.5546875" bestFit="1" customWidth="1"/>
    <col min="32" max="32" width="6.88671875" bestFit="1" customWidth="1"/>
    <col min="33" max="33" width="5.44140625" bestFit="1" customWidth="1"/>
  </cols>
  <sheetData>
    <row r="1" spans="1:32" x14ac:dyDescent="0.3">
      <c r="A1" t="s">
        <v>4</v>
      </c>
      <c r="B1" t="s">
        <v>172</v>
      </c>
      <c r="C1" t="s">
        <v>171</v>
      </c>
      <c r="D1" t="s">
        <v>201</v>
      </c>
      <c r="E1" t="s">
        <v>126</v>
      </c>
      <c r="F1" t="s">
        <v>202</v>
      </c>
      <c r="G1" t="s">
        <v>1</v>
      </c>
      <c r="H1" t="s">
        <v>2</v>
      </c>
      <c r="I1" t="s">
        <v>3</v>
      </c>
      <c r="J1" t="s">
        <v>196</v>
      </c>
      <c r="K1" t="s">
        <v>197</v>
      </c>
      <c r="L1" t="s">
        <v>198</v>
      </c>
      <c r="M1" t="s">
        <v>166</v>
      </c>
      <c r="N1" t="s">
        <v>189</v>
      </c>
      <c r="O1" t="s">
        <v>181</v>
      </c>
      <c r="P1" t="s">
        <v>195</v>
      </c>
      <c r="Q1" t="s">
        <v>180</v>
      </c>
      <c r="R1" t="s">
        <v>194</v>
      </c>
      <c r="S1" t="s">
        <v>182</v>
      </c>
      <c r="T1" t="s">
        <v>193</v>
      </c>
      <c r="U1" t="s">
        <v>183</v>
      </c>
      <c r="V1" t="s">
        <v>192</v>
      </c>
      <c r="W1" t="s">
        <v>184</v>
      </c>
      <c r="X1" t="s">
        <v>191</v>
      </c>
      <c r="Y1" t="s">
        <v>185</v>
      </c>
      <c r="Z1" t="s">
        <v>190</v>
      </c>
      <c r="AA1" t="s">
        <v>167</v>
      </c>
      <c r="AB1" t="s">
        <v>168</v>
      </c>
      <c r="AC1" t="s">
        <v>169</v>
      </c>
      <c r="AD1" t="s">
        <v>170</v>
      </c>
      <c r="AE1" t="s">
        <v>123</v>
      </c>
      <c r="AF1" t="s">
        <v>136</v>
      </c>
    </row>
    <row r="2" spans="1:32" x14ac:dyDescent="0.3">
      <c r="A2" t="s">
        <v>9</v>
      </c>
      <c r="B2">
        <v>1</v>
      </c>
      <c r="C2">
        <v>7.6601671309192196E-2</v>
      </c>
      <c r="D2">
        <v>7.6601671309192196E-2</v>
      </c>
      <c r="E2">
        <v>0</v>
      </c>
      <c r="F2">
        <v>0</v>
      </c>
      <c r="G2">
        <v>1</v>
      </c>
      <c r="H2">
        <v>0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25</v>
      </c>
      <c r="P2">
        <v>25</v>
      </c>
      <c r="Q2">
        <v>15</v>
      </c>
      <c r="R2">
        <v>15</v>
      </c>
      <c r="S2">
        <v>1.46109776387834</v>
      </c>
      <c r="T2">
        <v>1.46109776387834</v>
      </c>
      <c r="U2">
        <v>1.10867440613719</v>
      </c>
      <c r="V2">
        <v>1.10867440613719</v>
      </c>
      <c r="W2">
        <v>183.903627834247</v>
      </c>
      <c r="X2">
        <v>183.903627834247</v>
      </c>
      <c r="Y2">
        <v>182.74738322223499</v>
      </c>
      <c r="Z2">
        <v>182.74738322223499</v>
      </c>
      <c r="AA2">
        <v>1</v>
      </c>
      <c r="AB2">
        <v>0</v>
      </c>
      <c r="AC2">
        <v>0</v>
      </c>
      <c r="AD2">
        <v>0</v>
      </c>
      <c r="AE2">
        <v>2</v>
      </c>
      <c r="AF2">
        <v>1</v>
      </c>
    </row>
    <row r="3" spans="1:32" x14ac:dyDescent="0.3">
      <c r="A3" t="s">
        <v>11</v>
      </c>
      <c r="B3">
        <v>3</v>
      </c>
      <c r="C3">
        <v>0.24001857010213601</v>
      </c>
      <c r="D3">
        <v>0.16573816155988899</v>
      </c>
      <c r="E3">
        <v>0</v>
      </c>
      <c r="F3">
        <v>0</v>
      </c>
      <c r="G3">
        <v>1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27</v>
      </c>
      <c r="P3">
        <v>26</v>
      </c>
      <c r="Q3">
        <v>5</v>
      </c>
      <c r="R3">
        <v>12</v>
      </c>
      <c r="S3">
        <v>1.1302414586262799</v>
      </c>
      <c r="T3">
        <v>1.4330244944378401</v>
      </c>
      <c r="U3">
        <v>0.83694376931608205</v>
      </c>
      <c r="V3">
        <v>0.60717462934008104</v>
      </c>
      <c r="W3">
        <v>182.81814126845899</v>
      </c>
      <c r="X3">
        <v>183.81152393188299</v>
      </c>
      <c r="Y3">
        <v>181.85587850825499</v>
      </c>
      <c r="Z3">
        <v>181.10204274717901</v>
      </c>
      <c r="AA3">
        <v>1</v>
      </c>
      <c r="AB3">
        <v>0</v>
      </c>
      <c r="AC3">
        <v>0</v>
      </c>
      <c r="AD3">
        <v>0</v>
      </c>
      <c r="AE3">
        <v>19</v>
      </c>
      <c r="AF3">
        <v>1</v>
      </c>
    </row>
    <row r="4" spans="1:32" x14ac:dyDescent="0.3">
      <c r="A4" t="s">
        <v>13</v>
      </c>
      <c r="B4">
        <v>5</v>
      </c>
      <c r="C4">
        <v>7.7994428969359306E-2</v>
      </c>
      <c r="D4">
        <v>0.33658310120705698</v>
      </c>
      <c r="E4">
        <v>1</v>
      </c>
      <c r="F4">
        <v>0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35</v>
      </c>
      <c r="P4">
        <v>34</v>
      </c>
      <c r="Q4">
        <v>13</v>
      </c>
      <c r="R4">
        <v>11</v>
      </c>
      <c r="S4">
        <v>1.0997634732338599</v>
      </c>
      <c r="T4">
        <v>0.88979821628513101</v>
      </c>
      <c r="U4">
        <v>0.90591695721156695</v>
      </c>
      <c r="V4">
        <v>0.22739874834516699</v>
      </c>
      <c r="W4">
        <v>182.718147878064</v>
      </c>
      <c r="X4">
        <v>182.02928548649999</v>
      </c>
      <c r="Y4">
        <v>182.08216849478899</v>
      </c>
      <c r="Z4">
        <v>179.856058885647</v>
      </c>
      <c r="AA4">
        <v>1</v>
      </c>
      <c r="AB4">
        <v>0</v>
      </c>
      <c r="AC4">
        <v>0</v>
      </c>
      <c r="AD4">
        <v>0</v>
      </c>
      <c r="AE4">
        <v>32</v>
      </c>
      <c r="AF4">
        <v>1</v>
      </c>
    </row>
    <row r="5" spans="1:32" x14ac:dyDescent="0.3">
      <c r="A5" t="s">
        <v>15</v>
      </c>
      <c r="B5">
        <v>7</v>
      </c>
      <c r="C5">
        <v>6.9637883008356605E-2</v>
      </c>
      <c r="D5">
        <v>3.3426183844011102E-2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34</v>
      </c>
      <c r="P5">
        <v>28</v>
      </c>
      <c r="Q5">
        <v>20</v>
      </c>
      <c r="R5">
        <v>21</v>
      </c>
      <c r="S5">
        <v>1.00341565307527</v>
      </c>
      <c r="T5">
        <v>1.11544632991407</v>
      </c>
      <c r="U5">
        <v>5.16141025679255E-2</v>
      </c>
      <c r="V5">
        <v>0.66619292727184498</v>
      </c>
      <c r="W5">
        <v>182.40204610589001</v>
      </c>
      <c r="X5">
        <v>182.769600819928</v>
      </c>
      <c r="Y5">
        <v>179.27933760684999</v>
      </c>
      <c r="Z5">
        <v>181.295672333569</v>
      </c>
      <c r="AA5">
        <v>1</v>
      </c>
      <c r="AB5">
        <v>0</v>
      </c>
      <c r="AC5">
        <v>0</v>
      </c>
      <c r="AD5">
        <v>0</v>
      </c>
      <c r="AE5">
        <v>9</v>
      </c>
      <c r="AF5">
        <v>1</v>
      </c>
    </row>
    <row r="6" spans="1:32" x14ac:dyDescent="0.3">
      <c r="A6" t="s">
        <v>17</v>
      </c>
      <c r="B6">
        <v>9</v>
      </c>
      <c r="C6">
        <v>0.16573816155988899</v>
      </c>
      <c r="D6">
        <v>7.6601671309192196E-2</v>
      </c>
      <c r="E6">
        <v>0</v>
      </c>
      <c r="F6">
        <v>0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9.8000000000000004E-2</v>
      </c>
      <c r="N6">
        <v>0.34649999999999997</v>
      </c>
      <c r="O6">
        <v>35</v>
      </c>
      <c r="P6">
        <v>33</v>
      </c>
      <c r="Q6">
        <v>17</v>
      </c>
      <c r="R6">
        <v>25</v>
      </c>
      <c r="S6">
        <v>1.58057554479587</v>
      </c>
      <c r="T6">
        <v>1.2347750146826599</v>
      </c>
      <c r="U6">
        <v>0.48919333558950301</v>
      </c>
      <c r="V6">
        <v>0.189081967370964</v>
      </c>
      <c r="W6">
        <v>184.29561530444801</v>
      </c>
      <c r="X6">
        <v>183.16109912953601</v>
      </c>
      <c r="Y6">
        <v>180.714965011777</v>
      </c>
      <c r="Z6">
        <v>179.73034766197799</v>
      </c>
      <c r="AA6">
        <v>1</v>
      </c>
      <c r="AB6">
        <v>0</v>
      </c>
      <c r="AC6">
        <v>0</v>
      </c>
      <c r="AD6">
        <v>0</v>
      </c>
      <c r="AE6">
        <v>24</v>
      </c>
      <c r="AF6">
        <v>1</v>
      </c>
    </row>
    <row r="7" spans="1:32" x14ac:dyDescent="0.3">
      <c r="A7" t="s">
        <v>19</v>
      </c>
      <c r="B7">
        <v>11</v>
      </c>
      <c r="C7">
        <v>0.33658310120705698</v>
      </c>
      <c r="D7">
        <v>0.24001857010213601</v>
      </c>
      <c r="E7">
        <v>0</v>
      </c>
      <c r="F7">
        <v>0</v>
      </c>
      <c r="G7">
        <v>0</v>
      </c>
      <c r="H7">
        <v>1</v>
      </c>
      <c r="I7">
        <v>0</v>
      </c>
      <c r="J7">
        <v>1</v>
      </c>
      <c r="K7">
        <v>0</v>
      </c>
      <c r="L7">
        <v>0</v>
      </c>
      <c r="M7">
        <v>1.0500000000000001E-2</v>
      </c>
      <c r="N7">
        <v>0</v>
      </c>
      <c r="O7">
        <v>21</v>
      </c>
      <c r="P7">
        <v>34</v>
      </c>
      <c r="Q7">
        <v>19</v>
      </c>
      <c r="R7">
        <v>16</v>
      </c>
      <c r="S7">
        <v>0.53789708941633896</v>
      </c>
      <c r="T7">
        <v>1.35088379284124</v>
      </c>
      <c r="U7">
        <v>0.41650190461176601</v>
      </c>
      <c r="V7">
        <v>0.42943140815138697</v>
      </c>
      <c r="W7">
        <v>180.87475423036901</v>
      </c>
      <c r="X7">
        <v>183.54203344108001</v>
      </c>
      <c r="Y7">
        <v>180.47647606499899</v>
      </c>
      <c r="Z7">
        <v>180.518895696035</v>
      </c>
      <c r="AA7">
        <v>1</v>
      </c>
      <c r="AB7">
        <v>0</v>
      </c>
      <c r="AC7">
        <v>0</v>
      </c>
      <c r="AD7">
        <v>0</v>
      </c>
      <c r="AE7">
        <v>7</v>
      </c>
      <c r="AF7">
        <v>1</v>
      </c>
    </row>
    <row r="8" spans="1:32" x14ac:dyDescent="0.3">
      <c r="A8" t="s">
        <v>23</v>
      </c>
      <c r="B8">
        <v>13</v>
      </c>
      <c r="C8">
        <v>7.6601671309192196E-2</v>
      </c>
      <c r="D8">
        <v>6.9637883008356605E-2</v>
      </c>
      <c r="E8">
        <v>0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1.7500000000000002E-2</v>
      </c>
      <c r="O8">
        <v>31</v>
      </c>
      <c r="P8">
        <v>32</v>
      </c>
      <c r="Q8">
        <v>14</v>
      </c>
      <c r="R8">
        <v>32</v>
      </c>
      <c r="S8">
        <v>1.6152438725357301</v>
      </c>
      <c r="T8">
        <v>1.78705683578839</v>
      </c>
      <c r="U8">
        <v>1.1609038556325799</v>
      </c>
      <c r="V8">
        <v>1.78705683578839</v>
      </c>
      <c r="W8">
        <v>184.409356537191</v>
      </c>
      <c r="X8">
        <v>184.97304736151</v>
      </c>
      <c r="Y8">
        <v>182.91873968383399</v>
      </c>
      <c r="Z8">
        <v>184.97304736151</v>
      </c>
      <c r="AA8">
        <v>1</v>
      </c>
      <c r="AB8">
        <v>0</v>
      </c>
      <c r="AC8">
        <v>0</v>
      </c>
      <c r="AD8">
        <v>0</v>
      </c>
      <c r="AE8">
        <v>6</v>
      </c>
      <c r="AF8">
        <v>1</v>
      </c>
    </row>
    <row r="9" spans="1:32" x14ac:dyDescent="0.3">
      <c r="A9" t="s">
        <v>25</v>
      </c>
      <c r="B9">
        <v>15</v>
      </c>
      <c r="C9">
        <v>0.24001857010213601</v>
      </c>
      <c r="D9">
        <v>0.16573816155988899</v>
      </c>
      <c r="E9">
        <v>0</v>
      </c>
      <c r="F9">
        <v>0</v>
      </c>
      <c r="G9">
        <v>1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32</v>
      </c>
      <c r="P9">
        <v>29</v>
      </c>
      <c r="Q9">
        <v>16</v>
      </c>
      <c r="R9">
        <v>13</v>
      </c>
      <c r="S9">
        <v>1.5850013074045799</v>
      </c>
      <c r="T9">
        <v>1.45281076829636</v>
      </c>
      <c r="U9">
        <v>1.08223480540075</v>
      </c>
      <c r="V9">
        <v>0.99969079094447399</v>
      </c>
      <c r="W9">
        <v>184.310135522981</v>
      </c>
      <c r="X9">
        <v>183.87643952853099</v>
      </c>
      <c r="Y9">
        <v>182.66063912533099</v>
      </c>
      <c r="Z9">
        <v>182.38982542960801</v>
      </c>
      <c r="AA9">
        <v>1</v>
      </c>
      <c r="AB9">
        <v>0</v>
      </c>
      <c r="AC9">
        <v>0</v>
      </c>
      <c r="AD9">
        <v>0</v>
      </c>
      <c r="AE9">
        <v>12</v>
      </c>
      <c r="AF9">
        <v>1</v>
      </c>
    </row>
    <row r="10" spans="1:32" x14ac:dyDescent="0.3">
      <c r="A10" t="s">
        <v>27</v>
      </c>
      <c r="B10">
        <v>17</v>
      </c>
      <c r="C10">
        <v>7.7994428969359306E-2</v>
      </c>
      <c r="D10">
        <v>0.33658310120705698</v>
      </c>
      <c r="E10">
        <v>0</v>
      </c>
      <c r="F10">
        <v>0</v>
      </c>
      <c r="G10">
        <v>1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24</v>
      </c>
      <c r="P10">
        <v>31</v>
      </c>
      <c r="Q10">
        <v>17</v>
      </c>
      <c r="R10">
        <v>12</v>
      </c>
      <c r="S10">
        <v>1.4435272017534599</v>
      </c>
      <c r="T10">
        <v>1.1858058261714199</v>
      </c>
      <c r="U10">
        <v>1.02429143850154</v>
      </c>
      <c r="V10">
        <v>0.98405613022083605</v>
      </c>
      <c r="W10">
        <v>183.84598163304901</v>
      </c>
      <c r="X10">
        <v>183.00043906224201</v>
      </c>
      <c r="Y10">
        <v>182.470536215556</v>
      </c>
      <c r="Z10">
        <v>182.33853061096099</v>
      </c>
      <c r="AA10">
        <v>1</v>
      </c>
      <c r="AB10">
        <v>0</v>
      </c>
      <c r="AC10">
        <v>0</v>
      </c>
      <c r="AD10">
        <v>0</v>
      </c>
      <c r="AE10">
        <v>7</v>
      </c>
      <c r="AF10">
        <v>1</v>
      </c>
    </row>
    <row r="11" spans="1:32" x14ac:dyDescent="0.3">
      <c r="A11" t="s">
        <v>29</v>
      </c>
      <c r="B11">
        <v>19</v>
      </c>
      <c r="C11">
        <v>6.9637883008356605E-2</v>
      </c>
      <c r="D11">
        <v>3.3426183844011102E-2</v>
      </c>
      <c r="E11">
        <v>0</v>
      </c>
      <c r="F11">
        <v>0</v>
      </c>
      <c r="G11">
        <v>1</v>
      </c>
      <c r="H11">
        <v>0</v>
      </c>
      <c r="I11">
        <v>0</v>
      </c>
      <c r="J11">
        <v>1</v>
      </c>
      <c r="K11">
        <v>0</v>
      </c>
      <c r="L11">
        <v>0</v>
      </c>
      <c r="M11">
        <v>0.11550000000000001</v>
      </c>
      <c r="N11">
        <v>0.434</v>
      </c>
      <c r="O11">
        <v>32</v>
      </c>
      <c r="P11">
        <v>26</v>
      </c>
      <c r="Q11">
        <v>16</v>
      </c>
      <c r="R11">
        <v>17</v>
      </c>
      <c r="S11">
        <v>1.5876813093109601</v>
      </c>
      <c r="T11">
        <v>1.1898860902813</v>
      </c>
      <c r="U11">
        <v>0.78288819777123997</v>
      </c>
      <c r="V11">
        <v>0.56560091923872602</v>
      </c>
      <c r="W11">
        <v>184.31892818015399</v>
      </c>
      <c r="X11">
        <v>183.013825755516</v>
      </c>
      <c r="Y11">
        <v>181.67853083258299</v>
      </c>
      <c r="Z11">
        <v>180.965646060495</v>
      </c>
      <c r="AA11">
        <v>1</v>
      </c>
      <c r="AB11">
        <v>0</v>
      </c>
      <c r="AC11">
        <v>0</v>
      </c>
      <c r="AD11">
        <v>0</v>
      </c>
      <c r="AE11">
        <v>30</v>
      </c>
      <c r="AF11">
        <v>1</v>
      </c>
    </row>
    <row r="12" spans="1:32" x14ac:dyDescent="0.3">
      <c r="A12" t="s">
        <v>31</v>
      </c>
      <c r="B12">
        <v>21</v>
      </c>
      <c r="C12">
        <v>0.16573816155988899</v>
      </c>
      <c r="D12">
        <v>7.6601671309192196E-2</v>
      </c>
      <c r="E12">
        <v>0</v>
      </c>
      <c r="F12">
        <v>0</v>
      </c>
      <c r="G12">
        <v>1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36</v>
      </c>
      <c r="P12">
        <v>33</v>
      </c>
      <c r="Q12">
        <v>17</v>
      </c>
      <c r="R12">
        <v>20</v>
      </c>
      <c r="S12">
        <v>1.6033024944065599</v>
      </c>
      <c r="T12">
        <v>1.8073556344474</v>
      </c>
      <c r="U12">
        <v>1.12826314570643</v>
      </c>
      <c r="V12">
        <v>1.48466663438573</v>
      </c>
      <c r="W12">
        <v>184.37017878742299</v>
      </c>
      <c r="X12">
        <v>185.03964446997199</v>
      </c>
      <c r="Y12">
        <v>182.81165074050699</v>
      </c>
      <c r="Z12">
        <v>183.98095352488801</v>
      </c>
      <c r="AA12">
        <v>1</v>
      </c>
      <c r="AB12">
        <v>0</v>
      </c>
      <c r="AC12">
        <v>0</v>
      </c>
      <c r="AD12">
        <v>0</v>
      </c>
      <c r="AE12">
        <v>15</v>
      </c>
      <c r="AF12">
        <v>1</v>
      </c>
    </row>
    <row r="13" spans="1:32" x14ac:dyDescent="0.3">
      <c r="A13" t="s">
        <v>33</v>
      </c>
      <c r="B13">
        <v>23</v>
      </c>
      <c r="C13">
        <v>0.33658310120705698</v>
      </c>
      <c r="D13">
        <v>0.24001857010213601</v>
      </c>
      <c r="E13">
        <v>0</v>
      </c>
      <c r="F13">
        <v>0</v>
      </c>
      <c r="G13">
        <v>1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0.27650000000000002</v>
      </c>
      <c r="O13">
        <v>37</v>
      </c>
      <c r="P13">
        <v>40</v>
      </c>
      <c r="Q13">
        <v>14</v>
      </c>
      <c r="R13">
        <v>20</v>
      </c>
      <c r="S13">
        <v>1.8383293786799899</v>
      </c>
      <c r="T13">
        <v>1.2701376382113101</v>
      </c>
      <c r="U13">
        <v>0.93873543150711702</v>
      </c>
      <c r="V13">
        <v>1.0655359495032599</v>
      </c>
      <c r="W13">
        <v>185.14126436574799</v>
      </c>
      <c r="X13">
        <v>183.27711823560099</v>
      </c>
      <c r="Y13">
        <v>182.18984065455101</v>
      </c>
      <c r="Z13">
        <v>182.60585285270099</v>
      </c>
      <c r="AA13">
        <v>1</v>
      </c>
      <c r="AB13">
        <v>0</v>
      </c>
      <c r="AC13">
        <v>0</v>
      </c>
      <c r="AD13">
        <v>0</v>
      </c>
      <c r="AE13">
        <v>50</v>
      </c>
      <c r="AF13">
        <v>1</v>
      </c>
    </row>
    <row r="14" spans="1:32" x14ac:dyDescent="0.3">
      <c r="A14" t="s">
        <v>34</v>
      </c>
      <c r="B14">
        <v>25</v>
      </c>
      <c r="C14">
        <v>3.3426183844011102E-2</v>
      </c>
      <c r="D14">
        <v>7.7994428969359306E-2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1</v>
      </c>
      <c r="L14">
        <v>0</v>
      </c>
      <c r="M14">
        <v>0.47249999999999998</v>
      </c>
      <c r="N14">
        <v>0.87150000000000005</v>
      </c>
      <c r="O14">
        <v>20</v>
      </c>
      <c r="P14">
        <v>19</v>
      </c>
      <c r="Q14">
        <v>20</v>
      </c>
      <c r="R14">
        <v>17</v>
      </c>
      <c r="S14">
        <v>1.36011053945192</v>
      </c>
      <c r="T14">
        <v>1.6294050586726301</v>
      </c>
      <c r="U14">
        <v>1.3600918907884101</v>
      </c>
      <c r="V14">
        <v>1.5368777304486001</v>
      </c>
      <c r="W14">
        <v>183.572304919462</v>
      </c>
      <c r="X14">
        <v>184.455817121629</v>
      </c>
      <c r="Y14">
        <v>183.572243736182</v>
      </c>
      <c r="Z14">
        <v>184.15224977181299</v>
      </c>
      <c r="AA14">
        <v>1</v>
      </c>
      <c r="AB14">
        <v>0</v>
      </c>
      <c r="AC14">
        <v>0</v>
      </c>
      <c r="AD14">
        <v>0</v>
      </c>
      <c r="AE14">
        <v>2</v>
      </c>
      <c r="AF14">
        <v>1</v>
      </c>
    </row>
    <row r="15" spans="1:32" x14ac:dyDescent="0.3">
      <c r="A15" t="s">
        <v>36</v>
      </c>
      <c r="B15">
        <v>27</v>
      </c>
      <c r="C15">
        <v>7.6601671309192196E-2</v>
      </c>
      <c r="D15">
        <v>6.9637883008356605E-2</v>
      </c>
      <c r="E15">
        <v>0</v>
      </c>
      <c r="F15">
        <v>0</v>
      </c>
      <c r="G15">
        <v>1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26</v>
      </c>
      <c r="P15">
        <v>30</v>
      </c>
      <c r="Q15">
        <v>19</v>
      </c>
      <c r="R15">
        <v>15</v>
      </c>
      <c r="S15">
        <v>1.3218717495663099</v>
      </c>
      <c r="T15">
        <v>1.1164949957674</v>
      </c>
      <c r="U15">
        <v>0.79105369734494602</v>
      </c>
      <c r="V15">
        <v>0.91132237164234797</v>
      </c>
      <c r="W15">
        <v>183.446849572068</v>
      </c>
      <c r="X15">
        <v>182.77304132469601</v>
      </c>
      <c r="Y15">
        <v>181.70532052934701</v>
      </c>
      <c r="Z15">
        <v>182.09990279410201</v>
      </c>
      <c r="AA15">
        <v>1</v>
      </c>
      <c r="AB15">
        <v>0</v>
      </c>
      <c r="AC15">
        <v>0</v>
      </c>
      <c r="AD15">
        <v>0</v>
      </c>
      <c r="AE15">
        <v>9</v>
      </c>
      <c r="AF15">
        <v>1</v>
      </c>
    </row>
    <row r="16" spans="1:32" x14ac:dyDescent="0.3">
      <c r="A16" t="s">
        <v>38</v>
      </c>
      <c r="B16">
        <v>29</v>
      </c>
      <c r="C16">
        <v>0.24001857010213601</v>
      </c>
      <c r="D16">
        <v>0.16573816155988899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30</v>
      </c>
      <c r="P16">
        <v>36</v>
      </c>
      <c r="Q16">
        <v>9</v>
      </c>
      <c r="R16">
        <v>21</v>
      </c>
      <c r="S16">
        <v>1.0005204335343401</v>
      </c>
      <c r="T16">
        <v>1.3941054796604699</v>
      </c>
      <c r="U16">
        <v>0.54651804076210198</v>
      </c>
      <c r="V16">
        <v>1.1843125230881799</v>
      </c>
      <c r="W16">
        <v>182.39254735411501</v>
      </c>
      <c r="X16">
        <v>183.683836875526</v>
      </c>
      <c r="Y16">
        <v>180.90303819147701</v>
      </c>
      <c r="Z16">
        <v>182.99553977391099</v>
      </c>
      <c r="AA16">
        <v>1</v>
      </c>
      <c r="AB16">
        <v>0</v>
      </c>
      <c r="AC16">
        <v>0</v>
      </c>
      <c r="AD16">
        <v>0</v>
      </c>
      <c r="AE16">
        <v>30</v>
      </c>
      <c r="AF16">
        <v>1</v>
      </c>
    </row>
    <row r="17" spans="1:32" x14ac:dyDescent="0.3">
      <c r="A17" t="s">
        <v>40</v>
      </c>
      <c r="B17">
        <v>31</v>
      </c>
      <c r="C17">
        <v>7.7994428969359306E-2</v>
      </c>
      <c r="D17">
        <v>0.33658310120705698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1</v>
      </c>
      <c r="L17">
        <v>0</v>
      </c>
      <c r="M17">
        <v>0.49</v>
      </c>
      <c r="N17">
        <v>0.44450000000000001</v>
      </c>
      <c r="O17">
        <v>37</v>
      </c>
      <c r="P17">
        <v>38</v>
      </c>
      <c r="Q17">
        <v>19</v>
      </c>
      <c r="R17">
        <v>21</v>
      </c>
      <c r="S17">
        <v>1.8616952674513101</v>
      </c>
      <c r="T17">
        <v>1.4518828598565701</v>
      </c>
      <c r="U17">
        <v>1.0396119597326601</v>
      </c>
      <c r="V17">
        <v>0.90571434559014397</v>
      </c>
      <c r="W17">
        <v>185.21792410581099</v>
      </c>
      <c r="X17">
        <v>183.873395209503</v>
      </c>
      <c r="Y17">
        <v>182.52080039282399</v>
      </c>
      <c r="Z17">
        <v>182.081503758498</v>
      </c>
      <c r="AA17">
        <v>1</v>
      </c>
      <c r="AB17">
        <v>0</v>
      </c>
      <c r="AC17">
        <v>0</v>
      </c>
      <c r="AD17">
        <v>0</v>
      </c>
      <c r="AE17">
        <v>14</v>
      </c>
      <c r="AF17">
        <v>1</v>
      </c>
    </row>
    <row r="18" spans="1:32" x14ac:dyDescent="0.3">
      <c r="A18" t="s">
        <v>44</v>
      </c>
      <c r="B18">
        <v>33</v>
      </c>
      <c r="C18">
        <v>0.16573816155988899</v>
      </c>
      <c r="D18">
        <v>7.6601671309192196E-2</v>
      </c>
      <c r="E18">
        <v>0</v>
      </c>
      <c r="F18">
        <v>0</v>
      </c>
      <c r="G18">
        <v>0</v>
      </c>
      <c r="H18">
        <v>1</v>
      </c>
      <c r="I18">
        <v>0</v>
      </c>
      <c r="J18">
        <v>1</v>
      </c>
      <c r="K18">
        <v>0</v>
      </c>
      <c r="L18">
        <v>0</v>
      </c>
      <c r="M18">
        <v>3.5000000000000003E-2</v>
      </c>
      <c r="N18">
        <v>0</v>
      </c>
      <c r="O18">
        <v>37</v>
      </c>
      <c r="P18">
        <v>31</v>
      </c>
      <c r="Q18">
        <v>16</v>
      </c>
      <c r="R18">
        <v>20</v>
      </c>
      <c r="S18">
        <v>1.8541982139275299</v>
      </c>
      <c r="T18">
        <v>1.9999842893618001</v>
      </c>
      <c r="U18">
        <v>1.3700134820286101</v>
      </c>
      <c r="V18">
        <v>1.8730662611051201</v>
      </c>
      <c r="W18">
        <v>185.19332747351601</v>
      </c>
      <c r="X18">
        <v>185.671628245938</v>
      </c>
      <c r="Y18">
        <v>183.604794888545</v>
      </c>
      <c r="Z18">
        <v>185.25523051543701</v>
      </c>
      <c r="AA18">
        <v>1</v>
      </c>
      <c r="AB18">
        <v>0</v>
      </c>
      <c r="AC18">
        <v>0</v>
      </c>
      <c r="AD18">
        <v>0</v>
      </c>
      <c r="AE18">
        <v>23</v>
      </c>
      <c r="AF18">
        <v>1</v>
      </c>
    </row>
    <row r="19" spans="1:32" x14ac:dyDescent="0.3">
      <c r="A19" t="s">
        <v>48</v>
      </c>
      <c r="B19">
        <v>35</v>
      </c>
      <c r="C19">
        <v>3.3426183844011102E-2</v>
      </c>
      <c r="D19">
        <v>7.7994428969359306E-2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0</v>
      </c>
      <c r="L19">
        <v>1</v>
      </c>
      <c r="M19">
        <v>0</v>
      </c>
      <c r="N19">
        <v>0.17849999999999999</v>
      </c>
      <c r="O19">
        <v>30</v>
      </c>
      <c r="P19">
        <v>26</v>
      </c>
      <c r="Q19">
        <v>17</v>
      </c>
      <c r="R19">
        <v>17</v>
      </c>
      <c r="S19">
        <v>1.73928568149942</v>
      </c>
      <c r="T19">
        <v>1.9946346363607601</v>
      </c>
      <c r="U19">
        <v>1.55371550596091</v>
      </c>
      <c r="V19">
        <v>1.9551520810888801</v>
      </c>
      <c r="W19">
        <v>184.816317852688</v>
      </c>
      <c r="X19">
        <v>185.65407689094701</v>
      </c>
      <c r="Y19">
        <v>184.207491817457</v>
      </c>
      <c r="Z19">
        <v>185.52454094845399</v>
      </c>
      <c r="AA19">
        <v>1</v>
      </c>
      <c r="AB19">
        <v>0</v>
      </c>
      <c r="AC19">
        <v>0</v>
      </c>
      <c r="AD19">
        <v>0</v>
      </c>
      <c r="AE19">
        <v>9</v>
      </c>
      <c r="AF19">
        <v>1</v>
      </c>
    </row>
    <row r="20" spans="1:32" x14ac:dyDescent="0.3">
      <c r="A20" t="s">
        <v>50</v>
      </c>
      <c r="B20">
        <v>37</v>
      </c>
      <c r="C20">
        <v>7.6601671309192196E-2</v>
      </c>
      <c r="D20">
        <v>6.9637883008356605E-2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1</v>
      </c>
      <c r="L20">
        <v>0</v>
      </c>
      <c r="M20">
        <v>0.38150000000000001</v>
      </c>
      <c r="N20">
        <v>0.60550000000000004</v>
      </c>
      <c r="O20">
        <v>32</v>
      </c>
      <c r="P20">
        <v>25</v>
      </c>
      <c r="Q20">
        <v>26</v>
      </c>
      <c r="R20">
        <v>22</v>
      </c>
      <c r="S20">
        <v>1.9229529958736</v>
      </c>
      <c r="T20">
        <v>1.9868774291325899</v>
      </c>
      <c r="U20">
        <v>1.7865930255187901</v>
      </c>
      <c r="V20">
        <v>1.6189689837985599</v>
      </c>
      <c r="W20">
        <v>185.41890090509699</v>
      </c>
      <c r="X20">
        <v>185.62862673599901</v>
      </c>
      <c r="Y20">
        <v>184.97152567427401</v>
      </c>
      <c r="Z20">
        <v>184.42157803083501</v>
      </c>
      <c r="AA20">
        <v>1</v>
      </c>
      <c r="AB20">
        <v>0</v>
      </c>
      <c r="AC20">
        <v>0</v>
      </c>
      <c r="AD20">
        <v>0</v>
      </c>
      <c r="AE20">
        <v>11</v>
      </c>
      <c r="AF20">
        <v>1</v>
      </c>
    </row>
    <row r="21" spans="1:32" x14ac:dyDescent="0.3">
      <c r="A21" t="s">
        <v>52</v>
      </c>
      <c r="B21">
        <v>39</v>
      </c>
      <c r="C21">
        <v>0.24001857010213601</v>
      </c>
      <c r="D21">
        <v>0.16573816155988899</v>
      </c>
      <c r="E21">
        <v>1</v>
      </c>
      <c r="F21">
        <v>0</v>
      </c>
      <c r="G21">
        <v>0</v>
      </c>
      <c r="H21">
        <v>1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24</v>
      </c>
      <c r="P21">
        <v>37</v>
      </c>
      <c r="Q21">
        <v>18</v>
      </c>
      <c r="R21">
        <v>18</v>
      </c>
      <c r="S21">
        <v>1.43112524802424</v>
      </c>
      <c r="T21">
        <v>1.7758684444796899</v>
      </c>
      <c r="U21">
        <v>1.11915530747697</v>
      </c>
      <c r="V21">
        <v>1.6295260162221601</v>
      </c>
      <c r="W21">
        <v>183.80529280847901</v>
      </c>
      <c r="X21">
        <v>184.936340040944</v>
      </c>
      <c r="Y21">
        <v>182.78176938148599</v>
      </c>
      <c r="Z21">
        <v>184.456213963984</v>
      </c>
      <c r="AA21">
        <v>1</v>
      </c>
      <c r="AB21">
        <v>0</v>
      </c>
      <c r="AC21">
        <v>0</v>
      </c>
      <c r="AD21">
        <v>0</v>
      </c>
      <c r="AE21">
        <v>12</v>
      </c>
      <c r="AF21">
        <v>1</v>
      </c>
    </row>
    <row r="22" spans="1:32" x14ac:dyDescent="0.3">
      <c r="A22" t="s">
        <v>54</v>
      </c>
      <c r="B22">
        <v>41</v>
      </c>
      <c r="C22">
        <v>7.7994428969359306E-2</v>
      </c>
      <c r="D22">
        <v>0.33658310120705698</v>
      </c>
      <c r="E22">
        <v>0</v>
      </c>
      <c r="F22">
        <v>0</v>
      </c>
      <c r="G22">
        <v>1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0.13300000000000001</v>
      </c>
      <c r="O22">
        <v>36</v>
      </c>
      <c r="P22">
        <v>36</v>
      </c>
      <c r="Q22">
        <v>16</v>
      </c>
      <c r="R22">
        <v>16</v>
      </c>
      <c r="S22">
        <v>1.7270687225079899</v>
      </c>
      <c r="T22">
        <v>1.6083595400789299</v>
      </c>
      <c r="U22">
        <v>0.67802143162939998</v>
      </c>
      <c r="V22">
        <v>1.0112719800643799</v>
      </c>
      <c r="W22">
        <v>184.776235966234</v>
      </c>
      <c r="X22">
        <v>184.38677014461601</v>
      </c>
      <c r="Y22">
        <v>181.334479762564</v>
      </c>
      <c r="Z22">
        <v>182.42782145690401</v>
      </c>
      <c r="AA22">
        <v>1</v>
      </c>
      <c r="AB22">
        <v>0</v>
      </c>
      <c r="AC22">
        <v>0</v>
      </c>
      <c r="AD22">
        <v>0</v>
      </c>
      <c r="AE22">
        <v>22</v>
      </c>
      <c r="AF22">
        <v>1</v>
      </c>
    </row>
    <row r="23" spans="1:32" x14ac:dyDescent="0.3">
      <c r="A23" t="s">
        <v>56</v>
      </c>
      <c r="B23">
        <v>43</v>
      </c>
      <c r="C23">
        <v>6.9637883008356605E-2</v>
      </c>
      <c r="D23">
        <v>3.3426183844011102E-2</v>
      </c>
      <c r="E23">
        <v>0</v>
      </c>
      <c r="F23">
        <v>0</v>
      </c>
      <c r="G23">
        <v>0</v>
      </c>
      <c r="H23">
        <v>0</v>
      </c>
      <c r="I23">
        <v>1</v>
      </c>
      <c r="J23">
        <v>1</v>
      </c>
      <c r="K23">
        <v>0</v>
      </c>
      <c r="L23">
        <v>0</v>
      </c>
      <c r="M23">
        <v>0.85399999999999998</v>
      </c>
      <c r="N23">
        <v>0</v>
      </c>
      <c r="O23">
        <v>32</v>
      </c>
      <c r="P23">
        <v>29</v>
      </c>
      <c r="Q23">
        <v>32</v>
      </c>
      <c r="R23">
        <v>24</v>
      </c>
      <c r="S23">
        <v>0.58658599090475205</v>
      </c>
      <c r="T23">
        <v>1.06570678728322</v>
      </c>
      <c r="U23">
        <v>0.58658599090475205</v>
      </c>
      <c r="V23">
        <v>0.653831153290925</v>
      </c>
      <c r="W23">
        <v>181.03449472081601</v>
      </c>
      <c r="X23">
        <v>182.60641334410499</v>
      </c>
      <c r="Y23">
        <v>181.03449472081601</v>
      </c>
      <c r="Z23">
        <v>181.25511533231901</v>
      </c>
      <c r="AA23">
        <v>1</v>
      </c>
      <c r="AB23">
        <v>0</v>
      </c>
      <c r="AC23">
        <v>0</v>
      </c>
      <c r="AD23">
        <v>0</v>
      </c>
      <c r="AE23">
        <v>1</v>
      </c>
      <c r="AF23">
        <v>1</v>
      </c>
    </row>
    <row r="24" spans="1:32" x14ac:dyDescent="0.3">
      <c r="A24" t="s">
        <v>58</v>
      </c>
      <c r="B24">
        <v>45</v>
      </c>
      <c r="C24">
        <v>0.16573816155988899</v>
      </c>
      <c r="D24">
        <v>7.6601671309192196E-2</v>
      </c>
      <c r="E24">
        <v>0</v>
      </c>
      <c r="F24">
        <v>0</v>
      </c>
      <c r="G24">
        <v>1</v>
      </c>
      <c r="H24">
        <v>0</v>
      </c>
      <c r="I24">
        <v>0</v>
      </c>
      <c r="J24">
        <v>1</v>
      </c>
      <c r="K24">
        <v>0</v>
      </c>
      <c r="L24">
        <v>0</v>
      </c>
      <c r="M24">
        <v>1.5645</v>
      </c>
      <c r="N24">
        <v>0</v>
      </c>
      <c r="O24">
        <v>39</v>
      </c>
      <c r="P24">
        <v>31</v>
      </c>
      <c r="Q24">
        <v>19</v>
      </c>
      <c r="R24">
        <v>22</v>
      </c>
      <c r="S24">
        <v>1.05930615117237</v>
      </c>
      <c r="T24">
        <v>1.0620636473106999</v>
      </c>
      <c r="U24">
        <v>0.55819365868748105</v>
      </c>
      <c r="V24">
        <v>0.76034752738834899</v>
      </c>
      <c r="W24">
        <v>182.58541388179901</v>
      </c>
      <c r="X24">
        <v>182.59446078514</v>
      </c>
      <c r="Y24">
        <v>180.94134402456501</v>
      </c>
      <c r="Z24">
        <v>181.60457850193001</v>
      </c>
      <c r="AA24">
        <v>1</v>
      </c>
      <c r="AB24">
        <v>0</v>
      </c>
      <c r="AC24">
        <v>0</v>
      </c>
      <c r="AD24">
        <v>0</v>
      </c>
      <c r="AE24">
        <v>37</v>
      </c>
      <c r="AF24">
        <v>1</v>
      </c>
    </row>
    <row r="25" spans="1:32" x14ac:dyDescent="0.3">
      <c r="A25" t="s">
        <v>60</v>
      </c>
      <c r="B25">
        <v>47</v>
      </c>
      <c r="C25">
        <v>0.33658310120705698</v>
      </c>
      <c r="D25">
        <v>0.24001857010213601</v>
      </c>
      <c r="E25">
        <v>0</v>
      </c>
      <c r="F25">
        <v>0</v>
      </c>
      <c r="G25">
        <v>1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40</v>
      </c>
      <c r="P25">
        <v>40</v>
      </c>
      <c r="Q25">
        <v>15</v>
      </c>
      <c r="R25">
        <v>20</v>
      </c>
      <c r="S25">
        <v>1.29987295518982</v>
      </c>
      <c r="T25">
        <v>0.92507227666570202</v>
      </c>
      <c r="U25">
        <v>0.57488517829128705</v>
      </c>
      <c r="V25">
        <v>0.104011550057409</v>
      </c>
      <c r="W25">
        <v>183.37467504983499</v>
      </c>
      <c r="X25">
        <v>182.14501403105501</v>
      </c>
      <c r="Y25">
        <v>180.99610622799</v>
      </c>
      <c r="Z25">
        <v>179.451245242971</v>
      </c>
      <c r="AA25">
        <v>1</v>
      </c>
      <c r="AB25">
        <v>0</v>
      </c>
      <c r="AC25">
        <v>0</v>
      </c>
      <c r="AD25">
        <v>0</v>
      </c>
      <c r="AE25">
        <v>79</v>
      </c>
      <c r="AF25">
        <v>1</v>
      </c>
    </row>
    <row r="26" spans="1:32" x14ac:dyDescent="0.3">
      <c r="A26" t="s">
        <v>62</v>
      </c>
      <c r="B26">
        <v>49</v>
      </c>
      <c r="C26">
        <v>3.3426183844011102E-2</v>
      </c>
      <c r="D26">
        <v>7.7994428969359306E-2</v>
      </c>
      <c r="E26">
        <v>0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7.0000000000000007E-2</v>
      </c>
      <c r="N26">
        <v>0</v>
      </c>
      <c r="O26">
        <v>31</v>
      </c>
      <c r="P26">
        <v>35</v>
      </c>
      <c r="Q26">
        <v>23</v>
      </c>
      <c r="R26">
        <v>26</v>
      </c>
      <c r="S26">
        <v>1.5356157011840901</v>
      </c>
      <c r="T26">
        <v>0.93021896797324799</v>
      </c>
      <c r="U26">
        <v>0.96605587213410005</v>
      </c>
      <c r="V26">
        <v>0.59566146465738401</v>
      </c>
      <c r="W26">
        <v>184.148109255853</v>
      </c>
      <c r="X26">
        <v>182.16189950122501</v>
      </c>
      <c r="Y26">
        <v>182.27947464610901</v>
      </c>
      <c r="Z26">
        <v>181.06426989716999</v>
      </c>
      <c r="AA26">
        <v>1</v>
      </c>
      <c r="AB26">
        <v>0</v>
      </c>
      <c r="AC26">
        <v>0</v>
      </c>
      <c r="AD26">
        <v>0</v>
      </c>
      <c r="AE26">
        <v>7</v>
      </c>
      <c r="AF26">
        <v>1</v>
      </c>
    </row>
    <row r="27" spans="1:32" x14ac:dyDescent="0.3">
      <c r="A27" t="s">
        <v>64</v>
      </c>
      <c r="B27">
        <v>51</v>
      </c>
      <c r="C27">
        <v>7.6601671309192196E-2</v>
      </c>
      <c r="D27">
        <v>6.9637883008356605E-2</v>
      </c>
      <c r="E27">
        <v>0</v>
      </c>
      <c r="F27">
        <v>0</v>
      </c>
      <c r="G27">
        <v>1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0.42699999999999999</v>
      </c>
      <c r="O27">
        <v>37</v>
      </c>
      <c r="P27">
        <v>34</v>
      </c>
      <c r="Q27">
        <v>12</v>
      </c>
      <c r="R27">
        <v>22</v>
      </c>
      <c r="S27">
        <v>0.57578415333256505</v>
      </c>
      <c r="T27">
        <v>1.2297212535249999</v>
      </c>
      <c r="U27">
        <v>0.11128936144064699</v>
      </c>
      <c r="V27">
        <v>0.94294307694957102</v>
      </c>
      <c r="W27">
        <v>180.99905562116999</v>
      </c>
      <c r="X27">
        <v>183.14451854831</v>
      </c>
      <c r="Y27">
        <v>179.47512257690499</v>
      </c>
      <c r="Z27">
        <v>182.20364526558299</v>
      </c>
      <c r="AA27">
        <v>1</v>
      </c>
      <c r="AB27">
        <v>0</v>
      </c>
      <c r="AC27">
        <v>0</v>
      </c>
      <c r="AD27">
        <v>0</v>
      </c>
      <c r="AE27">
        <v>28</v>
      </c>
      <c r="AF27">
        <v>1</v>
      </c>
    </row>
    <row r="28" spans="1:32" x14ac:dyDescent="0.3">
      <c r="A28" t="s">
        <v>66</v>
      </c>
      <c r="B28">
        <v>53</v>
      </c>
      <c r="C28">
        <v>0.24001857010213601</v>
      </c>
      <c r="D28">
        <v>0.16573816155988899</v>
      </c>
      <c r="E28">
        <v>0</v>
      </c>
      <c r="F28">
        <v>0</v>
      </c>
      <c r="G28">
        <v>1</v>
      </c>
      <c r="H28">
        <v>0</v>
      </c>
      <c r="I28">
        <v>0</v>
      </c>
      <c r="J28">
        <v>1</v>
      </c>
      <c r="K28">
        <v>0</v>
      </c>
      <c r="L28">
        <v>0</v>
      </c>
      <c r="M28">
        <v>8.0500000000000002E-2</v>
      </c>
      <c r="N28">
        <v>0</v>
      </c>
      <c r="O28">
        <v>30</v>
      </c>
      <c r="P28">
        <v>32</v>
      </c>
      <c r="Q28">
        <v>19</v>
      </c>
      <c r="R28">
        <v>12</v>
      </c>
      <c r="S28">
        <v>0.89459096414813399</v>
      </c>
      <c r="T28">
        <v>1.06173866744552</v>
      </c>
      <c r="U28">
        <v>0.569777235692844</v>
      </c>
      <c r="V28">
        <v>0.35813523498652899</v>
      </c>
      <c r="W28">
        <v>182.04500972489501</v>
      </c>
      <c r="X28">
        <v>182.59339457823299</v>
      </c>
      <c r="Y28">
        <v>180.97934788613099</v>
      </c>
      <c r="Z28">
        <v>180.284984366754</v>
      </c>
      <c r="AA28">
        <v>1</v>
      </c>
      <c r="AB28">
        <v>0</v>
      </c>
      <c r="AC28">
        <v>0</v>
      </c>
      <c r="AD28">
        <v>0</v>
      </c>
      <c r="AE28">
        <v>30</v>
      </c>
      <c r="AF28">
        <v>1</v>
      </c>
    </row>
    <row r="29" spans="1:32" x14ac:dyDescent="0.3">
      <c r="A29" t="s">
        <v>68</v>
      </c>
      <c r="B29">
        <v>55</v>
      </c>
      <c r="C29">
        <v>7.7994428969359306E-2</v>
      </c>
      <c r="D29">
        <v>0.33658310120705698</v>
      </c>
      <c r="E29">
        <v>0</v>
      </c>
      <c r="F29">
        <v>0</v>
      </c>
      <c r="G29">
        <v>1</v>
      </c>
      <c r="H29">
        <v>0</v>
      </c>
      <c r="I29">
        <v>0</v>
      </c>
      <c r="J29">
        <v>1</v>
      </c>
      <c r="K29">
        <v>0</v>
      </c>
      <c r="L29">
        <v>0</v>
      </c>
      <c r="M29">
        <v>9.8000000000000004E-2</v>
      </c>
      <c r="N29">
        <v>4.5499999999999999E-2</v>
      </c>
      <c r="O29">
        <v>42</v>
      </c>
      <c r="P29">
        <v>38</v>
      </c>
      <c r="Q29">
        <v>22</v>
      </c>
      <c r="R29">
        <v>23</v>
      </c>
      <c r="S29">
        <v>1.5091467092427799</v>
      </c>
      <c r="T29">
        <v>1.22940946737196</v>
      </c>
      <c r="U29">
        <v>0.51257459234663305</v>
      </c>
      <c r="V29">
        <v>0.61996922475604899</v>
      </c>
      <c r="W29">
        <v>184.061268731111</v>
      </c>
      <c r="X29">
        <v>183.143495627861</v>
      </c>
      <c r="Y29">
        <v>180.79167517174099</v>
      </c>
      <c r="Z29">
        <v>181.14401976625999</v>
      </c>
      <c r="AA29">
        <v>1</v>
      </c>
      <c r="AB29">
        <v>0</v>
      </c>
      <c r="AC29">
        <v>0</v>
      </c>
      <c r="AD29">
        <v>0</v>
      </c>
      <c r="AE29">
        <v>24</v>
      </c>
      <c r="AF29">
        <v>1</v>
      </c>
    </row>
    <row r="30" spans="1:32" x14ac:dyDescent="0.3">
      <c r="A30" t="s">
        <v>70</v>
      </c>
      <c r="B30">
        <v>57</v>
      </c>
      <c r="C30">
        <v>6.9637883008356605E-2</v>
      </c>
      <c r="D30">
        <v>3.3426183844011102E-2</v>
      </c>
      <c r="E30">
        <v>0</v>
      </c>
      <c r="F30">
        <v>0</v>
      </c>
      <c r="G30">
        <v>1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32</v>
      </c>
      <c r="P30">
        <v>36</v>
      </c>
      <c r="Q30">
        <v>19</v>
      </c>
      <c r="R30">
        <v>26</v>
      </c>
      <c r="S30">
        <v>1.1614618249138999</v>
      </c>
      <c r="T30">
        <v>1.6926197957990801</v>
      </c>
      <c r="U30">
        <v>0.78467477577646605</v>
      </c>
      <c r="V30">
        <v>1.1341123630931</v>
      </c>
      <c r="W30">
        <v>182.92057029171201</v>
      </c>
      <c r="X30">
        <v>184.66321455314699</v>
      </c>
      <c r="Y30">
        <v>181.684392308978</v>
      </c>
      <c r="Z30">
        <v>182.83084108626301</v>
      </c>
      <c r="AA30">
        <v>1</v>
      </c>
      <c r="AB30">
        <v>0</v>
      </c>
      <c r="AC30">
        <v>0</v>
      </c>
      <c r="AD30">
        <v>0</v>
      </c>
      <c r="AE30">
        <v>27</v>
      </c>
      <c r="AF30">
        <v>1</v>
      </c>
    </row>
    <row r="31" spans="1:32" x14ac:dyDescent="0.3">
      <c r="A31" t="s">
        <v>72</v>
      </c>
      <c r="B31">
        <v>59</v>
      </c>
      <c r="C31">
        <v>0.16573816155988899</v>
      </c>
      <c r="D31">
        <v>7.6601671309192196E-2</v>
      </c>
      <c r="E31">
        <v>0</v>
      </c>
      <c r="F31">
        <v>0</v>
      </c>
      <c r="G31">
        <v>1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35</v>
      </c>
      <c r="P31">
        <v>32</v>
      </c>
      <c r="Q31">
        <v>16</v>
      </c>
      <c r="R31">
        <v>18</v>
      </c>
      <c r="S31">
        <v>1.2361564819402799</v>
      </c>
      <c r="T31">
        <v>1.07961241151261</v>
      </c>
      <c r="U31">
        <v>0.85802910466936699</v>
      </c>
      <c r="V31">
        <v>0.42664834281235697</v>
      </c>
      <c r="W31">
        <v>183.16563150242899</v>
      </c>
      <c r="X31">
        <v>182.65203547084201</v>
      </c>
      <c r="Y31">
        <v>181.925056117682</v>
      </c>
      <c r="Z31">
        <v>180.50976490424</v>
      </c>
      <c r="AA31">
        <v>1</v>
      </c>
      <c r="AB31">
        <v>0</v>
      </c>
      <c r="AC31">
        <v>0</v>
      </c>
      <c r="AD31">
        <v>0</v>
      </c>
      <c r="AE31">
        <v>29</v>
      </c>
      <c r="AF31">
        <v>1</v>
      </c>
    </row>
    <row r="32" spans="1:32" x14ac:dyDescent="0.3">
      <c r="A32" t="s">
        <v>74</v>
      </c>
      <c r="B32">
        <v>61</v>
      </c>
      <c r="C32">
        <v>0.33658310120705698</v>
      </c>
      <c r="D32">
        <v>0.24001857010213601</v>
      </c>
      <c r="E32">
        <v>0</v>
      </c>
      <c r="F32">
        <v>0</v>
      </c>
      <c r="G32">
        <v>0</v>
      </c>
      <c r="H32">
        <v>0</v>
      </c>
      <c r="I32">
        <v>1</v>
      </c>
      <c r="J32">
        <v>1</v>
      </c>
      <c r="K32">
        <v>0</v>
      </c>
      <c r="L32">
        <v>0</v>
      </c>
      <c r="M32">
        <v>1.0500000000000001E-2</v>
      </c>
      <c r="N32">
        <v>0</v>
      </c>
      <c r="O32">
        <v>31</v>
      </c>
      <c r="P32">
        <v>33</v>
      </c>
      <c r="Q32">
        <v>20</v>
      </c>
      <c r="R32">
        <v>16</v>
      </c>
      <c r="S32">
        <v>0.950149823056467</v>
      </c>
      <c r="T32">
        <v>1.1883466475600799</v>
      </c>
      <c r="U32">
        <v>0.205693010200721</v>
      </c>
      <c r="V32">
        <v>0.58203509718144897</v>
      </c>
      <c r="W32">
        <v>182.22728944572299</v>
      </c>
      <c r="X32">
        <v>183.00877509041999</v>
      </c>
      <c r="Y32">
        <v>179.78484583399199</v>
      </c>
      <c r="Z32">
        <v>181.01956396713101</v>
      </c>
      <c r="AA32">
        <v>1</v>
      </c>
      <c r="AB32">
        <v>0</v>
      </c>
      <c r="AC32">
        <v>0</v>
      </c>
      <c r="AD32">
        <v>0</v>
      </c>
      <c r="AE32">
        <v>69</v>
      </c>
      <c r="AF32">
        <v>1</v>
      </c>
    </row>
    <row r="33" spans="1:32" x14ac:dyDescent="0.3">
      <c r="A33" t="s">
        <v>76</v>
      </c>
      <c r="B33">
        <v>63</v>
      </c>
      <c r="C33">
        <v>3.3426183844011102E-2</v>
      </c>
      <c r="D33">
        <v>7.7994428969359306E-2</v>
      </c>
      <c r="E33">
        <v>0</v>
      </c>
      <c r="F33">
        <v>0</v>
      </c>
      <c r="G33">
        <v>1</v>
      </c>
      <c r="H33">
        <v>0</v>
      </c>
      <c r="I33">
        <v>0</v>
      </c>
      <c r="J33">
        <v>1</v>
      </c>
      <c r="K33">
        <v>0</v>
      </c>
      <c r="L33">
        <v>0</v>
      </c>
      <c r="M33">
        <v>9.8000000000000004E-2</v>
      </c>
      <c r="N33">
        <v>1.0500000000000001E-2</v>
      </c>
      <c r="O33">
        <v>39</v>
      </c>
      <c r="P33">
        <v>31</v>
      </c>
      <c r="Q33">
        <v>28</v>
      </c>
      <c r="R33">
        <v>26</v>
      </c>
      <c r="S33">
        <v>1.1584932227135101</v>
      </c>
      <c r="T33">
        <v>1.15011527678229</v>
      </c>
      <c r="U33">
        <v>0.45952575933836398</v>
      </c>
      <c r="V33">
        <v>0.16782103665752399</v>
      </c>
      <c r="W33">
        <v>182.91083078318101</v>
      </c>
      <c r="X33">
        <v>182.88334408393101</v>
      </c>
      <c r="Y33">
        <v>180.617630444024</v>
      </c>
      <c r="Z33">
        <v>179.660593952288</v>
      </c>
      <c r="AA33">
        <v>1</v>
      </c>
      <c r="AB33">
        <v>0</v>
      </c>
      <c r="AC33">
        <v>0</v>
      </c>
      <c r="AD33">
        <v>0</v>
      </c>
      <c r="AE33">
        <v>11</v>
      </c>
      <c r="AF33">
        <v>1</v>
      </c>
    </row>
    <row r="34" spans="1:32" x14ac:dyDescent="0.3">
      <c r="A34" t="s">
        <v>80</v>
      </c>
      <c r="B34">
        <v>65</v>
      </c>
      <c r="C34">
        <v>0.24001857010213601</v>
      </c>
      <c r="D34">
        <v>0.16573816155988899</v>
      </c>
      <c r="E34">
        <v>0</v>
      </c>
      <c r="F34">
        <v>0</v>
      </c>
      <c r="G34">
        <v>1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0.59499999999999997</v>
      </c>
      <c r="O34">
        <v>38</v>
      </c>
      <c r="P34">
        <v>37</v>
      </c>
      <c r="Q34">
        <v>17</v>
      </c>
      <c r="R34">
        <v>19</v>
      </c>
      <c r="S34">
        <v>1.2566452644374</v>
      </c>
      <c r="T34">
        <v>1.31088134846274</v>
      </c>
      <c r="U34">
        <v>0.50380405916917004</v>
      </c>
      <c r="V34">
        <v>0.44471074959835399</v>
      </c>
      <c r="W34">
        <v>183.232851917446</v>
      </c>
      <c r="X34">
        <v>183.410791825665</v>
      </c>
      <c r="Y34">
        <v>180.76290045659201</v>
      </c>
      <c r="Z34">
        <v>180.569024769023</v>
      </c>
      <c r="AA34">
        <v>1</v>
      </c>
      <c r="AB34">
        <v>0</v>
      </c>
      <c r="AC34">
        <v>0</v>
      </c>
      <c r="AD34">
        <v>0</v>
      </c>
      <c r="AE34">
        <v>49</v>
      </c>
      <c r="AF34">
        <v>1</v>
      </c>
    </row>
    <row r="35" spans="1:32" x14ac:dyDescent="0.3">
      <c r="A35" t="s">
        <v>82</v>
      </c>
      <c r="B35">
        <v>67</v>
      </c>
      <c r="C35">
        <v>7.7994428969359306E-2</v>
      </c>
      <c r="D35">
        <v>0.33658310120705698</v>
      </c>
      <c r="E35">
        <v>0</v>
      </c>
      <c r="F35">
        <v>0</v>
      </c>
      <c r="G35">
        <v>1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1.0500000000000001E-2</v>
      </c>
      <c r="O35">
        <v>36</v>
      </c>
      <c r="P35">
        <v>37</v>
      </c>
      <c r="Q35">
        <v>25</v>
      </c>
      <c r="R35">
        <v>14</v>
      </c>
      <c r="S35">
        <v>1.22505944147361</v>
      </c>
      <c r="T35">
        <v>1.0784028073298899</v>
      </c>
      <c r="U35">
        <v>0.48494930261406699</v>
      </c>
      <c r="V35">
        <v>0.50399684368987696</v>
      </c>
      <c r="W35">
        <v>183.12922388934899</v>
      </c>
      <c r="X35">
        <v>182.648066953182</v>
      </c>
      <c r="Y35">
        <v>180.70104101907501</v>
      </c>
      <c r="Z35">
        <v>180.763532951738</v>
      </c>
      <c r="AA35">
        <v>1</v>
      </c>
      <c r="AB35">
        <v>0</v>
      </c>
      <c r="AC35">
        <v>0</v>
      </c>
      <c r="AD35">
        <v>0</v>
      </c>
      <c r="AE35">
        <v>15</v>
      </c>
      <c r="AF35">
        <v>1</v>
      </c>
    </row>
    <row r="36" spans="1:32" x14ac:dyDescent="0.3">
      <c r="A36" t="s">
        <v>0</v>
      </c>
      <c r="B36">
        <v>69</v>
      </c>
      <c r="C36">
        <v>6.9637883008356605E-2</v>
      </c>
      <c r="D36">
        <v>3.3426183844011102E-2</v>
      </c>
      <c r="E36">
        <v>0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0.80149999999999999</v>
      </c>
      <c r="N36">
        <v>0</v>
      </c>
      <c r="O36">
        <v>34</v>
      </c>
      <c r="P36">
        <v>33</v>
      </c>
      <c r="Q36">
        <v>27</v>
      </c>
      <c r="R36">
        <v>31</v>
      </c>
      <c r="S36">
        <v>1.0534105923769499</v>
      </c>
      <c r="T36">
        <v>0.68029944636780904</v>
      </c>
      <c r="U36">
        <v>0.194150866314974</v>
      </c>
      <c r="V36">
        <v>0.63091678314781596</v>
      </c>
      <c r="W36">
        <v>182.56607149729999</v>
      </c>
      <c r="X36">
        <v>181.341953564199</v>
      </c>
      <c r="Y36">
        <v>179.746977907858</v>
      </c>
      <c r="Z36">
        <v>181.179936952585</v>
      </c>
      <c r="AA36">
        <v>1</v>
      </c>
      <c r="AB36">
        <v>0</v>
      </c>
      <c r="AC36">
        <v>0</v>
      </c>
      <c r="AD36">
        <v>0</v>
      </c>
      <c r="AE36">
        <v>13</v>
      </c>
      <c r="AF36">
        <v>1</v>
      </c>
    </row>
    <row r="37" spans="1:32" x14ac:dyDescent="0.3">
      <c r="A37" t="s">
        <v>85</v>
      </c>
      <c r="B37">
        <v>71</v>
      </c>
      <c r="C37">
        <v>0.16573816155988899</v>
      </c>
      <c r="D37">
        <v>7.6601671309192196E-2</v>
      </c>
      <c r="E37">
        <v>0</v>
      </c>
      <c r="F37">
        <v>0</v>
      </c>
      <c r="G37">
        <v>1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38</v>
      </c>
      <c r="P37">
        <v>32</v>
      </c>
      <c r="Q37">
        <v>13</v>
      </c>
      <c r="R37">
        <v>17</v>
      </c>
      <c r="S37">
        <v>1.4970894600139699</v>
      </c>
      <c r="T37">
        <v>1.2049810345834999</v>
      </c>
      <c r="U37">
        <v>0.59491034447152202</v>
      </c>
      <c r="V37">
        <v>0.25229758133747199</v>
      </c>
      <c r="W37">
        <v>184.02171082681801</v>
      </c>
      <c r="X37">
        <v>183.06334985099599</v>
      </c>
      <c r="Y37">
        <v>181.06180559209801</v>
      </c>
      <c r="Z37">
        <v>179.937747970267</v>
      </c>
      <c r="AA37">
        <v>1</v>
      </c>
      <c r="AB37">
        <v>0</v>
      </c>
      <c r="AC37">
        <v>0</v>
      </c>
      <c r="AD37">
        <v>0</v>
      </c>
      <c r="AE37">
        <v>34</v>
      </c>
      <c r="AF37">
        <v>1</v>
      </c>
    </row>
    <row r="38" spans="1:32" x14ac:dyDescent="0.3">
      <c r="A38" t="s">
        <v>87</v>
      </c>
      <c r="B38">
        <v>73</v>
      </c>
      <c r="C38">
        <v>0.33658310120705698</v>
      </c>
      <c r="D38">
        <v>0.24001857010213601</v>
      </c>
      <c r="E38">
        <v>0</v>
      </c>
      <c r="F38">
        <v>0</v>
      </c>
      <c r="G38">
        <v>1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39</v>
      </c>
      <c r="P38">
        <v>40</v>
      </c>
      <c r="Q38">
        <v>15</v>
      </c>
      <c r="R38">
        <v>14</v>
      </c>
      <c r="S38">
        <v>0.88234303486902099</v>
      </c>
      <c r="T38">
        <v>0.75195174553062105</v>
      </c>
      <c r="U38">
        <v>0.18668944776740301</v>
      </c>
      <c r="V38">
        <v>0.53941180985958004</v>
      </c>
      <c r="W38">
        <v>182.004826229885</v>
      </c>
      <c r="X38">
        <v>181.577033285862</v>
      </c>
      <c r="Y38">
        <v>179.722498188213</v>
      </c>
      <c r="Z38">
        <v>180.87972378562901</v>
      </c>
      <c r="AA38">
        <v>1</v>
      </c>
      <c r="AB38">
        <v>0</v>
      </c>
      <c r="AC38">
        <v>0</v>
      </c>
      <c r="AD38">
        <v>0</v>
      </c>
      <c r="AE38">
        <v>63</v>
      </c>
      <c r="AF38">
        <v>1</v>
      </c>
    </row>
    <row r="39" spans="1:32" x14ac:dyDescent="0.3">
      <c r="A39" t="s">
        <v>125</v>
      </c>
      <c r="B39">
        <v>75</v>
      </c>
      <c r="C39">
        <v>3.3426183844011102E-2</v>
      </c>
      <c r="D39">
        <v>7.7994428969359306E-2</v>
      </c>
      <c r="E39">
        <v>0</v>
      </c>
      <c r="F39">
        <v>0</v>
      </c>
      <c r="G39">
        <v>0</v>
      </c>
      <c r="H39">
        <v>1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21</v>
      </c>
      <c r="P39">
        <v>33</v>
      </c>
      <c r="Q39">
        <v>21</v>
      </c>
      <c r="R39">
        <v>15</v>
      </c>
      <c r="S39">
        <v>0.80846811081342296</v>
      </c>
      <c r="T39">
        <v>1.2644336645562599</v>
      </c>
      <c r="U39">
        <v>0.80846811081342296</v>
      </c>
      <c r="V39">
        <v>0.46207201558118</v>
      </c>
      <c r="W39">
        <v>181.76245443180301</v>
      </c>
      <c r="X39">
        <v>183.258404411274</v>
      </c>
      <c r="Y39">
        <v>181.76245443180301</v>
      </c>
      <c r="Z39">
        <v>180.62598430308799</v>
      </c>
      <c r="AA39">
        <v>1</v>
      </c>
      <c r="AB39">
        <v>0</v>
      </c>
      <c r="AC39">
        <v>0</v>
      </c>
      <c r="AD39">
        <v>0</v>
      </c>
      <c r="AE39">
        <v>1</v>
      </c>
      <c r="AF39">
        <v>1</v>
      </c>
    </row>
    <row r="40" spans="1:32" x14ac:dyDescent="0.3">
      <c r="A40" t="s">
        <v>90</v>
      </c>
      <c r="B40">
        <v>77</v>
      </c>
      <c r="C40">
        <v>7.6601671309192196E-2</v>
      </c>
      <c r="D40">
        <v>6.9637883008356605E-2</v>
      </c>
      <c r="E40">
        <v>0</v>
      </c>
      <c r="F40">
        <v>0</v>
      </c>
      <c r="G40">
        <v>0</v>
      </c>
      <c r="H40">
        <v>1</v>
      </c>
      <c r="I40">
        <v>0</v>
      </c>
      <c r="J40">
        <v>1</v>
      </c>
      <c r="K40">
        <v>0</v>
      </c>
      <c r="L40">
        <v>0</v>
      </c>
      <c r="M40">
        <v>0</v>
      </c>
      <c r="N40">
        <v>0.92</v>
      </c>
      <c r="O40">
        <v>36</v>
      </c>
      <c r="P40">
        <v>20</v>
      </c>
      <c r="Q40">
        <v>31</v>
      </c>
      <c r="R40">
        <v>20</v>
      </c>
      <c r="S40">
        <v>1.12758440675984</v>
      </c>
      <c r="T40">
        <v>0.68723374242888302</v>
      </c>
      <c r="U40">
        <v>0.56785699155879199</v>
      </c>
      <c r="V40">
        <v>0.68723374242888302</v>
      </c>
      <c r="W40">
        <v>182.80942390669199</v>
      </c>
      <c r="X40">
        <v>181.36470387936001</v>
      </c>
      <c r="Y40">
        <v>180.973047872568</v>
      </c>
      <c r="Z40">
        <v>181.36470387936001</v>
      </c>
      <c r="AA40">
        <v>1</v>
      </c>
      <c r="AB40">
        <v>0</v>
      </c>
      <c r="AC40">
        <v>0</v>
      </c>
      <c r="AD40">
        <v>0</v>
      </c>
      <c r="AE40">
        <v>13</v>
      </c>
      <c r="AF40">
        <v>1</v>
      </c>
    </row>
    <row r="41" spans="1:32" x14ac:dyDescent="0.3">
      <c r="A41" t="s">
        <v>92</v>
      </c>
      <c r="B41">
        <v>79</v>
      </c>
      <c r="C41">
        <v>0.24001857010213601</v>
      </c>
      <c r="D41">
        <v>0.16573816155988899</v>
      </c>
      <c r="E41">
        <v>0</v>
      </c>
      <c r="F41">
        <v>0</v>
      </c>
      <c r="G41">
        <v>1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37</v>
      </c>
      <c r="P41">
        <v>36</v>
      </c>
      <c r="Q41">
        <v>19</v>
      </c>
      <c r="R41">
        <v>14</v>
      </c>
      <c r="S41">
        <v>1.1470512507720401</v>
      </c>
      <c r="T41">
        <v>1.10697647236103</v>
      </c>
      <c r="U41">
        <v>0.40351440271744998</v>
      </c>
      <c r="V41">
        <v>0.22340126868353499</v>
      </c>
      <c r="W41">
        <v>182.87329150515799</v>
      </c>
      <c r="X41">
        <v>182.74181257336301</v>
      </c>
      <c r="Y41">
        <v>180.43386615064799</v>
      </c>
      <c r="Z41">
        <v>179.84294379489401</v>
      </c>
      <c r="AA41">
        <v>1</v>
      </c>
      <c r="AB41">
        <v>0</v>
      </c>
      <c r="AC41">
        <v>0</v>
      </c>
      <c r="AD41">
        <v>0</v>
      </c>
      <c r="AE41">
        <v>40</v>
      </c>
      <c r="AF41">
        <v>1</v>
      </c>
    </row>
    <row r="42" spans="1:32" x14ac:dyDescent="0.3">
      <c r="A42" t="s">
        <v>94</v>
      </c>
      <c r="B42">
        <v>81</v>
      </c>
      <c r="C42">
        <v>7.7994428969359306E-2</v>
      </c>
      <c r="D42">
        <v>0.33658310120705698</v>
      </c>
      <c r="E42">
        <v>0</v>
      </c>
      <c r="F42">
        <v>0</v>
      </c>
      <c r="G42">
        <v>1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0.48</v>
      </c>
      <c r="O42">
        <v>42</v>
      </c>
      <c r="P42">
        <v>40</v>
      </c>
      <c r="Q42">
        <v>33</v>
      </c>
      <c r="R42">
        <v>20</v>
      </c>
      <c r="S42">
        <v>1.18171223264558</v>
      </c>
      <c r="T42">
        <v>1.1192929825406199</v>
      </c>
      <c r="U42">
        <v>0.37384817155676803</v>
      </c>
      <c r="V42">
        <v>0.250825946625852</v>
      </c>
      <c r="W42">
        <v>182.98700863728899</v>
      </c>
      <c r="X42">
        <v>182.782221071328</v>
      </c>
      <c r="Y42">
        <v>180.336535995921</v>
      </c>
      <c r="Z42">
        <v>179.932919772395</v>
      </c>
      <c r="AA42">
        <v>1</v>
      </c>
      <c r="AB42">
        <v>0</v>
      </c>
      <c r="AC42">
        <v>0</v>
      </c>
      <c r="AD42">
        <v>0</v>
      </c>
      <c r="AE42">
        <v>10</v>
      </c>
      <c r="AF42">
        <v>1</v>
      </c>
    </row>
    <row r="43" spans="1:32" x14ac:dyDescent="0.3">
      <c r="A43" t="s">
        <v>96</v>
      </c>
      <c r="B43">
        <v>83</v>
      </c>
      <c r="C43">
        <v>6.9637883008356605E-2</v>
      </c>
      <c r="D43">
        <v>3.3426183844011102E-2</v>
      </c>
      <c r="E43">
        <v>0</v>
      </c>
      <c r="F43">
        <v>0</v>
      </c>
      <c r="G43">
        <v>1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0.17</v>
      </c>
      <c r="O43">
        <v>28</v>
      </c>
      <c r="P43">
        <v>28</v>
      </c>
      <c r="Q43">
        <v>23</v>
      </c>
      <c r="R43">
        <v>28</v>
      </c>
      <c r="S43">
        <v>0.55330096755088898</v>
      </c>
      <c r="T43">
        <v>0.39163094191130099</v>
      </c>
      <c r="U43">
        <v>0.260034251418442</v>
      </c>
      <c r="V43">
        <v>0.39163094191130099</v>
      </c>
      <c r="W43">
        <v>180.92529188828999</v>
      </c>
      <c r="X43">
        <v>180.39487841834401</v>
      </c>
      <c r="Y43">
        <v>179.96313074612399</v>
      </c>
      <c r="Z43">
        <v>180.39487841834401</v>
      </c>
      <c r="AA43">
        <v>1</v>
      </c>
      <c r="AB43">
        <v>0</v>
      </c>
      <c r="AC43">
        <v>0</v>
      </c>
      <c r="AD43">
        <v>0</v>
      </c>
      <c r="AE43">
        <v>4</v>
      </c>
      <c r="AF43">
        <v>1</v>
      </c>
    </row>
    <row r="44" spans="1:32" x14ac:dyDescent="0.3">
      <c r="A44" t="s">
        <v>100</v>
      </c>
      <c r="B44">
        <v>85</v>
      </c>
      <c r="C44">
        <v>0.33658310120705698</v>
      </c>
      <c r="D44">
        <v>0.24001857010213601</v>
      </c>
      <c r="E44">
        <v>0</v>
      </c>
      <c r="F44">
        <v>0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  <c r="M44">
        <v>0</v>
      </c>
      <c r="N44">
        <v>0.65</v>
      </c>
      <c r="O44">
        <v>19</v>
      </c>
      <c r="P44">
        <v>42</v>
      </c>
      <c r="Q44">
        <v>19</v>
      </c>
      <c r="R44">
        <v>17</v>
      </c>
      <c r="S44">
        <v>0.77478499775257503</v>
      </c>
      <c r="T44">
        <v>0.63839172616115003</v>
      </c>
      <c r="U44">
        <v>0.77478499775257503</v>
      </c>
      <c r="V44">
        <v>0.190829919004078</v>
      </c>
      <c r="W44">
        <v>181.651945530684</v>
      </c>
      <c r="X44">
        <v>181.20446104383601</v>
      </c>
      <c r="Y44">
        <v>181.651945530684</v>
      </c>
      <c r="Z44">
        <v>179.736082411431</v>
      </c>
      <c r="AA44">
        <v>1</v>
      </c>
      <c r="AB44">
        <v>0</v>
      </c>
      <c r="AC44">
        <v>0</v>
      </c>
      <c r="AD44">
        <v>0</v>
      </c>
      <c r="AE44">
        <v>1</v>
      </c>
      <c r="AF44">
        <v>1</v>
      </c>
    </row>
    <row r="45" spans="1:32" x14ac:dyDescent="0.3">
      <c r="A45" t="s">
        <v>104</v>
      </c>
      <c r="B45">
        <v>87</v>
      </c>
      <c r="C45">
        <v>7.6601671309192196E-2</v>
      </c>
      <c r="D45">
        <v>6.9637883008356605E-2</v>
      </c>
      <c r="E45">
        <v>0</v>
      </c>
      <c r="F45">
        <v>0</v>
      </c>
      <c r="G45">
        <v>1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1.59</v>
      </c>
      <c r="O45">
        <v>29</v>
      </c>
      <c r="P45">
        <v>30</v>
      </c>
      <c r="Q45">
        <v>23</v>
      </c>
      <c r="R45">
        <v>30</v>
      </c>
      <c r="S45">
        <v>0.92974533506203205</v>
      </c>
      <c r="T45">
        <v>0.68473415802180104</v>
      </c>
      <c r="U45">
        <v>0.82613198219377604</v>
      </c>
      <c r="V45">
        <v>0.68473415802180104</v>
      </c>
      <c r="W45">
        <v>182.16034558747401</v>
      </c>
      <c r="X45">
        <v>181.35650314311599</v>
      </c>
      <c r="Y45">
        <v>181.82040676572799</v>
      </c>
      <c r="Z45">
        <v>181.35650314311599</v>
      </c>
      <c r="AA45">
        <v>1</v>
      </c>
      <c r="AB45">
        <v>0</v>
      </c>
      <c r="AC45">
        <v>0</v>
      </c>
      <c r="AD45">
        <v>0</v>
      </c>
      <c r="AE45">
        <v>5</v>
      </c>
      <c r="AF45">
        <v>1</v>
      </c>
    </row>
    <row r="46" spans="1:32" x14ac:dyDescent="0.3">
      <c r="A46" t="s">
        <v>9</v>
      </c>
      <c r="B46">
        <v>89</v>
      </c>
      <c r="C46">
        <v>6.2641509433962295E-2</v>
      </c>
      <c r="D46">
        <v>6.2641509433962295E-2</v>
      </c>
      <c r="E46">
        <v>0</v>
      </c>
      <c r="F46">
        <v>0</v>
      </c>
      <c r="G46">
        <v>1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22</v>
      </c>
      <c r="P46">
        <v>22</v>
      </c>
      <c r="Q46">
        <v>21</v>
      </c>
      <c r="R46">
        <v>21</v>
      </c>
      <c r="S46">
        <v>1.63786136599534</v>
      </c>
      <c r="T46">
        <v>1.63786136599534</v>
      </c>
      <c r="U46">
        <v>1.5205810785713301</v>
      </c>
      <c r="V46">
        <v>1.5205810785713301</v>
      </c>
      <c r="W46">
        <v>182.26356091205801</v>
      </c>
      <c r="X46">
        <v>182.26356091205801</v>
      </c>
      <c r="Y46">
        <v>181.87878306617901</v>
      </c>
      <c r="Z46">
        <v>181.87878306617901</v>
      </c>
      <c r="AA46">
        <v>0</v>
      </c>
      <c r="AB46">
        <v>1</v>
      </c>
      <c r="AC46">
        <v>0</v>
      </c>
      <c r="AD46">
        <v>0</v>
      </c>
      <c r="AE46">
        <v>3</v>
      </c>
      <c r="AF46">
        <v>1</v>
      </c>
    </row>
    <row r="47" spans="1:32" x14ac:dyDescent="0.3">
      <c r="A47" t="s">
        <v>11</v>
      </c>
      <c r="B47">
        <v>91</v>
      </c>
      <c r="C47">
        <v>0.25622641509434002</v>
      </c>
      <c r="D47">
        <v>0.13018867924528299</v>
      </c>
      <c r="E47">
        <v>0</v>
      </c>
      <c r="F47">
        <v>0</v>
      </c>
      <c r="G47">
        <v>1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20</v>
      </c>
      <c r="P47">
        <v>28</v>
      </c>
      <c r="Q47">
        <v>17</v>
      </c>
      <c r="R47">
        <v>13</v>
      </c>
      <c r="S47">
        <v>1.76330879713842</v>
      </c>
      <c r="T47">
        <v>2.0229406676105901</v>
      </c>
      <c r="U47">
        <v>1.4960001361144599</v>
      </c>
      <c r="V47">
        <v>1.1869011379277301</v>
      </c>
      <c r="W47">
        <v>182.675133848879</v>
      </c>
      <c r="X47">
        <v>183.52694444754101</v>
      </c>
      <c r="Y47">
        <v>181.79813692950901</v>
      </c>
      <c r="Z47">
        <v>180.78403260475</v>
      </c>
      <c r="AA47">
        <v>0</v>
      </c>
      <c r="AB47">
        <v>1</v>
      </c>
      <c r="AC47">
        <v>0</v>
      </c>
      <c r="AD47">
        <v>0</v>
      </c>
      <c r="AE47">
        <v>7</v>
      </c>
      <c r="AF47">
        <v>1</v>
      </c>
    </row>
    <row r="48" spans="1:32" x14ac:dyDescent="0.3">
      <c r="A48" t="s">
        <v>13</v>
      </c>
      <c r="B48">
        <v>93</v>
      </c>
      <c r="C48">
        <v>8.9433962264150901E-2</v>
      </c>
      <c r="D48">
        <v>0.36603773584905702</v>
      </c>
      <c r="E48">
        <v>1</v>
      </c>
      <c r="F48">
        <v>0</v>
      </c>
      <c r="G48">
        <v>1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28</v>
      </c>
      <c r="P48">
        <v>32</v>
      </c>
      <c r="Q48">
        <v>17</v>
      </c>
      <c r="R48">
        <v>17</v>
      </c>
      <c r="S48">
        <v>1.6920981883636499</v>
      </c>
      <c r="T48">
        <v>1.40950891209219</v>
      </c>
      <c r="U48">
        <v>1.5676582585841901</v>
      </c>
      <c r="V48">
        <v>0.86441035012684198</v>
      </c>
      <c r="W48">
        <v>182.441503242663</v>
      </c>
      <c r="X48">
        <v>181.51437307116899</v>
      </c>
      <c r="Y48">
        <v>182.03323575651001</v>
      </c>
      <c r="Z48">
        <v>179.72599196235799</v>
      </c>
      <c r="AA48">
        <v>0</v>
      </c>
      <c r="AB48">
        <v>1</v>
      </c>
      <c r="AC48">
        <v>0</v>
      </c>
      <c r="AD48">
        <v>0</v>
      </c>
      <c r="AE48">
        <v>26</v>
      </c>
      <c r="AF48">
        <v>1</v>
      </c>
    </row>
    <row r="49" spans="1:32" x14ac:dyDescent="0.3">
      <c r="A49" t="s">
        <v>15</v>
      </c>
      <c r="B49">
        <v>95</v>
      </c>
      <c r="C49">
        <v>5.7735849056603797E-2</v>
      </c>
      <c r="D49">
        <v>3.77358490566038E-2</v>
      </c>
      <c r="E49">
        <v>0</v>
      </c>
      <c r="F49">
        <v>0</v>
      </c>
      <c r="G49">
        <v>1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34</v>
      </c>
      <c r="P49">
        <v>31</v>
      </c>
      <c r="Q49">
        <v>20</v>
      </c>
      <c r="R49">
        <v>22</v>
      </c>
      <c r="S49">
        <v>1.63501635663776</v>
      </c>
      <c r="T49">
        <v>1.83051907948268</v>
      </c>
      <c r="U49">
        <v>0.90689656342082403</v>
      </c>
      <c r="V49">
        <v>1.2789973637952601</v>
      </c>
      <c r="W49">
        <v>182.25422689185601</v>
      </c>
      <c r="X49">
        <v>182.89564002454901</v>
      </c>
      <c r="Y49">
        <v>179.86538242592101</v>
      </c>
      <c r="Z49">
        <v>181.08618557675601</v>
      </c>
      <c r="AA49">
        <v>0</v>
      </c>
      <c r="AB49">
        <v>1</v>
      </c>
      <c r="AC49">
        <v>0</v>
      </c>
      <c r="AD49">
        <v>0</v>
      </c>
      <c r="AE49">
        <v>3</v>
      </c>
      <c r="AF49">
        <v>1</v>
      </c>
    </row>
    <row r="50" spans="1:32" x14ac:dyDescent="0.3">
      <c r="A50" t="s">
        <v>17</v>
      </c>
      <c r="B50">
        <v>97</v>
      </c>
      <c r="C50">
        <v>0.13018867924528299</v>
      </c>
      <c r="D50">
        <v>6.2641509433962295E-2</v>
      </c>
      <c r="E50">
        <v>0</v>
      </c>
      <c r="F50">
        <v>0</v>
      </c>
      <c r="G50">
        <v>1</v>
      </c>
      <c r="H50">
        <v>0</v>
      </c>
      <c r="I50">
        <v>0</v>
      </c>
      <c r="J50">
        <v>1</v>
      </c>
      <c r="K50">
        <v>0</v>
      </c>
      <c r="L50">
        <v>0</v>
      </c>
      <c r="M50">
        <v>9.8000000000000004E-2</v>
      </c>
      <c r="N50">
        <v>0.34649999999999997</v>
      </c>
      <c r="O50">
        <v>34</v>
      </c>
      <c r="P50">
        <v>30</v>
      </c>
      <c r="Q50">
        <v>26</v>
      </c>
      <c r="R50">
        <v>20</v>
      </c>
      <c r="S50">
        <v>2.1927423582532901</v>
      </c>
      <c r="T50">
        <v>1.49992622090348</v>
      </c>
      <c r="U50">
        <v>1.1875471765321499</v>
      </c>
      <c r="V50">
        <v>0.74936375087622897</v>
      </c>
      <c r="W50">
        <v>184.084036608443</v>
      </c>
      <c r="X50">
        <v>181.81101778511601</v>
      </c>
      <c r="Y50">
        <v>180.78615215397701</v>
      </c>
      <c r="Z50">
        <v>179.348542489751</v>
      </c>
      <c r="AA50">
        <v>0</v>
      </c>
      <c r="AB50">
        <v>1</v>
      </c>
      <c r="AC50">
        <v>0</v>
      </c>
      <c r="AD50">
        <v>0</v>
      </c>
      <c r="AE50">
        <v>24</v>
      </c>
      <c r="AF50">
        <v>1</v>
      </c>
    </row>
    <row r="51" spans="1:32" x14ac:dyDescent="0.3">
      <c r="A51" t="s">
        <v>19</v>
      </c>
      <c r="B51">
        <v>99</v>
      </c>
      <c r="C51">
        <v>0.36603773584905702</v>
      </c>
      <c r="D51">
        <v>0.25622641509434002</v>
      </c>
      <c r="E51">
        <v>0</v>
      </c>
      <c r="F51">
        <v>0</v>
      </c>
      <c r="G51">
        <v>0</v>
      </c>
      <c r="H51">
        <v>1</v>
      </c>
      <c r="I51">
        <v>0</v>
      </c>
      <c r="J51">
        <v>1</v>
      </c>
      <c r="K51">
        <v>0</v>
      </c>
      <c r="L51">
        <v>0</v>
      </c>
      <c r="M51">
        <v>1.0500000000000001E-2</v>
      </c>
      <c r="N51">
        <v>0</v>
      </c>
      <c r="O51">
        <v>22</v>
      </c>
      <c r="P51">
        <v>33</v>
      </c>
      <c r="Q51">
        <v>20</v>
      </c>
      <c r="R51">
        <v>27</v>
      </c>
      <c r="S51">
        <v>1.28679438537877</v>
      </c>
      <c r="T51">
        <v>1.9758400635881701</v>
      </c>
      <c r="U51">
        <v>1.1104763372870401</v>
      </c>
      <c r="V51">
        <v>1.03896168350689</v>
      </c>
      <c r="W51">
        <v>181.11176635622999</v>
      </c>
      <c r="X51">
        <v>183.372414906785</v>
      </c>
      <c r="Y51">
        <v>180.533295069839</v>
      </c>
      <c r="Z51">
        <v>180.29866694063901</v>
      </c>
      <c r="AA51">
        <v>0</v>
      </c>
      <c r="AB51">
        <v>1</v>
      </c>
      <c r="AC51">
        <v>0</v>
      </c>
      <c r="AD51">
        <v>0</v>
      </c>
      <c r="AE51">
        <v>6</v>
      </c>
      <c r="AF51">
        <v>1</v>
      </c>
    </row>
    <row r="52" spans="1:32" x14ac:dyDescent="0.3">
      <c r="A52" t="s">
        <v>23</v>
      </c>
      <c r="B52">
        <v>101</v>
      </c>
      <c r="C52">
        <v>6.2641509433962295E-2</v>
      </c>
      <c r="D52">
        <v>5.7735849056603797E-2</v>
      </c>
      <c r="E52">
        <v>0</v>
      </c>
      <c r="F52">
        <v>0</v>
      </c>
      <c r="G52">
        <v>1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1.7500000000000002E-2</v>
      </c>
      <c r="O52">
        <v>17</v>
      </c>
      <c r="P52">
        <v>20</v>
      </c>
      <c r="Q52">
        <v>14</v>
      </c>
      <c r="R52">
        <v>20</v>
      </c>
      <c r="S52">
        <v>2.1699088456459901</v>
      </c>
      <c r="T52">
        <v>2.1996296697798399</v>
      </c>
      <c r="U52">
        <v>1.64197782043137</v>
      </c>
      <c r="V52">
        <v>2.1996296697798399</v>
      </c>
      <c r="W52">
        <v>184.009123509337</v>
      </c>
      <c r="X52">
        <v>184.10663277486799</v>
      </c>
      <c r="Y52">
        <v>182.27706633999799</v>
      </c>
      <c r="Z52">
        <v>184.10663277486799</v>
      </c>
      <c r="AA52">
        <v>0</v>
      </c>
      <c r="AB52">
        <v>1</v>
      </c>
      <c r="AC52">
        <v>0</v>
      </c>
      <c r="AD52">
        <v>0</v>
      </c>
      <c r="AE52">
        <v>4</v>
      </c>
      <c r="AF52">
        <v>1</v>
      </c>
    </row>
    <row r="53" spans="1:32" x14ac:dyDescent="0.3">
      <c r="A53" t="s">
        <v>25</v>
      </c>
      <c r="B53">
        <v>103</v>
      </c>
      <c r="C53">
        <v>0.25622641509434002</v>
      </c>
      <c r="D53">
        <v>0.13018867924528299</v>
      </c>
      <c r="E53">
        <v>0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24</v>
      </c>
      <c r="P53">
        <v>29</v>
      </c>
      <c r="Q53">
        <v>20</v>
      </c>
      <c r="R53">
        <v>20</v>
      </c>
      <c r="S53">
        <v>2.1409831883019401</v>
      </c>
      <c r="T53">
        <v>2.0561518460220198</v>
      </c>
      <c r="U53">
        <v>1.5721835434596101</v>
      </c>
      <c r="V53">
        <v>1.8075341182167199</v>
      </c>
      <c r="W53">
        <v>183.914223058733</v>
      </c>
      <c r="X53">
        <v>183.635905006634</v>
      </c>
      <c r="Y53">
        <v>182.04808249166501</v>
      </c>
      <c r="Z53">
        <v>182.82023004664299</v>
      </c>
      <c r="AA53">
        <v>0</v>
      </c>
      <c r="AB53">
        <v>1</v>
      </c>
      <c r="AC53">
        <v>0</v>
      </c>
      <c r="AD53">
        <v>0</v>
      </c>
      <c r="AE53">
        <v>16</v>
      </c>
      <c r="AF53">
        <v>1</v>
      </c>
    </row>
    <row r="54" spans="1:32" x14ac:dyDescent="0.3">
      <c r="A54" t="s">
        <v>29</v>
      </c>
      <c r="B54">
        <v>105</v>
      </c>
      <c r="C54">
        <v>5.7735849056603797E-2</v>
      </c>
      <c r="D54">
        <v>3.77358490566038E-2</v>
      </c>
      <c r="E54">
        <v>0</v>
      </c>
      <c r="F54">
        <v>0</v>
      </c>
      <c r="G54">
        <v>1</v>
      </c>
      <c r="H54">
        <v>0</v>
      </c>
      <c r="I54">
        <v>0</v>
      </c>
      <c r="J54">
        <v>1</v>
      </c>
      <c r="K54">
        <v>0</v>
      </c>
      <c r="L54">
        <v>0</v>
      </c>
      <c r="M54">
        <v>0.11550000000000001</v>
      </c>
      <c r="N54">
        <v>0.434</v>
      </c>
      <c r="O54">
        <v>32</v>
      </c>
      <c r="P54">
        <v>25</v>
      </c>
      <c r="Q54">
        <v>24</v>
      </c>
      <c r="R54">
        <v>21</v>
      </c>
      <c r="S54">
        <v>1.8973252758446699</v>
      </c>
      <c r="T54">
        <v>1.6618779358142499</v>
      </c>
      <c r="U54">
        <v>1.3172146601415</v>
      </c>
      <c r="V54">
        <v>1.21069085678098</v>
      </c>
      <c r="W54">
        <v>183.114820458808</v>
      </c>
      <c r="X54">
        <v>182.34235543246101</v>
      </c>
      <c r="Y54">
        <v>181.21157040728801</v>
      </c>
      <c r="Z54">
        <v>180.86208286345499</v>
      </c>
      <c r="AA54">
        <v>0</v>
      </c>
      <c r="AB54">
        <v>1</v>
      </c>
      <c r="AC54">
        <v>0</v>
      </c>
      <c r="AD54">
        <v>0</v>
      </c>
      <c r="AE54">
        <v>12</v>
      </c>
      <c r="AF54">
        <v>1</v>
      </c>
    </row>
    <row r="55" spans="1:32" x14ac:dyDescent="0.3">
      <c r="A55" t="s">
        <v>31</v>
      </c>
      <c r="B55">
        <v>107</v>
      </c>
      <c r="C55">
        <v>0.13018867924528299</v>
      </c>
      <c r="D55">
        <v>6.2641509433962295E-2</v>
      </c>
      <c r="E55">
        <v>0</v>
      </c>
      <c r="F55">
        <v>0</v>
      </c>
      <c r="G55">
        <v>1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0</v>
      </c>
      <c r="O55">
        <v>32</v>
      </c>
      <c r="P55">
        <v>34</v>
      </c>
      <c r="Q55">
        <v>22</v>
      </c>
      <c r="R55">
        <v>25</v>
      </c>
      <c r="S55">
        <v>2.1678142544521699</v>
      </c>
      <c r="T55">
        <v>2.3362704126913099</v>
      </c>
      <c r="U55">
        <v>1.6138895308846599</v>
      </c>
      <c r="V55">
        <v>1.99398859156636</v>
      </c>
      <c r="W55">
        <v>184.002251490985</v>
      </c>
      <c r="X55">
        <v>184.554929175496</v>
      </c>
      <c r="Y55">
        <v>182.18491315906999</v>
      </c>
      <c r="Z55">
        <v>183.431957321412</v>
      </c>
      <c r="AA55">
        <v>0</v>
      </c>
      <c r="AB55">
        <v>1</v>
      </c>
      <c r="AC55">
        <v>0</v>
      </c>
      <c r="AD55">
        <v>0</v>
      </c>
      <c r="AE55">
        <v>17</v>
      </c>
      <c r="AF55">
        <v>1</v>
      </c>
    </row>
    <row r="56" spans="1:32" x14ac:dyDescent="0.3">
      <c r="A56" t="s">
        <v>33</v>
      </c>
      <c r="B56">
        <v>109</v>
      </c>
      <c r="C56">
        <v>0.36603773584905702</v>
      </c>
      <c r="D56">
        <v>0.25622641509434002</v>
      </c>
      <c r="E56">
        <v>0</v>
      </c>
      <c r="F56">
        <v>0</v>
      </c>
      <c r="G56">
        <v>1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0.27650000000000002</v>
      </c>
      <c r="O56">
        <v>33</v>
      </c>
      <c r="P56">
        <v>29</v>
      </c>
      <c r="Q56">
        <v>15</v>
      </c>
      <c r="R56">
        <v>20</v>
      </c>
      <c r="S56">
        <v>2.4015777345890901</v>
      </c>
      <c r="T56">
        <v>1.87717863666728</v>
      </c>
      <c r="U56">
        <v>1.4965404327487899</v>
      </c>
      <c r="V56">
        <v>1.70336886535428</v>
      </c>
      <c r="W56">
        <v>184.769192042615</v>
      </c>
      <c r="X56">
        <v>183.04872256124401</v>
      </c>
      <c r="Y56">
        <v>181.79990955626201</v>
      </c>
      <c r="Z56">
        <v>182.478480529378</v>
      </c>
      <c r="AA56">
        <v>0</v>
      </c>
      <c r="AB56">
        <v>1</v>
      </c>
      <c r="AC56">
        <v>0</v>
      </c>
      <c r="AD56">
        <v>0</v>
      </c>
      <c r="AE56">
        <v>98</v>
      </c>
      <c r="AF56">
        <v>1</v>
      </c>
    </row>
    <row r="57" spans="1:32" x14ac:dyDescent="0.3">
      <c r="A57" t="s">
        <v>36</v>
      </c>
      <c r="B57">
        <v>111</v>
      </c>
      <c r="C57">
        <v>6.2641509433962295E-2</v>
      </c>
      <c r="D57">
        <v>5.7735849056603797E-2</v>
      </c>
      <c r="E57">
        <v>0</v>
      </c>
      <c r="F57">
        <v>0</v>
      </c>
      <c r="G57">
        <v>1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28</v>
      </c>
      <c r="P57">
        <v>26</v>
      </c>
      <c r="Q57">
        <v>18</v>
      </c>
      <c r="R57">
        <v>22</v>
      </c>
      <c r="S57">
        <v>1.6593247799001201</v>
      </c>
      <c r="T57">
        <v>1.7032634966617699</v>
      </c>
      <c r="U57">
        <v>1.2857876050553501</v>
      </c>
      <c r="V57">
        <v>1.41275304501677</v>
      </c>
      <c r="W57">
        <v>182.33397893668001</v>
      </c>
      <c r="X57">
        <v>182.47813483156699</v>
      </c>
      <c r="Y57">
        <v>181.10846327117901</v>
      </c>
      <c r="Z57">
        <v>181.52501655189201</v>
      </c>
      <c r="AA57">
        <v>0</v>
      </c>
      <c r="AB57">
        <v>1</v>
      </c>
      <c r="AC57">
        <v>0</v>
      </c>
      <c r="AD57">
        <v>0</v>
      </c>
      <c r="AE57">
        <v>6</v>
      </c>
      <c r="AF57">
        <v>1</v>
      </c>
    </row>
    <row r="58" spans="1:32" x14ac:dyDescent="0.3">
      <c r="A58" t="s">
        <v>38</v>
      </c>
      <c r="B58">
        <v>113</v>
      </c>
      <c r="C58">
        <v>0.25622641509434002</v>
      </c>
      <c r="D58">
        <v>0.13018867924528299</v>
      </c>
      <c r="E58">
        <v>0</v>
      </c>
      <c r="F58">
        <v>0</v>
      </c>
      <c r="G58">
        <v>0</v>
      </c>
      <c r="H58">
        <v>0</v>
      </c>
      <c r="I58">
        <v>1</v>
      </c>
      <c r="J58">
        <v>1</v>
      </c>
      <c r="K58">
        <v>0</v>
      </c>
      <c r="L58">
        <v>0</v>
      </c>
      <c r="M58">
        <v>0</v>
      </c>
      <c r="N58">
        <v>0</v>
      </c>
      <c r="O58">
        <v>30</v>
      </c>
      <c r="P58">
        <v>29</v>
      </c>
      <c r="Q58">
        <v>20</v>
      </c>
      <c r="R58">
        <v>19</v>
      </c>
      <c r="S58">
        <v>1.5761663916289399</v>
      </c>
      <c r="T58">
        <v>2.0065873901789701</v>
      </c>
      <c r="U58">
        <v>1.12588809019432</v>
      </c>
      <c r="V58">
        <v>1.49002709791621</v>
      </c>
      <c r="W58">
        <v>182.061149578835</v>
      </c>
      <c r="X58">
        <v>183.473291962529</v>
      </c>
      <c r="Y58">
        <v>180.58385856363</v>
      </c>
      <c r="Z58">
        <v>181.77854034749399</v>
      </c>
      <c r="AA58">
        <v>0</v>
      </c>
      <c r="AB58">
        <v>1</v>
      </c>
      <c r="AC58">
        <v>0</v>
      </c>
      <c r="AD58">
        <v>0</v>
      </c>
      <c r="AE58">
        <v>39</v>
      </c>
      <c r="AF58">
        <v>1</v>
      </c>
    </row>
    <row r="59" spans="1:32" x14ac:dyDescent="0.3">
      <c r="A59" t="s">
        <v>40</v>
      </c>
      <c r="B59">
        <v>115</v>
      </c>
      <c r="C59">
        <v>8.9433962264150901E-2</v>
      </c>
      <c r="D59">
        <v>0.36603773584905702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1</v>
      </c>
      <c r="L59">
        <v>0</v>
      </c>
      <c r="M59">
        <v>0.49</v>
      </c>
      <c r="N59">
        <v>0.44450000000000001</v>
      </c>
      <c r="O59">
        <v>34</v>
      </c>
      <c r="P59">
        <v>27</v>
      </c>
      <c r="Q59">
        <v>29</v>
      </c>
      <c r="R59">
        <v>23</v>
      </c>
      <c r="S59">
        <v>2.2309748361718098</v>
      </c>
      <c r="T59">
        <v>2.0654862406037502</v>
      </c>
      <c r="U59">
        <v>1.5422706910222601</v>
      </c>
      <c r="V59">
        <v>1.68651381973003</v>
      </c>
      <c r="W59">
        <v>184.20947124728301</v>
      </c>
      <c r="X59">
        <v>183.66652966077299</v>
      </c>
      <c r="Y59">
        <v>181.949943212015</v>
      </c>
      <c r="Z59">
        <v>182.42318182326099</v>
      </c>
      <c r="AA59">
        <v>0</v>
      </c>
      <c r="AB59">
        <v>1</v>
      </c>
      <c r="AC59">
        <v>0</v>
      </c>
      <c r="AD59">
        <v>0</v>
      </c>
      <c r="AE59">
        <v>12</v>
      </c>
      <c r="AF59">
        <v>1</v>
      </c>
    </row>
    <row r="60" spans="1:32" x14ac:dyDescent="0.3">
      <c r="A60" t="s">
        <v>44</v>
      </c>
      <c r="B60">
        <v>117</v>
      </c>
      <c r="C60">
        <v>0.13018867924528299</v>
      </c>
      <c r="D60">
        <v>6.2641509433962295E-2</v>
      </c>
      <c r="E60">
        <v>0</v>
      </c>
      <c r="F60">
        <v>0</v>
      </c>
      <c r="G60">
        <v>0</v>
      </c>
      <c r="H60">
        <v>1</v>
      </c>
      <c r="I60">
        <v>0</v>
      </c>
      <c r="J60">
        <v>1</v>
      </c>
      <c r="K60">
        <v>0</v>
      </c>
      <c r="L60">
        <v>0</v>
      </c>
      <c r="M60">
        <v>3.5000000000000003E-2</v>
      </c>
      <c r="N60">
        <v>0</v>
      </c>
      <c r="O60">
        <v>27</v>
      </c>
      <c r="P60">
        <v>34</v>
      </c>
      <c r="Q60">
        <v>21</v>
      </c>
      <c r="R60">
        <v>22</v>
      </c>
      <c r="S60">
        <v>2.4399421136514601</v>
      </c>
      <c r="T60">
        <v>2.4697822792206998</v>
      </c>
      <c r="U60">
        <v>2.0424757477706601</v>
      </c>
      <c r="V60">
        <v>2.2950728559031801</v>
      </c>
      <c r="W60">
        <v>184.89505942798999</v>
      </c>
      <c r="X60">
        <v>184.99296023366401</v>
      </c>
      <c r="Y60">
        <v>183.591035917883</v>
      </c>
      <c r="Z60">
        <v>184.41976658760899</v>
      </c>
      <c r="AA60">
        <v>0</v>
      </c>
      <c r="AB60">
        <v>1</v>
      </c>
      <c r="AC60">
        <v>0</v>
      </c>
      <c r="AD60">
        <v>0</v>
      </c>
      <c r="AE60">
        <v>21</v>
      </c>
      <c r="AF60">
        <v>1</v>
      </c>
    </row>
    <row r="61" spans="1:32" x14ac:dyDescent="0.3">
      <c r="A61" t="s">
        <v>46</v>
      </c>
      <c r="B61">
        <v>119</v>
      </c>
      <c r="C61">
        <v>0.36603773584905702</v>
      </c>
      <c r="D61">
        <v>0.25622641509434002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1</v>
      </c>
      <c r="M61">
        <v>1.351</v>
      </c>
      <c r="N61">
        <v>0</v>
      </c>
      <c r="O61">
        <v>16</v>
      </c>
      <c r="P61">
        <v>29</v>
      </c>
      <c r="Q61">
        <v>14</v>
      </c>
      <c r="R61">
        <v>16</v>
      </c>
      <c r="S61">
        <v>1.60148084240161</v>
      </c>
      <c r="T61">
        <v>1.53116434764258</v>
      </c>
      <c r="U61">
        <v>1.25635487279335</v>
      </c>
      <c r="V61">
        <v>1.3688718886826401</v>
      </c>
      <c r="W61">
        <v>182.14420223885</v>
      </c>
      <c r="X61">
        <v>181.913505077568</v>
      </c>
      <c r="Y61">
        <v>181.011899188955</v>
      </c>
      <c r="Z61">
        <v>181.38104950355199</v>
      </c>
      <c r="AA61">
        <v>0</v>
      </c>
      <c r="AB61">
        <v>1</v>
      </c>
      <c r="AC61">
        <v>0</v>
      </c>
      <c r="AD61">
        <v>0</v>
      </c>
      <c r="AE61">
        <v>14</v>
      </c>
      <c r="AF61">
        <v>1</v>
      </c>
    </row>
    <row r="62" spans="1:32" x14ac:dyDescent="0.3">
      <c r="A62" t="s">
        <v>48</v>
      </c>
      <c r="B62">
        <v>121</v>
      </c>
      <c r="C62">
        <v>3.77358490566038E-2</v>
      </c>
      <c r="D62">
        <v>8.9433962264150901E-2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1</v>
      </c>
      <c r="M62">
        <v>0</v>
      </c>
      <c r="N62">
        <v>0.17849999999999999</v>
      </c>
      <c r="O62">
        <v>31</v>
      </c>
      <c r="P62">
        <v>26</v>
      </c>
      <c r="Q62">
        <v>26</v>
      </c>
      <c r="R62">
        <v>25</v>
      </c>
      <c r="S62">
        <v>2.24871576007784</v>
      </c>
      <c r="T62">
        <v>2.4198821666573598</v>
      </c>
      <c r="U62">
        <v>2.1674122806976999</v>
      </c>
      <c r="V62">
        <v>2.3838481745731102</v>
      </c>
      <c r="W62">
        <v>184.26767637820799</v>
      </c>
      <c r="X62">
        <v>184.82924595360001</v>
      </c>
      <c r="Y62">
        <v>184.000932679454</v>
      </c>
      <c r="Z62">
        <v>184.71102419479399</v>
      </c>
      <c r="AA62">
        <v>0</v>
      </c>
      <c r="AB62">
        <v>1</v>
      </c>
      <c r="AC62">
        <v>0</v>
      </c>
      <c r="AD62">
        <v>0</v>
      </c>
      <c r="AE62">
        <v>4</v>
      </c>
      <c r="AF62">
        <v>1</v>
      </c>
    </row>
    <row r="63" spans="1:32" x14ac:dyDescent="0.3">
      <c r="A63" t="s">
        <v>52</v>
      </c>
      <c r="B63">
        <v>123</v>
      </c>
      <c r="C63">
        <v>0.25622641509434002</v>
      </c>
      <c r="D63">
        <v>0.13018867924528299</v>
      </c>
      <c r="E63">
        <v>1</v>
      </c>
      <c r="F63">
        <v>0</v>
      </c>
      <c r="G63">
        <v>0</v>
      </c>
      <c r="H63">
        <v>1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22</v>
      </c>
      <c r="P63">
        <v>29</v>
      </c>
      <c r="Q63">
        <v>18</v>
      </c>
      <c r="R63">
        <v>22</v>
      </c>
      <c r="S63">
        <v>2.0928678593900298</v>
      </c>
      <c r="T63">
        <v>2.3165954046959798</v>
      </c>
      <c r="U63">
        <v>1.7330159103526499</v>
      </c>
      <c r="V63">
        <v>2.0034699206388402</v>
      </c>
      <c r="W63">
        <v>183.75636436807801</v>
      </c>
      <c r="X63">
        <v>184.49037862433099</v>
      </c>
      <c r="Y63">
        <v>182.57574773737699</v>
      </c>
      <c r="Z63">
        <v>183.463064044091</v>
      </c>
      <c r="AA63">
        <v>0</v>
      </c>
      <c r="AB63">
        <v>1</v>
      </c>
      <c r="AC63">
        <v>0</v>
      </c>
      <c r="AD63">
        <v>0</v>
      </c>
      <c r="AE63">
        <v>11</v>
      </c>
      <c r="AF63">
        <v>1</v>
      </c>
    </row>
    <row r="64" spans="1:32" x14ac:dyDescent="0.3">
      <c r="A64" t="s">
        <v>54</v>
      </c>
      <c r="B64">
        <v>125</v>
      </c>
      <c r="C64">
        <v>8.9433962264150901E-2</v>
      </c>
      <c r="D64">
        <v>0.36603773584905702</v>
      </c>
      <c r="E64">
        <v>0</v>
      </c>
      <c r="F64">
        <v>0</v>
      </c>
      <c r="G64">
        <v>1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0.13300000000000001</v>
      </c>
      <c r="O64">
        <v>35</v>
      </c>
      <c r="P64">
        <v>32</v>
      </c>
      <c r="Q64">
        <v>25</v>
      </c>
      <c r="R64">
        <v>22</v>
      </c>
      <c r="S64">
        <v>2.3921127426173801</v>
      </c>
      <c r="T64">
        <v>2.04615959853292</v>
      </c>
      <c r="U64">
        <v>1.61474781560212</v>
      </c>
      <c r="V64">
        <v>1.5841169458359501</v>
      </c>
      <c r="W64">
        <v>184.73813891934799</v>
      </c>
      <c r="X64">
        <v>183.60312204243101</v>
      </c>
      <c r="Y64">
        <v>182.187729053813</v>
      </c>
      <c r="Z64">
        <v>182.08723407426501</v>
      </c>
      <c r="AA64">
        <v>0</v>
      </c>
      <c r="AB64">
        <v>1</v>
      </c>
      <c r="AC64">
        <v>0</v>
      </c>
      <c r="AD64">
        <v>0</v>
      </c>
      <c r="AE64">
        <v>22</v>
      </c>
      <c r="AF64">
        <v>1</v>
      </c>
    </row>
    <row r="65" spans="1:32" x14ac:dyDescent="0.3">
      <c r="A65" t="s">
        <v>56</v>
      </c>
      <c r="B65">
        <v>127</v>
      </c>
      <c r="C65">
        <v>5.7735849056603797E-2</v>
      </c>
      <c r="D65">
        <v>3.77358490566038E-2</v>
      </c>
      <c r="E65">
        <v>0</v>
      </c>
      <c r="F65">
        <v>0</v>
      </c>
      <c r="G65">
        <v>0</v>
      </c>
      <c r="H65">
        <v>0</v>
      </c>
      <c r="I65">
        <v>1</v>
      </c>
      <c r="J65">
        <v>1</v>
      </c>
      <c r="K65">
        <v>0</v>
      </c>
      <c r="L65">
        <v>0</v>
      </c>
      <c r="M65">
        <v>0.85399999999999998</v>
      </c>
      <c r="N65">
        <v>0</v>
      </c>
      <c r="O65">
        <v>29</v>
      </c>
      <c r="P65">
        <v>32</v>
      </c>
      <c r="Q65">
        <v>21</v>
      </c>
      <c r="R65">
        <v>22</v>
      </c>
      <c r="S65">
        <v>1.8408368964894899</v>
      </c>
      <c r="T65">
        <v>2.0725931102855601</v>
      </c>
      <c r="U65">
        <v>1.23506407276555</v>
      </c>
      <c r="V65">
        <v>1.3859361394957199</v>
      </c>
      <c r="W65">
        <v>182.92949113021501</v>
      </c>
      <c r="X65">
        <v>183.689846162354</v>
      </c>
      <c r="Y65">
        <v>180.94204748282701</v>
      </c>
      <c r="Z65">
        <v>181.437034578398</v>
      </c>
      <c r="AA65">
        <v>0</v>
      </c>
      <c r="AB65">
        <v>1</v>
      </c>
      <c r="AC65">
        <v>0</v>
      </c>
      <c r="AD65">
        <v>0</v>
      </c>
      <c r="AE65">
        <v>4</v>
      </c>
      <c r="AF65">
        <v>1</v>
      </c>
    </row>
    <row r="66" spans="1:32" x14ac:dyDescent="0.3">
      <c r="A66" t="s">
        <v>58</v>
      </c>
      <c r="B66">
        <v>129</v>
      </c>
      <c r="C66">
        <v>0.13018867924528299</v>
      </c>
      <c r="D66">
        <v>6.2641509433962295E-2</v>
      </c>
      <c r="E66">
        <v>0</v>
      </c>
      <c r="F66">
        <v>0</v>
      </c>
      <c r="G66">
        <v>1</v>
      </c>
      <c r="H66">
        <v>0</v>
      </c>
      <c r="I66">
        <v>0</v>
      </c>
      <c r="J66">
        <v>1</v>
      </c>
      <c r="K66">
        <v>0</v>
      </c>
      <c r="L66">
        <v>0</v>
      </c>
      <c r="M66">
        <v>1.5645</v>
      </c>
      <c r="N66">
        <v>0</v>
      </c>
      <c r="O66">
        <v>30</v>
      </c>
      <c r="P66">
        <v>31</v>
      </c>
      <c r="Q66">
        <v>18</v>
      </c>
      <c r="R66">
        <v>20</v>
      </c>
      <c r="S66">
        <v>1.6603481257286801</v>
      </c>
      <c r="T66">
        <v>1.5516246145810499</v>
      </c>
      <c r="U66">
        <v>1.1961454700516101</v>
      </c>
      <c r="V66">
        <v>1.4230120162375799</v>
      </c>
      <c r="W66">
        <v>182.33733637050099</v>
      </c>
      <c r="X66">
        <v>181.980631937602</v>
      </c>
      <c r="Y66">
        <v>180.81436177838501</v>
      </c>
      <c r="Z66">
        <v>181.558674593955</v>
      </c>
      <c r="AA66">
        <v>0</v>
      </c>
      <c r="AB66">
        <v>1</v>
      </c>
      <c r="AC66">
        <v>0</v>
      </c>
      <c r="AD66">
        <v>0</v>
      </c>
      <c r="AE66">
        <v>37</v>
      </c>
      <c r="AF66">
        <v>1</v>
      </c>
    </row>
    <row r="67" spans="1:32" x14ac:dyDescent="0.3">
      <c r="A67" t="s">
        <v>60</v>
      </c>
      <c r="B67">
        <v>131</v>
      </c>
      <c r="C67">
        <v>0.36603773584905702</v>
      </c>
      <c r="D67">
        <v>0.25622641509434002</v>
      </c>
      <c r="E67">
        <v>0</v>
      </c>
      <c r="F67">
        <v>0</v>
      </c>
      <c r="G67">
        <v>1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34</v>
      </c>
      <c r="P67">
        <v>36</v>
      </c>
      <c r="Q67">
        <v>25</v>
      </c>
      <c r="R67">
        <v>17</v>
      </c>
      <c r="S67">
        <v>1.90852537682927</v>
      </c>
      <c r="T67">
        <v>1.42657703054014</v>
      </c>
      <c r="U67">
        <v>1.30968579142554</v>
      </c>
      <c r="V67">
        <v>0.76068984616123703</v>
      </c>
      <c r="W67">
        <v>183.15156619694599</v>
      </c>
      <c r="X67">
        <v>181.570370835105</v>
      </c>
      <c r="Y67">
        <v>181.186869394441</v>
      </c>
      <c r="Z67">
        <v>179.385701595017</v>
      </c>
      <c r="AA67">
        <v>0</v>
      </c>
      <c r="AB67">
        <v>1</v>
      </c>
      <c r="AC67">
        <v>0</v>
      </c>
      <c r="AD67">
        <v>0</v>
      </c>
      <c r="AE67">
        <v>93</v>
      </c>
      <c r="AF67">
        <v>1</v>
      </c>
    </row>
    <row r="68" spans="1:32" x14ac:dyDescent="0.3">
      <c r="A68" t="s">
        <v>62</v>
      </c>
      <c r="B68">
        <v>133</v>
      </c>
      <c r="C68">
        <v>3.77358490566038E-2</v>
      </c>
      <c r="D68">
        <v>8.9433962264150901E-2</v>
      </c>
      <c r="E68">
        <v>0</v>
      </c>
      <c r="F68">
        <v>0</v>
      </c>
      <c r="G68">
        <v>1</v>
      </c>
      <c r="H68">
        <v>0</v>
      </c>
      <c r="I68">
        <v>0</v>
      </c>
      <c r="J68">
        <v>1</v>
      </c>
      <c r="K68">
        <v>0</v>
      </c>
      <c r="L68">
        <v>0</v>
      </c>
      <c r="M68">
        <v>7.0000000000000007E-2</v>
      </c>
      <c r="N68">
        <v>0</v>
      </c>
      <c r="O68">
        <v>30</v>
      </c>
      <c r="P68">
        <v>36</v>
      </c>
      <c r="Q68">
        <v>30</v>
      </c>
      <c r="R68">
        <v>29</v>
      </c>
      <c r="S68">
        <v>1.68100849886475</v>
      </c>
      <c r="T68">
        <v>1.7069819973946301</v>
      </c>
      <c r="U68">
        <v>1.68100849886475</v>
      </c>
      <c r="V68">
        <v>1.2154496858302499</v>
      </c>
      <c r="W68">
        <v>182.405119746932</v>
      </c>
      <c r="X68">
        <v>182.49033463712101</v>
      </c>
      <c r="Y68">
        <v>182.405119746932</v>
      </c>
      <c r="Z68">
        <v>180.87769581965301</v>
      </c>
      <c r="AA68">
        <v>0</v>
      </c>
      <c r="AB68">
        <v>1</v>
      </c>
      <c r="AC68">
        <v>0</v>
      </c>
      <c r="AD68">
        <v>0</v>
      </c>
      <c r="AE68">
        <v>1</v>
      </c>
      <c r="AF68">
        <v>1</v>
      </c>
    </row>
    <row r="69" spans="1:32" x14ac:dyDescent="0.3">
      <c r="A69" t="s">
        <v>64</v>
      </c>
      <c r="B69">
        <v>135</v>
      </c>
      <c r="C69">
        <v>6.2641509433962295E-2</v>
      </c>
      <c r="D69">
        <v>5.7735849056603797E-2</v>
      </c>
      <c r="E69">
        <v>0</v>
      </c>
      <c r="F69">
        <v>0</v>
      </c>
      <c r="G69">
        <v>1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0.42699999999999999</v>
      </c>
      <c r="O69">
        <v>26</v>
      </c>
      <c r="P69">
        <v>28</v>
      </c>
      <c r="Q69">
        <v>20</v>
      </c>
      <c r="R69">
        <v>28</v>
      </c>
      <c r="S69">
        <v>1.29629681457192</v>
      </c>
      <c r="T69">
        <v>1.8204486836993701</v>
      </c>
      <c r="U69">
        <v>0.78728605184301004</v>
      </c>
      <c r="V69">
        <v>1.73668346073543</v>
      </c>
      <c r="W69">
        <v>181.142942305026</v>
      </c>
      <c r="X69">
        <v>182.86260066830499</v>
      </c>
      <c r="Y69">
        <v>179.47295948767399</v>
      </c>
      <c r="Z69">
        <v>182.58778038298999</v>
      </c>
      <c r="AA69">
        <v>0</v>
      </c>
      <c r="AB69">
        <v>1</v>
      </c>
      <c r="AC69">
        <v>0</v>
      </c>
      <c r="AD69">
        <v>0</v>
      </c>
      <c r="AE69">
        <v>13</v>
      </c>
      <c r="AF69">
        <v>1</v>
      </c>
    </row>
    <row r="70" spans="1:32" x14ac:dyDescent="0.3">
      <c r="A70" t="s">
        <v>66</v>
      </c>
      <c r="B70">
        <v>137</v>
      </c>
      <c r="C70">
        <v>0.25622641509434002</v>
      </c>
      <c r="D70">
        <v>0.13018867924528299</v>
      </c>
      <c r="E70">
        <v>0</v>
      </c>
      <c r="F70">
        <v>0</v>
      </c>
      <c r="G70">
        <v>1</v>
      </c>
      <c r="H70">
        <v>0</v>
      </c>
      <c r="I70">
        <v>0</v>
      </c>
      <c r="J70">
        <v>1</v>
      </c>
      <c r="K70">
        <v>0</v>
      </c>
      <c r="L70">
        <v>0</v>
      </c>
      <c r="M70">
        <v>8.0500000000000002E-2</v>
      </c>
      <c r="N70">
        <v>0</v>
      </c>
      <c r="O70">
        <v>28</v>
      </c>
      <c r="P70">
        <v>33</v>
      </c>
      <c r="Q70">
        <v>19</v>
      </c>
      <c r="R70">
        <v>19</v>
      </c>
      <c r="S70">
        <v>1.56272541251061</v>
      </c>
      <c r="T70">
        <v>1.63772443865734</v>
      </c>
      <c r="U70">
        <v>1.2267946332428801</v>
      </c>
      <c r="V70">
        <v>1.0455657299715</v>
      </c>
      <c r="W70">
        <v>182.01705187831601</v>
      </c>
      <c r="X70">
        <v>182.26311167538501</v>
      </c>
      <c r="Y70">
        <v>180.914916775731</v>
      </c>
      <c r="Z70">
        <v>180.32033375974899</v>
      </c>
      <c r="AA70">
        <v>0</v>
      </c>
      <c r="AB70">
        <v>1</v>
      </c>
      <c r="AC70">
        <v>0</v>
      </c>
      <c r="AD70">
        <v>0</v>
      </c>
      <c r="AE70">
        <v>18</v>
      </c>
      <c r="AF70">
        <v>1</v>
      </c>
    </row>
    <row r="71" spans="1:32" x14ac:dyDescent="0.3">
      <c r="A71" t="s">
        <v>68</v>
      </c>
      <c r="B71">
        <v>139</v>
      </c>
      <c r="C71">
        <v>8.9433962264150901E-2</v>
      </c>
      <c r="D71">
        <v>0.36603773584905702</v>
      </c>
      <c r="E71">
        <v>0</v>
      </c>
      <c r="F71">
        <v>0</v>
      </c>
      <c r="G71">
        <v>1</v>
      </c>
      <c r="H71">
        <v>0</v>
      </c>
      <c r="I71">
        <v>0</v>
      </c>
      <c r="J71">
        <v>1</v>
      </c>
      <c r="K71">
        <v>0</v>
      </c>
      <c r="L71">
        <v>0</v>
      </c>
      <c r="M71">
        <v>9.8000000000000004E-2</v>
      </c>
      <c r="N71">
        <v>4.5499999999999999E-2</v>
      </c>
      <c r="O71">
        <v>36</v>
      </c>
      <c r="P71">
        <v>34</v>
      </c>
      <c r="Q71">
        <v>23</v>
      </c>
      <c r="R71">
        <v>23</v>
      </c>
      <c r="S71">
        <v>2.1479445682005101</v>
      </c>
      <c r="T71">
        <v>1.8576784759824201</v>
      </c>
      <c r="U71">
        <v>1.12206144366585</v>
      </c>
      <c r="V71">
        <v>1.28508774114576</v>
      </c>
      <c r="W71">
        <v>183.937062231629</v>
      </c>
      <c r="X71">
        <v>182.98474565610999</v>
      </c>
      <c r="Y71">
        <v>180.57130394903501</v>
      </c>
      <c r="Z71">
        <v>181.106167129743</v>
      </c>
      <c r="AA71">
        <v>0</v>
      </c>
      <c r="AB71">
        <v>1</v>
      </c>
      <c r="AC71">
        <v>0</v>
      </c>
      <c r="AD71">
        <v>0</v>
      </c>
      <c r="AE71">
        <v>19</v>
      </c>
      <c r="AF71">
        <v>1</v>
      </c>
    </row>
    <row r="72" spans="1:32" x14ac:dyDescent="0.3">
      <c r="A72" t="s">
        <v>70</v>
      </c>
      <c r="B72">
        <v>141</v>
      </c>
      <c r="C72">
        <v>5.7735849056603797E-2</v>
      </c>
      <c r="D72">
        <v>3.77358490566038E-2</v>
      </c>
      <c r="E72">
        <v>0</v>
      </c>
      <c r="F72">
        <v>0</v>
      </c>
      <c r="G72">
        <v>1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0</v>
      </c>
      <c r="O72">
        <v>35</v>
      </c>
      <c r="P72">
        <v>34</v>
      </c>
      <c r="Q72">
        <v>23</v>
      </c>
      <c r="R72">
        <v>26</v>
      </c>
      <c r="S72">
        <v>1.7587244372295701</v>
      </c>
      <c r="T72">
        <v>2.2220043662086901</v>
      </c>
      <c r="U72">
        <v>1.4221883288543</v>
      </c>
      <c r="V72">
        <v>1.5506455279924301</v>
      </c>
      <c r="W72">
        <v>182.66009329799701</v>
      </c>
      <c r="X72">
        <v>184.18004057155099</v>
      </c>
      <c r="Y72">
        <v>181.55597220752699</v>
      </c>
      <c r="Z72">
        <v>181.97741971126101</v>
      </c>
      <c r="AA72">
        <v>0</v>
      </c>
      <c r="AB72">
        <v>1</v>
      </c>
      <c r="AC72">
        <v>0</v>
      </c>
      <c r="AD72">
        <v>0</v>
      </c>
      <c r="AE72">
        <v>23</v>
      </c>
      <c r="AF72">
        <v>1</v>
      </c>
    </row>
    <row r="73" spans="1:32" x14ac:dyDescent="0.3">
      <c r="A73" t="s">
        <v>72</v>
      </c>
      <c r="B73">
        <v>143</v>
      </c>
      <c r="C73">
        <v>0.13018867924528299</v>
      </c>
      <c r="D73">
        <v>6.2641509433962295E-2</v>
      </c>
      <c r="E73">
        <v>0</v>
      </c>
      <c r="F73">
        <v>0</v>
      </c>
      <c r="G73">
        <v>1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0</v>
      </c>
      <c r="O73">
        <v>31</v>
      </c>
      <c r="P73">
        <v>34</v>
      </c>
      <c r="Q73">
        <v>17</v>
      </c>
      <c r="R73">
        <v>22</v>
      </c>
      <c r="S73">
        <v>1.9095660897848401</v>
      </c>
      <c r="T73">
        <v>1.7587644858538301</v>
      </c>
      <c r="U73">
        <v>1.59039135376651</v>
      </c>
      <c r="V73">
        <v>1.10074938903555</v>
      </c>
      <c r="W73">
        <v>183.15498060953001</v>
      </c>
      <c r="X73">
        <v>182.66022469112099</v>
      </c>
      <c r="Y73">
        <v>182.10781940212101</v>
      </c>
      <c r="Z73">
        <v>180.501382509959</v>
      </c>
      <c r="AA73">
        <v>0</v>
      </c>
      <c r="AB73">
        <v>1</v>
      </c>
      <c r="AC73">
        <v>0</v>
      </c>
      <c r="AD73">
        <v>0</v>
      </c>
      <c r="AE73">
        <v>11</v>
      </c>
      <c r="AF73">
        <v>1</v>
      </c>
    </row>
    <row r="74" spans="1:32" x14ac:dyDescent="0.3">
      <c r="A74" t="s">
        <v>74</v>
      </c>
      <c r="B74">
        <v>145</v>
      </c>
      <c r="C74">
        <v>0.36603773584905702</v>
      </c>
      <c r="D74">
        <v>0.25622641509434002</v>
      </c>
      <c r="E74">
        <v>0</v>
      </c>
      <c r="F74">
        <v>0</v>
      </c>
      <c r="G74">
        <v>0</v>
      </c>
      <c r="H74">
        <v>0</v>
      </c>
      <c r="I74">
        <v>1</v>
      </c>
      <c r="J74">
        <v>1</v>
      </c>
      <c r="K74">
        <v>0</v>
      </c>
      <c r="L74">
        <v>0</v>
      </c>
      <c r="M74">
        <v>1.0500000000000001E-2</v>
      </c>
      <c r="N74">
        <v>0</v>
      </c>
      <c r="O74">
        <v>31</v>
      </c>
      <c r="P74">
        <v>34</v>
      </c>
      <c r="Q74">
        <v>20</v>
      </c>
      <c r="R74">
        <v>18</v>
      </c>
      <c r="S74">
        <v>1.69962375251503</v>
      </c>
      <c r="T74">
        <v>1.8762405967389599</v>
      </c>
      <c r="U74">
        <v>0.86009889828019204</v>
      </c>
      <c r="V74">
        <v>1.3399017136498399</v>
      </c>
      <c r="W74">
        <v>182.46619341376299</v>
      </c>
      <c r="X74">
        <v>183.04564500242401</v>
      </c>
      <c r="Y74">
        <v>179.71184677913399</v>
      </c>
      <c r="Z74">
        <v>181.28600299753899</v>
      </c>
      <c r="AA74">
        <v>0</v>
      </c>
      <c r="AB74">
        <v>1</v>
      </c>
      <c r="AC74">
        <v>0</v>
      </c>
      <c r="AD74">
        <v>0</v>
      </c>
      <c r="AE74">
        <v>42</v>
      </c>
      <c r="AF74">
        <v>1</v>
      </c>
    </row>
    <row r="75" spans="1:32" x14ac:dyDescent="0.3">
      <c r="A75" t="s">
        <v>76</v>
      </c>
      <c r="B75">
        <v>147</v>
      </c>
      <c r="C75">
        <v>3.77358490566038E-2</v>
      </c>
      <c r="D75">
        <v>8.9433962264150901E-2</v>
      </c>
      <c r="E75">
        <v>0</v>
      </c>
      <c r="F75">
        <v>0</v>
      </c>
      <c r="G75">
        <v>1</v>
      </c>
      <c r="H75">
        <v>0</v>
      </c>
      <c r="I75">
        <v>0</v>
      </c>
      <c r="J75">
        <v>1</v>
      </c>
      <c r="K75">
        <v>0</v>
      </c>
      <c r="L75">
        <v>0</v>
      </c>
      <c r="M75">
        <v>9.8000000000000004E-2</v>
      </c>
      <c r="N75">
        <v>1.0500000000000001E-2</v>
      </c>
      <c r="O75">
        <v>36</v>
      </c>
      <c r="P75">
        <v>31</v>
      </c>
      <c r="Q75">
        <v>26</v>
      </c>
      <c r="R75">
        <v>25</v>
      </c>
      <c r="S75">
        <v>1.8110574129846</v>
      </c>
      <c r="T75">
        <v>1.78609027854067</v>
      </c>
      <c r="U75">
        <v>0.91339228934695804</v>
      </c>
      <c r="V75">
        <v>0.74311960236386898</v>
      </c>
      <c r="W75">
        <v>182.831789412679</v>
      </c>
      <c r="X75">
        <v>182.74987624193099</v>
      </c>
      <c r="Y75">
        <v>179.886693862687</v>
      </c>
      <c r="Z75">
        <v>179.328056438202</v>
      </c>
      <c r="AA75">
        <v>0</v>
      </c>
      <c r="AB75">
        <v>1</v>
      </c>
      <c r="AC75">
        <v>0</v>
      </c>
      <c r="AD75">
        <v>0</v>
      </c>
      <c r="AE75">
        <v>17</v>
      </c>
      <c r="AF75">
        <v>1</v>
      </c>
    </row>
    <row r="76" spans="1:32" x14ac:dyDescent="0.3">
      <c r="A76" t="s">
        <v>78</v>
      </c>
      <c r="B76">
        <v>149</v>
      </c>
      <c r="C76">
        <v>6.2641509433962295E-2</v>
      </c>
      <c r="D76">
        <v>5.7735849056603797E-2</v>
      </c>
      <c r="E76">
        <v>0</v>
      </c>
      <c r="F76">
        <v>0</v>
      </c>
      <c r="G76">
        <v>0</v>
      </c>
      <c r="H76">
        <v>1</v>
      </c>
      <c r="I76">
        <v>0</v>
      </c>
      <c r="J76">
        <v>1</v>
      </c>
      <c r="K76">
        <v>0</v>
      </c>
      <c r="L76">
        <v>0</v>
      </c>
      <c r="M76">
        <v>0</v>
      </c>
      <c r="N76">
        <v>9.8000000000000004E-2</v>
      </c>
      <c r="O76">
        <v>37</v>
      </c>
      <c r="P76">
        <v>39</v>
      </c>
      <c r="Q76">
        <v>33</v>
      </c>
      <c r="R76">
        <v>22</v>
      </c>
      <c r="S76">
        <v>0.51874534609116996</v>
      </c>
      <c r="T76">
        <v>1.90493936818501</v>
      </c>
      <c r="U76">
        <v>0.51701459304529596</v>
      </c>
      <c r="V76">
        <v>1.0465038446369599</v>
      </c>
      <c r="W76">
        <v>178.591920426808</v>
      </c>
      <c r="X76">
        <v>183.13980107672199</v>
      </c>
      <c r="Y76">
        <v>178.586242103167</v>
      </c>
      <c r="Z76">
        <v>180.32341156377001</v>
      </c>
      <c r="AA76">
        <v>0</v>
      </c>
      <c r="AB76">
        <v>1</v>
      </c>
      <c r="AC76">
        <v>0</v>
      </c>
      <c r="AD76">
        <v>0</v>
      </c>
      <c r="AE76">
        <v>3</v>
      </c>
      <c r="AF76">
        <v>1</v>
      </c>
    </row>
    <row r="77" spans="1:32" x14ac:dyDescent="0.3">
      <c r="A77" t="s">
        <v>80</v>
      </c>
      <c r="B77">
        <v>151</v>
      </c>
      <c r="C77">
        <v>0.25622641509434002</v>
      </c>
      <c r="D77">
        <v>0.13018867924528299</v>
      </c>
      <c r="E77">
        <v>0</v>
      </c>
      <c r="F77">
        <v>0</v>
      </c>
      <c r="G77">
        <v>1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0.59499999999999997</v>
      </c>
      <c r="O77">
        <v>34</v>
      </c>
      <c r="P77">
        <v>35</v>
      </c>
      <c r="Q77">
        <v>23</v>
      </c>
      <c r="R77">
        <v>18</v>
      </c>
      <c r="S77">
        <v>1.7933164699734601</v>
      </c>
      <c r="T77">
        <v>1.90562431779238</v>
      </c>
      <c r="U77">
        <v>1.1685366887267601</v>
      </c>
      <c r="V77">
        <v>1.1219583909219599</v>
      </c>
      <c r="W77">
        <v>182.773584219073</v>
      </c>
      <c r="X77">
        <v>183.14204828672001</v>
      </c>
      <c r="Y77">
        <v>180.72378178716099</v>
      </c>
      <c r="Z77">
        <v>180.57096584948201</v>
      </c>
      <c r="AA77">
        <v>0</v>
      </c>
      <c r="AB77">
        <v>1</v>
      </c>
      <c r="AC77">
        <v>0</v>
      </c>
      <c r="AD77">
        <v>0</v>
      </c>
      <c r="AE77">
        <v>78</v>
      </c>
      <c r="AF77">
        <v>1</v>
      </c>
    </row>
    <row r="78" spans="1:32" x14ac:dyDescent="0.3">
      <c r="A78" t="s">
        <v>82</v>
      </c>
      <c r="B78">
        <v>153</v>
      </c>
      <c r="C78">
        <v>8.9433962264150901E-2</v>
      </c>
      <c r="D78">
        <v>0.36603773584905702</v>
      </c>
      <c r="E78">
        <v>0</v>
      </c>
      <c r="F78">
        <v>0</v>
      </c>
      <c r="G78">
        <v>1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1.0500000000000001E-2</v>
      </c>
      <c r="O78">
        <v>36</v>
      </c>
      <c r="P78">
        <v>34</v>
      </c>
      <c r="Q78">
        <v>31</v>
      </c>
      <c r="R78">
        <v>23</v>
      </c>
      <c r="S78">
        <v>1.4761359732946699</v>
      </c>
      <c r="T78">
        <v>1.5045641895302999</v>
      </c>
      <c r="U78">
        <v>1.1650787322243901</v>
      </c>
      <c r="V78">
        <v>1.15657945388038</v>
      </c>
      <c r="W78">
        <v>181.73296579164901</v>
      </c>
      <c r="X78">
        <v>181.826234217619</v>
      </c>
      <c r="Y78">
        <v>180.71243678551301</v>
      </c>
      <c r="Z78">
        <v>180.68455201404299</v>
      </c>
      <c r="AA78">
        <v>0</v>
      </c>
      <c r="AB78">
        <v>1</v>
      </c>
      <c r="AC78">
        <v>0</v>
      </c>
      <c r="AD78">
        <v>0</v>
      </c>
      <c r="AE78">
        <v>12</v>
      </c>
      <c r="AF78">
        <v>1</v>
      </c>
    </row>
    <row r="79" spans="1:32" x14ac:dyDescent="0.3">
      <c r="A79" t="s">
        <v>0</v>
      </c>
      <c r="B79">
        <v>155</v>
      </c>
      <c r="C79">
        <v>5.7735849056603797E-2</v>
      </c>
      <c r="D79">
        <v>3.77358490566038E-2</v>
      </c>
      <c r="E79">
        <v>0</v>
      </c>
      <c r="F79">
        <v>0</v>
      </c>
      <c r="G79">
        <v>1</v>
      </c>
      <c r="H79">
        <v>0</v>
      </c>
      <c r="I79">
        <v>0</v>
      </c>
      <c r="J79">
        <v>1</v>
      </c>
      <c r="K79">
        <v>0</v>
      </c>
      <c r="L79">
        <v>0</v>
      </c>
      <c r="M79">
        <v>0.80149999999999999</v>
      </c>
      <c r="N79">
        <v>0</v>
      </c>
      <c r="O79">
        <v>35</v>
      </c>
      <c r="P79">
        <v>34</v>
      </c>
      <c r="Q79">
        <v>23</v>
      </c>
      <c r="R79">
        <v>26</v>
      </c>
      <c r="S79">
        <v>1.7081152419663701</v>
      </c>
      <c r="T79">
        <v>1.5478192081823501</v>
      </c>
      <c r="U79">
        <v>0.78143879344273104</v>
      </c>
      <c r="V79">
        <v>1.3133328758404501</v>
      </c>
      <c r="W79">
        <v>182.494052631123</v>
      </c>
      <c r="X79">
        <v>181.96814700847199</v>
      </c>
      <c r="Y79">
        <v>179.45377556903799</v>
      </c>
      <c r="Z79">
        <v>181.19883489449001</v>
      </c>
      <c r="AA79">
        <v>0</v>
      </c>
      <c r="AB79">
        <v>1</v>
      </c>
      <c r="AC79">
        <v>0</v>
      </c>
      <c r="AD79">
        <v>0</v>
      </c>
      <c r="AE79">
        <v>8</v>
      </c>
      <c r="AF79">
        <v>1</v>
      </c>
    </row>
    <row r="80" spans="1:32" x14ac:dyDescent="0.3">
      <c r="A80" t="s">
        <v>85</v>
      </c>
      <c r="B80">
        <v>157</v>
      </c>
      <c r="C80">
        <v>0.13018867924528299</v>
      </c>
      <c r="D80">
        <v>6.2641509433962295E-2</v>
      </c>
      <c r="E80">
        <v>0</v>
      </c>
      <c r="F80">
        <v>0</v>
      </c>
      <c r="G80">
        <v>1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33</v>
      </c>
      <c r="P80">
        <v>33</v>
      </c>
      <c r="Q80">
        <v>17</v>
      </c>
      <c r="R80">
        <v>23</v>
      </c>
      <c r="S80">
        <v>2.1294482061769</v>
      </c>
      <c r="T80">
        <v>1.83550449449894</v>
      </c>
      <c r="U80">
        <v>1.3555899397734501</v>
      </c>
      <c r="V80">
        <v>0.93447577691827099</v>
      </c>
      <c r="W80">
        <v>183.87637862918899</v>
      </c>
      <c r="X80">
        <v>182.91199637302799</v>
      </c>
      <c r="Y80">
        <v>181.33747355568701</v>
      </c>
      <c r="Z80">
        <v>179.955865409837</v>
      </c>
      <c r="AA80">
        <v>0</v>
      </c>
      <c r="AB80">
        <v>1</v>
      </c>
      <c r="AC80">
        <v>0</v>
      </c>
      <c r="AD80">
        <v>0</v>
      </c>
      <c r="AE80">
        <v>14</v>
      </c>
      <c r="AF80">
        <v>1</v>
      </c>
    </row>
    <row r="81" spans="1:32" x14ac:dyDescent="0.3">
      <c r="A81" t="s">
        <v>87</v>
      </c>
      <c r="B81">
        <v>159</v>
      </c>
      <c r="C81">
        <v>0.36603773584905702</v>
      </c>
      <c r="D81">
        <v>0.25622641509434002</v>
      </c>
      <c r="E81">
        <v>0</v>
      </c>
      <c r="F81">
        <v>0</v>
      </c>
      <c r="G81">
        <v>1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32</v>
      </c>
      <c r="P81">
        <v>31</v>
      </c>
      <c r="Q81">
        <v>22</v>
      </c>
      <c r="R81">
        <v>19</v>
      </c>
      <c r="S81">
        <v>1.50617809966368</v>
      </c>
      <c r="T81">
        <v>1.4349330438911101</v>
      </c>
      <c r="U81">
        <v>0.84783024476023905</v>
      </c>
      <c r="V81">
        <v>1.2049831956910599</v>
      </c>
      <c r="W81">
        <v>181.83152919837201</v>
      </c>
      <c r="X81">
        <v>181.59778557707099</v>
      </c>
      <c r="Y81">
        <v>179.67159529120801</v>
      </c>
      <c r="Z81">
        <v>180.843356941244</v>
      </c>
      <c r="AA81">
        <v>0</v>
      </c>
      <c r="AB81">
        <v>1</v>
      </c>
      <c r="AC81">
        <v>0</v>
      </c>
      <c r="AD81">
        <v>0</v>
      </c>
      <c r="AE81">
        <v>73</v>
      </c>
      <c r="AF81">
        <v>1</v>
      </c>
    </row>
    <row r="82" spans="1:32" x14ac:dyDescent="0.3">
      <c r="A82" t="s">
        <v>90</v>
      </c>
      <c r="B82">
        <v>161</v>
      </c>
      <c r="C82">
        <v>6.2641509433962295E-2</v>
      </c>
      <c r="D82">
        <v>5.7735849056603797E-2</v>
      </c>
      <c r="E82">
        <v>0</v>
      </c>
      <c r="F82">
        <v>0</v>
      </c>
      <c r="G82">
        <v>0</v>
      </c>
      <c r="H82">
        <v>1</v>
      </c>
      <c r="I82">
        <v>0</v>
      </c>
      <c r="J82">
        <v>1</v>
      </c>
      <c r="K82">
        <v>0</v>
      </c>
      <c r="L82">
        <v>0</v>
      </c>
      <c r="M82">
        <v>0</v>
      </c>
      <c r="N82">
        <v>0.92</v>
      </c>
      <c r="O82">
        <v>35</v>
      </c>
      <c r="P82">
        <v>34</v>
      </c>
      <c r="Q82">
        <v>21</v>
      </c>
      <c r="R82">
        <v>23</v>
      </c>
      <c r="S82">
        <v>1.85612634260034</v>
      </c>
      <c r="T82">
        <v>2.17191255863484</v>
      </c>
      <c r="U82">
        <v>1.0478385137155799</v>
      </c>
      <c r="V82">
        <v>1.40758621106152</v>
      </c>
      <c r="W82">
        <v>182.97965335498799</v>
      </c>
      <c r="X82">
        <v>184.01569737084901</v>
      </c>
      <c r="Y82">
        <v>180.32779039932899</v>
      </c>
      <c r="Z82">
        <v>181.50806499692101</v>
      </c>
      <c r="AA82">
        <v>0</v>
      </c>
      <c r="AB82">
        <v>1</v>
      </c>
      <c r="AC82">
        <v>0</v>
      </c>
      <c r="AD82">
        <v>0</v>
      </c>
      <c r="AE82">
        <v>14</v>
      </c>
      <c r="AF82">
        <v>1</v>
      </c>
    </row>
    <row r="83" spans="1:32" x14ac:dyDescent="0.3">
      <c r="A83" t="s">
        <v>92</v>
      </c>
      <c r="B83">
        <v>163</v>
      </c>
      <c r="C83">
        <v>0.25622641509434002</v>
      </c>
      <c r="D83">
        <v>0.13018867924528299</v>
      </c>
      <c r="E83">
        <v>0</v>
      </c>
      <c r="F83">
        <v>0</v>
      </c>
      <c r="G83">
        <v>1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36</v>
      </c>
      <c r="P83">
        <v>36</v>
      </c>
      <c r="Q83">
        <v>22</v>
      </c>
      <c r="R83">
        <v>28</v>
      </c>
      <c r="S83">
        <v>1.7825215833769801</v>
      </c>
      <c r="T83">
        <v>1.64084259040183</v>
      </c>
      <c r="U83">
        <v>1.05732418745759</v>
      </c>
      <c r="V83">
        <v>0.88665465309990299</v>
      </c>
      <c r="W83">
        <v>182.73816792446499</v>
      </c>
      <c r="X83">
        <v>182.273341832027</v>
      </c>
      <c r="Y83">
        <v>180.35891137617301</v>
      </c>
      <c r="Z83">
        <v>179.798971958989</v>
      </c>
      <c r="AA83">
        <v>0</v>
      </c>
      <c r="AB83">
        <v>1</v>
      </c>
      <c r="AC83">
        <v>0</v>
      </c>
      <c r="AD83">
        <v>0</v>
      </c>
      <c r="AE83">
        <v>49</v>
      </c>
      <c r="AF83">
        <v>1</v>
      </c>
    </row>
    <row r="84" spans="1:32" x14ac:dyDescent="0.3">
      <c r="A84" t="s">
        <v>94</v>
      </c>
      <c r="B84">
        <v>165</v>
      </c>
      <c r="C84">
        <v>8.9433962264150901E-2</v>
      </c>
      <c r="D84">
        <v>0.36603773584905702</v>
      </c>
      <c r="E84">
        <v>0</v>
      </c>
      <c r="F84">
        <v>0</v>
      </c>
      <c r="G84">
        <v>1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0.48</v>
      </c>
      <c r="O84">
        <v>38</v>
      </c>
      <c r="P84">
        <v>38</v>
      </c>
      <c r="Q84">
        <v>24</v>
      </c>
      <c r="R84">
        <v>21</v>
      </c>
      <c r="S84">
        <v>1.8037660636489199</v>
      </c>
      <c r="T84">
        <v>1.7919532248707599</v>
      </c>
      <c r="U84">
        <v>0.91682647622638602</v>
      </c>
      <c r="V84">
        <v>0.89208227275281504</v>
      </c>
      <c r="W84">
        <v>182.80786766289</v>
      </c>
      <c r="X84">
        <v>182.76911163015299</v>
      </c>
      <c r="Y84">
        <v>179.89796088000799</v>
      </c>
      <c r="Z84">
        <v>179.816779110081</v>
      </c>
      <c r="AA84">
        <v>0</v>
      </c>
      <c r="AB84">
        <v>1</v>
      </c>
      <c r="AC84">
        <v>0</v>
      </c>
      <c r="AD84">
        <v>0</v>
      </c>
      <c r="AE84">
        <v>14</v>
      </c>
      <c r="AF84">
        <v>1</v>
      </c>
    </row>
    <row r="85" spans="1:32" x14ac:dyDescent="0.3">
      <c r="A85" t="s">
        <v>96</v>
      </c>
      <c r="B85">
        <v>167</v>
      </c>
      <c r="C85">
        <v>5.7735849056603797E-2</v>
      </c>
      <c r="D85">
        <v>3.77358490566038E-2</v>
      </c>
      <c r="E85">
        <v>0</v>
      </c>
      <c r="F85">
        <v>0</v>
      </c>
      <c r="G85">
        <v>1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0.17</v>
      </c>
      <c r="O85">
        <v>35</v>
      </c>
      <c r="P85">
        <v>37</v>
      </c>
      <c r="Q85">
        <v>22</v>
      </c>
      <c r="R85">
        <v>29</v>
      </c>
      <c r="S85">
        <v>2.0328545581945301</v>
      </c>
      <c r="T85">
        <v>1.96605216247453</v>
      </c>
      <c r="U85">
        <v>1.05067540758448</v>
      </c>
      <c r="V85">
        <v>1.0900619921789101</v>
      </c>
      <c r="W85">
        <v>183.559470335284</v>
      </c>
      <c r="X85">
        <v>183.340302370323</v>
      </c>
      <c r="Y85">
        <v>180.33709779391199</v>
      </c>
      <c r="Z85">
        <v>180.46631887197799</v>
      </c>
      <c r="AA85">
        <v>0</v>
      </c>
      <c r="AB85">
        <v>1</v>
      </c>
      <c r="AC85">
        <v>0</v>
      </c>
      <c r="AD85">
        <v>0</v>
      </c>
      <c r="AE85">
        <v>19</v>
      </c>
      <c r="AF85">
        <v>1</v>
      </c>
    </row>
    <row r="86" spans="1:32" x14ac:dyDescent="0.3">
      <c r="A86" t="s">
        <v>98</v>
      </c>
      <c r="B86">
        <v>169</v>
      </c>
      <c r="C86">
        <v>0.13018867924528299</v>
      </c>
      <c r="D86">
        <v>6.2641509433962295E-2</v>
      </c>
      <c r="E86">
        <v>0</v>
      </c>
      <c r="F86">
        <v>0</v>
      </c>
      <c r="G86">
        <v>0</v>
      </c>
      <c r="H86">
        <v>1</v>
      </c>
      <c r="I86">
        <v>0</v>
      </c>
      <c r="J86">
        <v>1</v>
      </c>
      <c r="K86">
        <v>0</v>
      </c>
      <c r="L86">
        <v>0</v>
      </c>
      <c r="M86">
        <v>0.06</v>
      </c>
      <c r="N86">
        <v>0</v>
      </c>
      <c r="O86">
        <v>27</v>
      </c>
      <c r="P86">
        <v>34</v>
      </c>
      <c r="Q86">
        <v>23</v>
      </c>
      <c r="R86">
        <v>30</v>
      </c>
      <c r="S86">
        <v>1.7797491778433401</v>
      </c>
      <c r="T86">
        <v>1.6308713459951101</v>
      </c>
      <c r="U86">
        <v>1.6635292116854199</v>
      </c>
      <c r="V86">
        <v>1.1726445248731701</v>
      </c>
      <c r="W86">
        <v>182.72907210578501</v>
      </c>
      <c r="X86">
        <v>182.24062777557501</v>
      </c>
      <c r="Y86">
        <v>182.347773004217</v>
      </c>
      <c r="Z86">
        <v>180.73725893987299</v>
      </c>
      <c r="AA86">
        <v>0</v>
      </c>
      <c r="AB86">
        <v>1</v>
      </c>
      <c r="AC86">
        <v>0</v>
      </c>
      <c r="AD86">
        <v>0</v>
      </c>
      <c r="AE86">
        <v>4</v>
      </c>
      <c r="AF86">
        <v>1</v>
      </c>
    </row>
    <row r="87" spans="1:32" x14ac:dyDescent="0.3">
      <c r="A87" t="s">
        <v>100</v>
      </c>
      <c r="B87">
        <v>171</v>
      </c>
      <c r="C87">
        <v>0.36603773584905702</v>
      </c>
      <c r="D87">
        <v>0.25622641509434002</v>
      </c>
      <c r="E87">
        <v>0</v>
      </c>
      <c r="F87">
        <v>0</v>
      </c>
      <c r="G87">
        <v>0</v>
      </c>
      <c r="H87">
        <v>1</v>
      </c>
      <c r="I87">
        <v>0</v>
      </c>
      <c r="J87">
        <v>1</v>
      </c>
      <c r="K87">
        <v>0</v>
      </c>
      <c r="L87">
        <v>0</v>
      </c>
      <c r="M87">
        <v>0</v>
      </c>
      <c r="N87">
        <v>0.65</v>
      </c>
      <c r="O87">
        <v>27</v>
      </c>
      <c r="P87">
        <v>34</v>
      </c>
      <c r="Q87">
        <v>18</v>
      </c>
      <c r="R87">
        <v>24</v>
      </c>
      <c r="S87">
        <v>0.86263919917524901</v>
      </c>
      <c r="T87">
        <v>1.2890461627565</v>
      </c>
      <c r="U87">
        <v>0.51097217716941801</v>
      </c>
      <c r="V87">
        <v>0.73616900278545705</v>
      </c>
      <c r="W87">
        <v>179.720181099656</v>
      </c>
      <c r="X87">
        <v>181.119154077285</v>
      </c>
      <c r="Y87">
        <v>178.56641790409901</v>
      </c>
      <c r="Z87">
        <v>179.30525263381099</v>
      </c>
      <c r="AA87">
        <v>0</v>
      </c>
      <c r="AB87">
        <v>1</v>
      </c>
      <c r="AC87">
        <v>0</v>
      </c>
      <c r="AD87">
        <v>0</v>
      </c>
      <c r="AE87">
        <v>7</v>
      </c>
      <c r="AF87">
        <v>1</v>
      </c>
    </row>
    <row r="88" spans="1:32" x14ac:dyDescent="0.3">
      <c r="A88" t="s">
        <v>104</v>
      </c>
      <c r="B88">
        <v>173</v>
      </c>
      <c r="C88">
        <v>6.2641509433962295E-2</v>
      </c>
      <c r="D88">
        <v>5.7735849056603797E-2</v>
      </c>
      <c r="E88">
        <v>0</v>
      </c>
      <c r="F88">
        <v>0</v>
      </c>
      <c r="G88">
        <v>1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1.59</v>
      </c>
      <c r="O88">
        <v>33</v>
      </c>
      <c r="P88">
        <v>30</v>
      </c>
      <c r="Q88">
        <v>25</v>
      </c>
      <c r="R88">
        <v>25</v>
      </c>
      <c r="S88">
        <v>1.77668704510513</v>
      </c>
      <c r="T88">
        <v>2.1363349069873601</v>
      </c>
      <c r="U88">
        <v>1.4601293841667</v>
      </c>
      <c r="V88">
        <v>1.6520785416857899</v>
      </c>
      <c r="W88">
        <v>182.71902573853399</v>
      </c>
      <c r="X88">
        <v>183.89897279195301</v>
      </c>
      <c r="Y88">
        <v>181.680450735455</v>
      </c>
      <c r="Z88">
        <v>182.310205189258</v>
      </c>
      <c r="AA88">
        <v>0</v>
      </c>
      <c r="AB88">
        <v>1</v>
      </c>
      <c r="AC88">
        <v>0</v>
      </c>
      <c r="AD88">
        <v>0</v>
      </c>
      <c r="AE88">
        <v>6</v>
      </c>
      <c r="AF88">
        <v>1</v>
      </c>
    </row>
    <row r="89" spans="1:32" x14ac:dyDescent="0.3">
      <c r="A89" t="s">
        <v>106</v>
      </c>
      <c r="B89">
        <v>175</v>
      </c>
      <c r="C89">
        <v>0.25622641509434002</v>
      </c>
      <c r="D89">
        <v>0.13018867924528299</v>
      </c>
      <c r="E89">
        <v>0</v>
      </c>
      <c r="F89">
        <v>0</v>
      </c>
      <c r="G89">
        <v>1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33</v>
      </c>
      <c r="P89">
        <v>31</v>
      </c>
      <c r="Q89">
        <v>18</v>
      </c>
      <c r="R89">
        <v>18</v>
      </c>
      <c r="S89">
        <v>1.5942674542686901</v>
      </c>
      <c r="T89">
        <v>1.4891664158589799</v>
      </c>
      <c r="U89">
        <v>1.3587707796269799</v>
      </c>
      <c r="V89">
        <v>1.3316643315302501</v>
      </c>
      <c r="W89">
        <v>182.12053626728601</v>
      </c>
      <c r="X89">
        <v>181.77571658746399</v>
      </c>
      <c r="Y89">
        <v>181.34790938197801</v>
      </c>
      <c r="Z89">
        <v>181.25897746564999</v>
      </c>
      <c r="AA89">
        <v>0</v>
      </c>
      <c r="AB89">
        <v>1</v>
      </c>
      <c r="AC89">
        <v>0</v>
      </c>
      <c r="AD89">
        <v>0</v>
      </c>
      <c r="AE89">
        <v>72</v>
      </c>
      <c r="AF89">
        <v>1</v>
      </c>
    </row>
    <row r="90" spans="1:32" x14ac:dyDescent="0.3">
      <c r="A90" t="s">
        <v>108</v>
      </c>
      <c r="B90">
        <v>177</v>
      </c>
      <c r="C90">
        <v>8.9433962264150901E-2</v>
      </c>
      <c r="D90">
        <v>0.36603773584905702</v>
      </c>
      <c r="E90">
        <v>0</v>
      </c>
      <c r="F90">
        <v>0</v>
      </c>
      <c r="G90">
        <v>1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37</v>
      </c>
      <c r="P90">
        <v>34</v>
      </c>
      <c r="Q90">
        <v>29</v>
      </c>
      <c r="R90">
        <v>19</v>
      </c>
      <c r="S90">
        <v>1.70007162989867</v>
      </c>
      <c r="T90">
        <v>1.9335679578392899</v>
      </c>
      <c r="U90">
        <v>1.23820714997753</v>
      </c>
      <c r="V90">
        <v>1.38581959954274</v>
      </c>
      <c r="W90">
        <v>182.46766282775201</v>
      </c>
      <c r="X90">
        <v>183.23372689579799</v>
      </c>
      <c r="Y90">
        <v>180.952359415937</v>
      </c>
      <c r="Z90">
        <v>181.43665222947101</v>
      </c>
      <c r="AA90">
        <v>0</v>
      </c>
      <c r="AB90">
        <v>1</v>
      </c>
      <c r="AC90">
        <v>0</v>
      </c>
      <c r="AD90">
        <v>0</v>
      </c>
      <c r="AE90">
        <v>15</v>
      </c>
      <c r="AF90">
        <v>1</v>
      </c>
    </row>
    <row r="91" spans="1:32" x14ac:dyDescent="0.3">
      <c r="A91" t="s">
        <v>110</v>
      </c>
      <c r="B91">
        <v>179</v>
      </c>
      <c r="C91">
        <v>5.7735849056603797E-2</v>
      </c>
      <c r="D91">
        <v>3.77358490566038E-2</v>
      </c>
      <c r="E91">
        <v>0</v>
      </c>
      <c r="F91">
        <v>0</v>
      </c>
      <c r="G91">
        <v>1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30</v>
      </c>
      <c r="P91">
        <v>37</v>
      </c>
      <c r="Q91">
        <v>25</v>
      </c>
      <c r="R91">
        <v>27</v>
      </c>
      <c r="S91">
        <v>1.55780568039307</v>
      </c>
      <c r="T91">
        <v>1.6070921508786999</v>
      </c>
      <c r="U91">
        <v>1.47096178920245</v>
      </c>
      <c r="V91">
        <v>0.97600343787107602</v>
      </c>
      <c r="W91">
        <v>182.000911024912</v>
      </c>
      <c r="X91">
        <v>182.16261204356499</v>
      </c>
      <c r="Y91">
        <v>181.71599012205499</v>
      </c>
      <c r="Z91">
        <v>180.09211101663701</v>
      </c>
      <c r="AA91">
        <v>0</v>
      </c>
      <c r="AB91">
        <v>1</v>
      </c>
      <c r="AC91">
        <v>0</v>
      </c>
      <c r="AD91">
        <v>0</v>
      </c>
      <c r="AE91">
        <v>15</v>
      </c>
      <c r="AF91">
        <v>1</v>
      </c>
    </row>
    <row r="92" spans="1:32" x14ac:dyDescent="0.3">
      <c r="A92" t="s">
        <v>112</v>
      </c>
      <c r="B92">
        <v>181</v>
      </c>
      <c r="C92">
        <v>0.13018867924528299</v>
      </c>
      <c r="D92">
        <v>6.2641509433962295E-2</v>
      </c>
      <c r="E92">
        <v>0</v>
      </c>
      <c r="F92">
        <v>0</v>
      </c>
      <c r="G92">
        <v>1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29</v>
      </c>
      <c r="P92">
        <v>36</v>
      </c>
      <c r="Q92">
        <v>24</v>
      </c>
      <c r="R92">
        <v>21</v>
      </c>
      <c r="S92">
        <v>1.8443950798900499</v>
      </c>
      <c r="T92">
        <v>1.3612157858629499</v>
      </c>
      <c r="U92">
        <v>1.5271981798766801</v>
      </c>
      <c r="V92">
        <v>1.2368906039913401</v>
      </c>
      <c r="W92">
        <v>182.94116496026899</v>
      </c>
      <c r="X92">
        <v>181.35593105598099</v>
      </c>
      <c r="Y92">
        <v>181.900492716131</v>
      </c>
      <c r="Z92">
        <v>180.948040039342</v>
      </c>
      <c r="AA92">
        <v>0</v>
      </c>
      <c r="AB92">
        <v>1</v>
      </c>
      <c r="AC92">
        <v>0</v>
      </c>
      <c r="AD92">
        <v>0</v>
      </c>
      <c r="AE92">
        <v>14</v>
      </c>
      <c r="AF92">
        <v>1</v>
      </c>
    </row>
    <row r="93" spans="1:32" x14ac:dyDescent="0.3">
      <c r="A93" t="s">
        <v>114</v>
      </c>
      <c r="B93">
        <v>183</v>
      </c>
      <c r="C93">
        <v>0.36603773584905702</v>
      </c>
      <c r="D93">
        <v>0.25622641509434002</v>
      </c>
      <c r="E93">
        <v>0</v>
      </c>
      <c r="F93">
        <v>0</v>
      </c>
      <c r="G93">
        <v>1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0</v>
      </c>
      <c r="O93">
        <v>38</v>
      </c>
      <c r="P93">
        <v>35</v>
      </c>
      <c r="Q93">
        <v>14</v>
      </c>
      <c r="R93">
        <v>18</v>
      </c>
      <c r="S93">
        <v>1.45484260938882</v>
      </c>
      <c r="T93">
        <v>1.47732624541974</v>
      </c>
      <c r="U93">
        <v>0.81726615001874903</v>
      </c>
      <c r="V93">
        <v>0.93276797414856305</v>
      </c>
      <c r="W93">
        <v>181.66310567384801</v>
      </c>
      <c r="X93">
        <v>181.73687088392299</v>
      </c>
      <c r="Y93">
        <v>179.57131938982499</v>
      </c>
      <c r="Z93">
        <v>179.95026238237699</v>
      </c>
      <c r="AA93">
        <v>0</v>
      </c>
      <c r="AB93">
        <v>1</v>
      </c>
      <c r="AC93">
        <v>0</v>
      </c>
      <c r="AD93">
        <v>0</v>
      </c>
      <c r="AE93">
        <v>65</v>
      </c>
      <c r="AF93">
        <v>1</v>
      </c>
    </row>
    <row r="94" spans="1:32" x14ac:dyDescent="0.3">
      <c r="A94" t="s">
        <v>116</v>
      </c>
      <c r="B94">
        <v>185</v>
      </c>
      <c r="C94">
        <v>3.77358490566038E-2</v>
      </c>
      <c r="D94">
        <v>8.9433962264150901E-2</v>
      </c>
      <c r="E94">
        <v>0</v>
      </c>
      <c r="F94">
        <v>1</v>
      </c>
      <c r="G94">
        <v>1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40</v>
      </c>
      <c r="P94">
        <v>38</v>
      </c>
      <c r="Q94">
        <v>34</v>
      </c>
      <c r="R94">
        <v>24</v>
      </c>
      <c r="S94">
        <v>1.56015992969053</v>
      </c>
      <c r="T94">
        <v>1.49734414679942</v>
      </c>
      <c r="U94">
        <v>0.89863031794165305</v>
      </c>
      <c r="V94">
        <v>0.54281059989186498</v>
      </c>
      <c r="W94">
        <v>182.00863493993</v>
      </c>
      <c r="X94">
        <v>181.80254641338399</v>
      </c>
      <c r="Y94">
        <v>179.83826219797101</v>
      </c>
      <c r="Z94">
        <v>178.67087467156099</v>
      </c>
      <c r="AA94">
        <v>0</v>
      </c>
      <c r="AB94">
        <v>1</v>
      </c>
      <c r="AC94">
        <v>0</v>
      </c>
      <c r="AD94">
        <v>0</v>
      </c>
      <c r="AE94">
        <v>12</v>
      </c>
      <c r="AF94">
        <v>1</v>
      </c>
    </row>
    <row r="95" spans="1:32" x14ac:dyDescent="0.3">
      <c r="A95" t="s">
        <v>118</v>
      </c>
      <c r="B95">
        <v>187</v>
      </c>
      <c r="C95">
        <v>6.2641509433962295E-2</v>
      </c>
      <c r="D95">
        <v>5.7735849056603797E-2</v>
      </c>
      <c r="E95">
        <v>0</v>
      </c>
      <c r="F95">
        <v>0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0.78</v>
      </c>
      <c r="N95">
        <v>0</v>
      </c>
      <c r="O95">
        <v>26</v>
      </c>
      <c r="P95">
        <v>39</v>
      </c>
      <c r="Q95">
        <v>23</v>
      </c>
      <c r="R95">
        <v>28</v>
      </c>
      <c r="S95">
        <v>1.8145303246776601</v>
      </c>
      <c r="T95">
        <v>1.9987321686842801</v>
      </c>
      <c r="U95">
        <v>1.51930554692651</v>
      </c>
      <c r="V95">
        <v>1.2007173424128501</v>
      </c>
      <c r="W95">
        <v>182.84318347991399</v>
      </c>
      <c r="X95">
        <v>183.44752023846499</v>
      </c>
      <c r="Y95">
        <v>181.87459825107101</v>
      </c>
      <c r="Z95">
        <v>180.829361359622</v>
      </c>
      <c r="AA95">
        <v>0</v>
      </c>
      <c r="AB95">
        <v>1</v>
      </c>
      <c r="AC95">
        <v>0</v>
      </c>
      <c r="AD95">
        <v>0</v>
      </c>
      <c r="AE95">
        <v>5</v>
      </c>
      <c r="AF95">
        <v>1</v>
      </c>
    </row>
    <row r="96" spans="1:32" x14ac:dyDescent="0.3">
      <c r="A96" t="s">
        <v>120</v>
      </c>
      <c r="B96">
        <v>189</v>
      </c>
      <c r="C96">
        <v>0.25622641509434002</v>
      </c>
      <c r="D96">
        <v>0.13018867924528299</v>
      </c>
      <c r="E96">
        <v>0</v>
      </c>
      <c r="F96">
        <v>0</v>
      </c>
      <c r="G96">
        <v>1</v>
      </c>
      <c r="H96">
        <v>0</v>
      </c>
      <c r="I96">
        <v>0</v>
      </c>
      <c r="J96">
        <v>1</v>
      </c>
      <c r="K96">
        <v>0</v>
      </c>
      <c r="L96">
        <v>0</v>
      </c>
      <c r="M96">
        <v>0.05</v>
      </c>
      <c r="N96">
        <v>0.68</v>
      </c>
      <c r="O96">
        <v>35</v>
      </c>
      <c r="P96">
        <v>25</v>
      </c>
      <c r="Q96">
        <v>15</v>
      </c>
      <c r="R96">
        <v>19</v>
      </c>
      <c r="S96">
        <v>1.8802345902336799</v>
      </c>
      <c r="T96">
        <v>1.9491430538377701</v>
      </c>
      <c r="U96">
        <v>0.97243796825093798</v>
      </c>
      <c r="V96">
        <v>1.7133873781842099</v>
      </c>
      <c r="W96">
        <v>183.058748655622</v>
      </c>
      <c r="X96">
        <v>183.28482629211899</v>
      </c>
      <c r="Y96">
        <v>180.080413281663</v>
      </c>
      <c r="Z96">
        <v>182.51134966595899</v>
      </c>
      <c r="AA96">
        <v>0</v>
      </c>
      <c r="AB96">
        <v>1</v>
      </c>
      <c r="AC96">
        <v>0</v>
      </c>
      <c r="AD96">
        <v>0</v>
      </c>
      <c r="AE96">
        <v>36</v>
      </c>
      <c r="AF96">
        <v>1</v>
      </c>
    </row>
    <row r="97" spans="1:32" x14ac:dyDescent="0.3">
      <c r="A97" t="s">
        <v>9</v>
      </c>
      <c r="B97">
        <v>191</v>
      </c>
      <c r="C97">
        <v>6.1778682959945701E-2</v>
      </c>
      <c r="D97">
        <v>6.1778682959945701E-2</v>
      </c>
      <c r="E97">
        <v>0</v>
      </c>
      <c r="F97">
        <v>0</v>
      </c>
      <c r="G97">
        <v>1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25</v>
      </c>
      <c r="P97">
        <v>25</v>
      </c>
      <c r="Q97">
        <v>16</v>
      </c>
      <c r="R97">
        <v>16</v>
      </c>
      <c r="S97">
        <v>3.2944217054488498</v>
      </c>
      <c r="T97">
        <v>3.2944217054488498</v>
      </c>
      <c r="U97">
        <v>2.8214645115074002</v>
      </c>
      <c r="V97">
        <v>2.8214645115074002</v>
      </c>
      <c r="W97">
        <v>183.448470162234</v>
      </c>
      <c r="X97">
        <v>183.448470162234</v>
      </c>
      <c r="Y97">
        <v>181.89677333171699</v>
      </c>
      <c r="Z97">
        <v>181.89677333171699</v>
      </c>
      <c r="AA97">
        <v>0</v>
      </c>
      <c r="AB97">
        <v>0</v>
      </c>
      <c r="AC97">
        <v>1</v>
      </c>
      <c r="AD97">
        <v>0</v>
      </c>
      <c r="AE97">
        <v>5</v>
      </c>
      <c r="AF97">
        <v>1</v>
      </c>
    </row>
    <row r="98" spans="1:32" x14ac:dyDescent="0.3">
      <c r="A98" t="s">
        <v>11</v>
      </c>
      <c r="B98">
        <v>193</v>
      </c>
      <c r="C98">
        <v>0.273455532926001</v>
      </c>
      <c r="D98">
        <v>0.144602851323829</v>
      </c>
      <c r="E98">
        <v>0</v>
      </c>
      <c r="F98">
        <v>0</v>
      </c>
      <c r="G98">
        <v>1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27</v>
      </c>
      <c r="P98">
        <v>29</v>
      </c>
      <c r="Q98">
        <v>7</v>
      </c>
      <c r="R98">
        <v>15</v>
      </c>
      <c r="S98">
        <v>3.0340105268487099</v>
      </c>
      <c r="T98">
        <v>3.2795314772128399</v>
      </c>
      <c r="U98">
        <v>2.79623377972871</v>
      </c>
      <c r="V98">
        <v>2.6702638721303802</v>
      </c>
      <c r="W98">
        <v>182.594102778375</v>
      </c>
      <c r="X98">
        <v>183.399617707391</v>
      </c>
      <c r="Y98">
        <v>181.81399534031701</v>
      </c>
      <c r="Z98">
        <v>181.400708241898</v>
      </c>
      <c r="AA98">
        <v>0</v>
      </c>
      <c r="AB98">
        <v>0</v>
      </c>
      <c r="AC98">
        <v>1</v>
      </c>
      <c r="AD98">
        <v>0</v>
      </c>
      <c r="AE98">
        <v>39</v>
      </c>
      <c r="AF98">
        <v>1</v>
      </c>
    </row>
    <row r="99" spans="1:32" x14ac:dyDescent="0.3">
      <c r="A99" t="s">
        <v>13</v>
      </c>
      <c r="B99">
        <v>195</v>
      </c>
      <c r="C99">
        <v>9.6673455532926E-2</v>
      </c>
      <c r="D99">
        <v>0.31785471826204997</v>
      </c>
      <c r="E99">
        <v>1</v>
      </c>
      <c r="F99">
        <v>0</v>
      </c>
      <c r="G99">
        <v>1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33</v>
      </c>
      <c r="P99">
        <v>35</v>
      </c>
      <c r="Q99">
        <v>16</v>
      </c>
      <c r="R99">
        <v>9</v>
      </c>
      <c r="S99">
        <v>2.9545467058269002</v>
      </c>
      <c r="T99">
        <v>2.6862883284415799</v>
      </c>
      <c r="U99">
        <v>2.8358416729268501</v>
      </c>
      <c r="V99">
        <v>2.0983573811253402</v>
      </c>
      <c r="W99">
        <v>182.333394704157</v>
      </c>
      <c r="X99">
        <v>181.45328191745901</v>
      </c>
      <c r="Y99">
        <v>181.943942496479</v>
      </c>
      <c r="Z99">
        <v>179.52437460999101</v>
      </c>
      <c r="AA99">
        <v>0</v>
      </c>
      <c r="AB99">
        <v>0</v>
      </c>
      <c r="AC99">
        <v>1</v>
      </c>
      <c r="AD99">
        <v>0</v>
      </c>
      <c r="AE99">
        <v>50</v>
      </c>
      <c r="AF99">
        <v>1</v>
      </c>
    </row>
    <row r="100" spans="1:32" x14ac:dyDescent="0.3">
      <c r="A100" t="s">
        <v>15</v>
      </c>
      <c r="B100">
        <v>197</v>
      </c>
      <c r="C100">
        <v>6.5987780040733204E-2</v>
      </c>
      <c r="D100">
        <v>3.9646978954514599E-2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34</v>
      </c>
      <c r="P100">
        <v>33</v>
      </c>
      <c r="Q100">
        <v>21</v>
      </c>
      <c r="R100">
        <v>20</v>
      </c>
      <c r="S100">
        <v>3.0040108033361199</v>
      </c>
      <c r="T100">
        <v>2.96585649865944</v>
      </c>
      <c r="U100">
        <v>1.9034758736226001</v>
      </c>
      <c r="V100">
        <v>2.5588718966264299</v>
      </c>
      <c r="W100">
        <v>182.495678488636</v>
      </c>
      <c r="X100">
        <v>182.370500323686</v>
      </c>
      <c r="Y100">
        <v>178.88499958537599</v>
      </c>
      <c r="Z100">
        <v>181.03524900468</v>
      </c>
      <c r="AA100">
        <v>0</v>
      </c>
      <c r="AB100">
        <v>0</v>
      </c>
      <c r="AC100">
        <v>1</v>
      </c>
      <c r="AD100">
        <v>0</v>
      </c>
      <c r="AE100">
        <v>15</v>
      </c>
      <c r="AF100">
        <v>1</v>
      </c>
    </row>
    <row r="101" spans="1:32" x14ac:dyDescent="0.3">
      <c r="A101" t="s">
        <v>17</v>
      </c>
      <c r="B101">
        <v>199</v>
      </c>
      <c r="C101">
        <v>0.144602851323829</v>
      </c>
      <c r="D101">
        <v>6.1778682959945701E-2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9.8000000000000004E-2</v>
      </c>
      <c r="N101">
        <v>0.34649999999999997</v>
      </c>
      <c r="O101">
        <v>34</v>
      </c>
      <c r="P101">
        <v>31</v>
      </c>
      <c r="Q101">
        <v>16</v>
      </c>
      <c r="R101">
        <v>21</v>
      </c>
      <c r="S101">
        <v>3.4431616938824501</v>
      </c>
      <c r="T101">
        <v>3.2736751424669599</v>
      </c>
      <c r="U101">
        <v>2.3903412874947598</v>
      </c>
      <c r="V101">
        <v>1.9807122764827201</v>
      </c>
      <c r="W101">
        <v>183.93646225027101</v>
      </c>
      <c r="X101">
        <v>183.380404010718</v>
      </c>
      <c r="Y101">
        <v>180.48232705871001</v>
      </c>
      <c r="Z101">
        <v>179.138399857227</v>
      </c>
      <c r="AA101">
        <v>0</v>
      </c>
      <c r="AB101">
        <v>0</v>
      </c>
      <c r="AC101">
        <v>1</v>
      </c>
      <c r="AD101">
        <v>0</v>
      </c>
      <c r="AE101">
        <v>72</v>
      </c>
      <c r="AF101">
        <v>1</v>
      </c>
    </row>
    <row r="102" spans="1:32" x14ac:dyDescent="0.3">
      <c r="A102" t="s">
        <v>19</v>
      </c>
      <c r="B102">
        <v>201</v>
      </c>
      <c r="C102">
        <v>0.31785471826204997</v>
      </c>
      <c r="D102">
        <v>0.273455532926001</v>
      </c>
      <c r="E102">
        <v>0</v>
      </c>
      <c r="F102">
        <v>0</v>
      </c>
      <c r="G102">
        <v>0</v>
      </c>
      <c r="H102">
        <v>1</v>
      </c>
      <c r="I102">
        <v>0</v>
      </c>
      <c r="J102">
        <v>1</v>
      </c>
      <c r="K102">
        <v>0</v>
      </c>
      <c r="L102">
        <v>0</v>
      </c>
      <c r="M102">
        <v>1.0500000000000001E-2</v>
      </c>
      <c r="N102">
        <v>0</v>
      </c>
      <c r="O102">
        <v>22</v>
      </c>
      <c r="P102">
        <v>35</v>
      </c>
      <c r="Q102">
        <v>15</v>
      </c>
      <c r="R102">
        <v>17</v>
      </c>
      <c r="S102">
        <v>3.0612170084185499</v>
      </c>
      <c r="T102">
        <v>3.21157178905325</v>
      </c>
      <c r="U102">
        <v>2.3809716381565398</v>
      </c>
      <c r="V102">
        <v>2.3230500216619299</v>
      </c>
      <c r="W102">
        <v>182.68336288851199</v>
      </c>
      <c r="X102">
        <v>183.17665285122499</v>
      </c>
      <c r="Y102">
        <v>180.45158673935899</v>
      </c>
      <c r="Z102">
        <v>180.26155518918</v>
      </c>
      <c r="AA102">
        <v>0</v>
      </c>
      <c r="AB102">
        <v>0</v>
      </c>
      <c r="AC102">
        <v>1</v>
      </c>
      <c r="AD102">
        <v>0</v>
      </c>
      <c r="AE102">
        <v>17</v>
      </c>
      <c r="AF102">
        <v>1</v>
      </c>
    </row>
    <row r="103" spans="1:32" x14ac:dyDescent="0.3">
      <c r="A103" t="s">
        <v>21</v>
      </c>
      <c r="B103">
        <v>203</v>
      </c>
      <c r="C103">
        <v>3.9646978954514599E-2</v>
      </c>
      <c r="D103">
        <v>9.6673455532926E-2</v>
      </c>
      <c r="E103">
        <v>0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1.379</v>
      </c>
      <c r="N103">
        <v>0.33950000000000002</v>
      </c>
      <c r="O103">
        <v>17</v>
      </c>
      <c r="P103">
        <v>14</v>
      </c>
      <c r="Q103">
        <v>12</v>
      </c>
      <c r="R103">
        <v>13</v>
      </c>
      <c r="S103">
        <v>3.3863490827643301</v>
      </c>
      <c r="T103">
        <v>2.7688675918726902</v>
      </c>
      <c r="U103">
        <v>3.1223785240568498</v>
      </c>
      <c r="V103">
        <v>2.7415560696552399</v>
      </c>
      <c r="W103">
        <v>183.750069169174</v>
      </c>
      <c r="X103">
        <v>181.724211259425</v>
      </c>
      <c r="Y103">
        <v>182.884024029058</v>
      </c>
      <c r="Z103">
        <v>181.63460652774</v>
      </c>
      <c r="AA103">
        <v>0</v>
      </c>
      <c r="AB103">
        <v>0</v>
      </c>
      <c r="AC103">
        <v>1</v>
      </c>
      <c r="AD103">
        <v>0</v>
      </c>
      <c r="AE103">
        <v>6</v>
      </c>
      <c r="AF103">
        <v>1</v>
      </c>
    </row>
    <row r="104" spans="1:32" x14ac:dyDescent="0.3">
      <c r="A104" t="s">
        <v>23</v>
      </c>
      <c r="B104">
        <v>205</v>
      </c>
      <c r="C104">
        <v>6.1778682959945701E-2</v>
      </c>
      <c r="D104">
        <v>6.5987780040733204E-2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1.7500000000000002E-2</v>
      </c>
      <c r="O104">
        <v>29</v>
      </c>
      <c r="P104">
        <v>32</v>
      </c>
      <c r="Q104">
        <v>14</v>
      </c>
      <c r="R104">
        <v>23</v>
      </c>
      <c r="S104">
        <v>3.2622453743147202</v>
      </c>
      <c r="T104">
        <v>3.2200779640211898</v>
      </c>
      <c r="U104">
        <v>2.6435196385489101</v>
      </c>
      <c r="V104">
        <v>2.9841385320878002</v>
      </c>
      <c r="W104">
        <v>183.34290477137401</v>
      </c>
      <c r="X104">
        <v>183.20456024941299</v>
      </c>
      <c r="Y104">
        <v>181.31296469340199</v>
      </c>
      <c r="Z104">
        <v>182.43048074832001</v>
      </c>
      <c r="AA104">
        <v>0</v>
      </c>
      <c r="AB104">
        <v>0</v>
      </c>
      <c r="AC104">
        <v>1</v>
      </c>
      <c r="AD104">
        <v>0</v>
      </c>
      <c r="AE104">
        <v>10</v>
      </c>
      <c r="AF104">
        <v>1</v>
      </c>
    </row>
    <row r="105" spans="1:32" x14ac:dyDescent="0.3">
      <c r="A105" t="s">
        <v>25</v>
      </c>
      <c r="B105">
        <v>207</v>
      </c>
      <c r="C105">
        <v>0.273455532926001</v>
      </c>
      <c r="D105">
        <v>0.144602851323829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29</v>
      </c>
      <c r="P105">
        <v>30</v>
      </c>
      <c r="Q105">
        <v>17</v>
      </c>
      <c r="R105">
        <v>15</v>
      </c>
      <c r="S105">
        <v>3.3349968666776602</v>
      </c>
      <c r="T105">
        <v>3.2374483468228501</v>
      </c>
      <c r="U105">
        <v>2.5852282691199502</v>
      </c>
      <c r="V105">
        <v>2.8744617333150901</v>
      </c>
      <c r="W105">
        <v>183.58159076993999</v>
      </c>
      <c r="X105">
        <v>183.26154969430101</v>
      </c>
      <c r="Y105">
        <v>181.12172004304401</v>
      </c>
      <c r="Z105">
        <v>182.070648731349</v>
      </c>
      <c r="AA105">
        <v>0</v>
      </c>
      <c r="AB105">
        <v>0</v>
      </c>
      <c r="AC105">
        <v>1</v>
      </c>
      <c r="AD105">
        <v>0</v>
      </c>
      <c r="AE105">
        <v>48</v>
      </c>
      <c r="AF105">
        <v>1</v>
      </c>
    </row>
    <row r="106" spans="1:32" x14ac:dyDescent="0.3">
      <c r="A106" t="s">
        <v>27</v>
      </c>
      <c r="B106">
        <v>209</v>
      </c>
      <c r="C106">
        <v>9.6673455532926E-2</v>
      </c>
      <c r="D106">
        <v>0.31785471826204997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19</v>
      </c>
      <c r="P106">
        <v>30</v>
      </c>
      <c r="Q106">
        <v>19</v>
      </c>
      <c r="R106">
        <v>9</v>
      </c>
      <c r="S106">
        <v>2.8604485430971298</v>
      </c>
      <c r="T106">
        <v>3.1834264322903301</v>
      </c>
      <c r="U106">
        <v>2.8604485430971298</v>
      </c>
      <c r="V106">
        <v>2.8801177140020302</v>
      </c>
      <c r="W106">
        <v>182.02467369782499</v>
      </c>
      <c r="X106">
        <v>183.084312441897</v>
      </c>
      <c r="Y106">
        <v>182.02467369782499</v>
      </c>
      <c r="Z106">
        <v>182.08920509843199</v>
      </c>
      <c r="AA106">
        <v>0</v>
      </c>
      <c r="AB106">
        <v>0</v>
      </c>
      <c r="AC106">
        <v>1</v>
      </c>
      <c r="AD106">
        <v>0</v>
      </c>
      <c r="AE106">
        <v>1</v>
      </c>
      <c r="AF106">
        <v>1</v>
      </c>
    </row>
    <row r="107" spans="1:32" x14ac:dyDescent="0.3">
      <c r="A107" t="s">
        <v>29</v>
      </c>
      <c r="B107">
        <v>211</v>
      </c>
      <c r="C107">
        <v>6.5987780040733204E-2</v>
      </c>
      <c r="D107">
        <v>3.9646978954514599E-2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0.11550000000000001</v>
      </c>
      <c r="N107">
        <v>0.434</v>
      </c>
      <c r="O107">
        <v>33</v>
      </c>
      <c r="P107">
        <v>29</v>
      </c>
      <c r="Q107">
        <v>17</v>
      </c>
      <c r="R107">
        <v>18</v>
      </c>
      <c r="S107">
        <v>2.9936899035194098</v>
      </c>
      <c r="T107">
        <v>2.9617682203540698</v>
      </c>
      <c r="U107">
        <v>2.4469827444300001</v>
      </c>
      <c r="V107">
        <v>2.2396993264048999</v>
      </c>
      <c r="W107">
        <v>182.46181726876401</v>
      </c>
      <c r="X107">
        <v>182.35708733711999</v>
      </c>
      <c r="Y107">
        <v>180.66815861033501</v>
      </c>
      <c r="Z107">
        <v>179.98809490290299</v>
      </c>
      <c r="AA107">
        <v>0</v>
      </c>
      <c r="AB107">
        <v>0</v>
      </c>
      <c r="AC107">
        <v>1</v>
      </c>
      <c r="AD107">
        <v>0</v>
      </c>
      <c r="AE107">
        <v>29</v>
      </c>
      <c r="AF107">
        <v>1</v>
      </c>
    </row>
    <row r="108" spans="1:32" x14ac:dyDescent="0.3">
      <c r="A108" t="s">
        <v>31</v>
      </c>
      <c r="B108">
        <v>213</v>
      </c>
      <c r="C108">
        <v>0.144602851323829</v>
      </c>
      <c r="D108">
        <v>6.1778682959945701E-2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35</v>
      </c>
      <c r="P108">
        <v>36</v>
      </c>
      <c r="Q108">
        <v>19</v>
      </c>
      <c r="R108">
        <v>25</v>
      </c>
      <c r="S108">
        <v>3.3051436704006201</v>
      </c>
      <c r="T108">
        <v>3.38554170555512</v>
      </c>
      <c r="U108">
        <v>2.6007753438698198</v>
      </c>
      <c r="V108">
        <v>2.8467698328199802</v>
      </c>
      <c r="W108">
        <v>183.4836472126</v>
      </c>
      <c r="X108">
        <v>183.74742029381599</v>
      </c>
      <c r="Y108">
        <v>181.172727506135</v>
      </c>
      <c r="Z108">
        <v>181.979796039436</v>
      </c>
      <c r="AA108">
        <v>0</v>
      </c>
      <c r="AB108">
        <v>0</v>
      </c>
      <c r="AC108">
        <v>1</v>
      </c>
      <c r="AD108">
        <v>0</v>
      </c>
      <c r="AE108">
        <v>43</v>
      </c>
      <c r="AF108">
        <v>1</v>
      </c>
    </row>
    <row r="109" spans="1:32" x14ac:dyDescent="0.3">
      <c r="A109" t="s">
        <v>33</v>
      </c>
      <c r="B109">
        <v>215</v>
      </c>
      <c r="C109">
        <v>0.31785471826204997</v>
      </c>
      <c r="D109">
        <v>0.273455532926001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0.27650000000000002</v>
      </c>
      <c r="O109">
        <v>37</v>
      </c>
      <c r="P109">
        <v>37</v>
      </c>
      <c r="Q109">
        <v>21</v>
      </c>
      <c r="R109">
        <v>21</v>
      </c>
      <c r="S109">
        <v>3.55310478658875</v>
      </c>
      <c r="T109">
        <v>3.0628353395550301</v>
      </c>
      <c r="U109">
        <v>2.82816834471822</v>
      </c>
      <c r="V109">
        <v>2.81175725627801</v>
      </c>
      <c r="W109">
        <v>184.29716793500199</v>
      </c>
      <c r="X109">
        <v>182.688672373868</v>
      </c>
      <c r="Y109">
        <v>181.91876753516499</v>
      </c>
      <c r="Z109">
        <v>181.86492538149</v>
      </c>
      <c r="AA109">
        <v>0</v>
      </c>
      <c r="AB109">
        <v>0</v>
      </c>
      <c r="AC109">
        <v>1</v>
      </c>
      <c r="AD109">
        <v>0</v>
      </c>
      <c r="AE109">
        <v>190</v>
      </c>
      <c r="AF109">
        <v>1</v>
      </c>
    </row>
    <row r="110" spans="1:32" x14ac:dyDescent="0.3">
      <c r="A110" t="s">
        <v>36</v>
      </c>
      <c r="B110">
        <v>217</v>
      </c>
      <c r="C110">
        <v>6.1778682959945701E-2</v>
      </c>
      <c r="D110">
        <v>6.5987780040733204E-2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28</v>
      </c>
      <c r="P110">
        <v>30</v>
      </c>
      <c r="Q110">
        <v>15</v>
      </c>
      <c r="R110">
        <v>17</v>
      </c>
      <c r="S110">
        <v>2.9217115351713998</v>
      </c>
      <c r="T110">
        <v>2.8620115023801498</v>
      </c>
      <c r="U110">
        <v>2.4217781866699801</v>
      </c>
      <c r="V110">
        <v>2.4406481092402199</v>
      </c>
      <c r="W110">
        <v>182.22566776631001</v>
      </c>
      <c r="X110">
        <v>182.02980151699501</v>
      </c>
      <c r="Y110">
        <v>180.58546649169901</v>
      </c>
      <c r="Z110">
        <v>180.647375686484</v>
      </c>
      <c r="AA110">
        <v>0</v>
      </c>
      <c r="AB110">
        <v>0</v>
      </c>
      <c r="AC110">
        <v>1</v>
      </c>
      <c r="AD110">
        <v>0</v>
      </c>
      <c r="AE110">
        <v>17</v>
      </c>
      <c r="AF110">
        <v>1</v>
      </c>
    </row>
    <row r="111" spans="1:32" x14ac:dyDescent="0.3">
      <c r="A111" t="s">
        <v>38</v>
      </c>
      <c r="B111">
        <v>219</v>
      </c>
      <c r="C111">
        <v>0.273455532926001</v>
      </c>
      <c r="D111">
        <v>0.144602851323829</v>
      </c>
      <c r="E111">
        <v>0</v>
      </c>
      <c r="F111">
        <v>0</v>
      </c>
      <c r="G111">
        <v>0</v>
      </c>
      <c r="H111">
        <v>0</v>
      </c>
      <c r="I111">
        <v>1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29</v>
      </c>
      <c r="P111">
        <v>34</v>
      </c>
      <c r="Q111">
        <v>12</v>
      </c>
      <c r="R111">
        <v>19</v>
      </c>
      <c r="S111">
        <v>2.7631589238913699</v>
      </c>
      <c r="T111">
        <v>3.2517408369374401</v>
      </c>
      <c r="U111">
        <v>2.3148129874602099</v>
      </c>
      <c r="V111">
        <v>2.6575909282832701</v>
      </c>
      <c r="W111">
        <v>181.70548203376401</v>
      </c>
      <c r="X111">
        <v>183.30844106606801</v>
      </c>
      <c r="Y111">
        <v>180.23453079875401</v>
      </c>
      <c r="Z111">
        <v>181.35913034213701</v>
      </c>
      <c r="AA111">
        <v>0</v>
      </c>
      <c r="AB111">
        <v>0</v>
      </c>
      <c r="AC111">
        <v>1</v>
      </c>
      <c r="AD111">
        <v>0</v>
      </c>
      <c r="AE111">
        <v>115</v>
      </c>
      <c r="AF111">
        <v>1</v>
      </c>
    </row>
    <row r="112" spans="1:32" x14ac:dyDescent="0.3">
      <c r="A112" t="s">
        <v>40</v>
      </c>
      <c r="B112">
        <v>221</v>
      </c>
      <c r="C112">
        <v>9.6673455532926E-2</v>
      </c>
      <c r="D112">
        <v>0.31785471826204997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0.49</v>
      </c>
      <c r="N112">
        <v>0.44450000000000001</v>
      </c>
      <c r="O112">
        <v>37</v>
      </c>
      <c r="P112">
        <v>37</v>
      </c>
      <c r="Q112">
        <v>25</v>
      </c>
      <c r="R112">
        <v>19</v>
      </c>
      <c r="S112">
        <v>3.4713570120693902</v>
      </c>
      <c r="T112">
        <v>3.2642012556386302</v>
      </c>
      <c r="U112">
        <v>2.5915662734060101</v>
      </c>
      <c r="V112">
        <v>2.53619543291699</v>
      </c>
      <c r="W112">
        <v>184.02896657503101</v>
      </c>
      <c r="X112">
        <v>183.34932170485101</v>
      </c>
      <c r="Y112">
        <v>181.14251402036101</v>
      </c>
      <c r="Z112">
        <v>180.960851157864</v>
      </c>
      <c r="AA112">
        <v>0</v>
      </c>
      <c r="AB112">
        <v>0</v>
      </c>
      <c r="AC112">
        <v>1</v>
      </c>
      <c r="AD112">
        <v>0</v>
      </c>
      <c r="AE112">
        <v>45</v>
      </c>
      <c r="AF112">
        <v>1</v>
      </c>
    </row>
    <row r="113" spans="1:32" x14ac:dyDescent="0.3">
      <c r="A113" t="s">
        <v>42</v>
      </c>
      <c r="B113">
        <v>223</v>
      </c>
      <c r="C113">
        <v>6.5987780040733204E-2</v>
      </c>
      <c r="D113">
        <v>3.9646978954514599E-2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0.15049999999999999</v>
      </c>
      <c r="N113">
        <v>0</v>
      </c>
      <c r="O113">
        <v>30</v>
      </c>
      <c r="P113">
        <v>31</v>
      </c>
      <c r="Q113">
        <v>17</v>
      </c>
      <c r="R113">
        <v>21</v>
      </c>
      <c r="S113">
        <v>3.5665805568402198</v>
      </c>
      <c r="T113">
        <v>3.5525752565203699</v>
      </c>
      <c r="U113">
        <v>3.2504465470725701</v>
      </c>
      <c r="V113">
        <v>3.06002984849211</v>
      </c>
      <c r="W113">
        <v>184.34137977966</v>
      </c>
      <c r="X113">
        <v>184.29543063162899</v>
      </c>
      <c r="Y113">
        <v>183.30419470824299</v>
      </c>
      <c r="Z113">
        <v>182.679468006864</v>
      </c>
      <c r="AA113">
        <v>0</v>
      </c>
      <c r="AB113">
        <v>0</v>
      </c>
      <c r="AC113">
        <v>1</v>
      </c>
      <c r="AD113">
        <v>0</v>
      </c>
      <c r="AE113">
        <v>20</v>
      </c>
      <c r="AF113">
        <v>1</v>
      </c>
    </row>
    <row r="114" spans="1:32" x14ac:dyDescent="0.3">
      <c r="A114" t="s">
        <v>44</v>
      </c>
      <c r="B114">
        <v>225</v>
      </c>
      <c r="C114">
        <v>0.144602851323829</v>
      </c>
      <c r="D114">
        <v>6.1778682959945701E-2</v>
      </c>
      <c r="E114">
        <v>0</v>
      </c>
      <c r="F114">
        <v>0</v>
      </c>
      <c r="G114">
        <v>0</v>
      </c>
      <c r="H114">
        <v>1</v>
      </c>
      <c r="I114">
        <v>0</v>
      </c>
      <c r="J114">
        <v>1</v>
      </c>
      <c r="K114">
        <v>0</v>
      </c>
      <c r="L114">
        <v>0</v>
      </c>
      <c r="M114">
        <v>3.5000000000000003E-2</v>
      </c>
      <c r="N114">
        <v>0</v>
      </c>
      <c r="O114">
        <v>33</v>
      </c>
      <c r="P114">
        <v>34</v>
      </c>
      <c r="Q114">
        <v>17</v>
      </c>
      <c r="R114">
        <v>21</v>
      </c>
      <c r="S114">
        <v>3.5681586764647601</v>
      </c>
      <c r="T114">
        <v>3.4594961184167299</v>
      </c>
      <c r="U114">
        <v>2.8330281830939699</v>
      </c>
      <c r="V114">
        <v>3.2220109243389299</v>
      </c>
      <c r="W114">
        <v>184.34655733748301</v>
      </c>
      <c r="X114">
        <v>183.99005288194499</v>
      </c>
      <c r="Y114">
        <v>181.93471188679101</v>
      </c>
      <c r="Z114">
        <v>183.21090198273899</v>
      </c>
      <c r="AA114">
        <v>0</v>
      </c>
      <c r="AB114">
        <v>0</v>
      </c>
      <c r="AC114">
        <v>1</v>
      </c>
      <c r="AD114">
        <v>0</v>
      </c>
      <c r="AE114">
        <v>48</v>
      </c>
      <c r="AF114">
        <v>1</v>
      </c>
    </row>
    <row r="115" spans="1:32" x14ac:dyDescent="0.3">
      <c r="A115" t="s">
        <v>46</v>
      </c>
      <c r="B115">
        <v>227</v>
      </c>
      <c r="C115">
        <v>0.31785471826204997</v>
      </c>
      <c r="D115">
        <v>0.273455532926001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0</v>
      </c>
      <c r="L115">
        <v>1</v>
      </c>
      <c r="M115">
        <v>1.351</v>
      </c>
      <c r="N115">
        <v>0</v>
      </c>
      <c r="O115">
        <v>17</v>
      </c>
      <c r="P115">
        <v>29</v>
      </c>
      <c r="Q115">
        <v>15</v>
      </c>
      <c r="R115">
        <v>14</v>
      </c>
      <c r="S115">
        <v>2.6884648551503001</v>
      </c>
      <c r="T115">
        <v>2.63000699593039</v>
      </c>
      <c r="U115">
        <v>2.21701753933114</v>
      </c>
      <c r="V115">
        <v>2.39061252335194</v>
      </c>
      <c r="W115">
        <v>181.460422753118</v>
      </c>
      <c r="X115">
        <v>181.268631876412</v>
      </c>
      <c r="Y115">
        <v>179.91367959098099</v>
      </c>
      <c r="Z115">
        <v>180.483216940131</v>
      </c>
      <c r="AA115">
        <v>0</v>
      </c>
      <c r="AB115">
        <v>0</v>
      </c>
      <c r="AC115">
        <v>1</v>
      </c>
      <c r="AD115">
        <v>0</v>
      </c>
      <c r="AE115">
        <v>12</v>
      </c>
      <c r="AF115">
        <v>1</v>
      </c>
    </row>
    <row r="116" spans="1:32" x14ac:dyDescent="0.3">
      <c r="A116" t="s">
        <v>48</v>
      </c>
      <c r="B116">
        <v>229</v>
      </c>
      <c r="C116">
        <v>3.9646978954514599E-2</v>
      </c>
      <c r="D116">
        <v>9.6673455532926E-2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0.17849999999999999</v>
      </c>
      <c r="O116">
        <v>32</v>
      </c>
      <c r="P116">
        <v>25</v>
      </c>
      <c r="Q116">
        <v>18</v>
      </c>
      <c r="R116">
        <v>21</v>
      </c>
      <c r="S116">
        <v>3.2848682006191501</v>
      </c>
      <c r="T116">
        <v>3.3676135066968098</v>
      </c>
      <c r="U116">
        <v>3.0184985822513699</v>
      </c>
      <c r="V116">
        <v>3.3116294969325502</v>
      </c>
      <c r="W116">
        <v>183.417126642451</v>
      </c>
      <c r="X116">
        <v>183.68860074375601</v>
      </c>
      <c r="Y116">
        <v>182.54321057169099</v>
      </c>
      <c r="Z116">
        <v>183.50492617103899</v>
      </c>
      <c r="AA116">
        <v>0</v>
      </c>
      <c r="AB116">
        <v>0</v>
      </c>
      <c r="AC116">
        <v>1</v>
      </c>
      <c r="AD116">
        <v>0</v>
      </c>
      <c r="AE116">
        <v>14</v>
      </c>
      <c r="AF116">
        <v>1</v>
      </c>
    </row>
    <row r="117" spans="1:32" x14ac:dyDescent="0.3">
      <c r="A117" t="s">
        <v>50</v>
      </c>
      <c r="B117">
        <v>231</v>
      </c>
      <c r="C117">
        <v>6.1778682959945701E-2</v>
      </c>
      <c r="D117">
        <v>6.5987780040733204E-2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1</v>
      </c>
      <c r="L117">
        <v>0</v>
      </c>
      <c r="M117">
        <v>0.38150000000000001</v>
      </c>
      <c r="N117">
        <v>0.60550000000000004</v>
      </c>
      <c r="O117">
        <v>34</v>
      </c>
      <c r="P117">
        <v>32</v>
      </c>
      <c r="Q117">
        <v>17</v>
      </c>
      <c r="R117">
        <v>24</v>
      </c>
      <c r="S117">
        <v>3.4393005032516299</v>
      </c>
      <c r="T117">
        <v>3.3904893762735999</v>
      </c>
      <c r="U117">
        <v>3.03295606030929</v>
      </c>
      <c r="V117">
        <v>3.08836476672752</v>
      </c>
      <c r="W117">
        <v>183.923794302007</v>
      </c>
      <c r="X117">
        <v>183.76365280929701</v>
      </c>
      <c r="Y117">
        <v>182.59064324248499</v>
      </c>
      <c r="Z117">
        <v>182.772430337033</v>
      </c>
      <c r="AA117">
        <v>0</v>
      </c>
      <c r="AB117">
        <v>0</v>
      </c>
      <c r="AC117">
        <v>1</v>
      </c>
      <c r="AD117">
        <v>0</v>
      </c>
      <c r="AE117">
        <v>37</v>
      </c>
      <c r="AF117">
        <v>1</v>
      </c>
    </row>
    <row r="118" spans="1:32" x14ac:dyDescent="0.3">
      <c r="A118" t="s">
        <v>52</v>
      </c>
      <c r="B118">
        <v>233</v>
      </c>
      <c r="C118">
        <v>0.273455532926001</v>
      </c>
      <c r="D118">
        <v>0.144602851323829</v>
      </c>
      <c r="E118">
        <v>1</v>
      </c>
      <c r="F118">
        <v>0</v>
      </c>
      <c r="G118">
        <v>0</v>
      </c>
      <c r="H118">
        <v>1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25</v>
      </c>
      <c r="P118">
        <v>35</v>
      </c>
      <c r="Q118">
        <v>16</v>
      </c>
      <c r="R118">
        <v>16</v>
      </c>
      <c r="S118">
        <v>3.1603659535605102</v>
      </c>
      <c r="T118">
        <v>3.4080070681696801</v>
      </c>
      <c r="U118">
        <v>2.3742171226451201</v>
      </c>
      <c r="V118">
        <v>2.94136256459735</v>
      </c>
      <c r="W118">
        <v>183.00865470328301</v>
      </c>
      <c r="X118">
        <v>183.82112555173799</v>
      </c>
      <c r="Y118">
        <v>180.429426255397</v>
      </c>
      <c r="Z118">
        <v>182.29013964762899</v>
      </c>
      <c r="AA118">
        <v>0</v>
      </c>
      <c r="AB118">
        <v>0</v>
      </c>
      <c r="AC118">
        <v>1</v>
      </c>
      <c r="AD118">
        <v>0</v>
      </c>
      <c r="AE118">
        <v>35</v>
      </c>
      <c r="AF118">
        <v>1</v>
      </c>
    </row>
    <row r="119" spans="1:32" x14ac:dyDescent="0.3">
      <c r="A119" t="s">
        <v>54</v>
      </c>
      <c r="B119">
        <v>235</v>
      </c>
      <c r="C119">
        <v>9.6673455532926E-2</v>
      </c>
      <c r="D119">
        <v>0.31785471826204997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0.13300000000000001</v>
      </c>
      <c r="O119">
        <v>37</v>
      </c>
      <c r="P119">
        <v>36</v>
      </c>
      <c r="Q119">
        <v>25</v>
      </c>
      <c r="R119">
        <v>17</v>
      </c>
      <c r="S119">
        <v>3.5494412620142399</v>
      </c>
      <c r="T119">
        <v>3.23915301208479</v>
      </c>
      <c r="U119">
        <v>2.8258402483057101</v>
      </c>
      <c r="V119">
        <v>2.5177546999771199</v>
      </c>
      <c r="W119">
        <v>184.285148497422</v>
      </c>
      <c r="X119">
        <v>183.26714242809999</v>
      </c>
      <c r="Y119">
        <v>181.91112942357501</v>
      </c>
      <c r="Z119">
        <v>180.900350065542</v>
      </c>
      <c r="AA119">
        <v>0</v>
      </c>
      <c r="AB119">
        <v>0</v>
      </c>
      <c r="AC119">
        <v>1</v>
      </c>
      <c r="AD119">
        <v>0</v>
      </c>
      <c r="AE119">
        <v>72</v>
      </c>
      <c r="AF119">
        <v>1</v>
      </c>
    </row>
    <row r="120" spans="1:32" x14ac:dyDescent="0.3">
      <c r="A120" t="s">
        <v>56</v>
      </c>
      <c r="B120">
        <v>237</v>
      </c>
      <c r="C120">
        <v>6.5987780040733204E-2</v>
      </c>
      <c r="D120">
        <v>3.9646978954514599E-2</v>
      </c>
      <c r="E120">
        <v>0</v>
      </c>
      <c r="F120">
        <v>0</v>
      </c>
      <c r="G120">
        <v>0</v>
      </c>
      <c r="H120">
        <v>0</v>
      </c>
      <c r="I120">
        <v>1</v>
      </c>
      <c r="J120">
        <v>1</v>
      </c>
      <c r="K120">
        <v>0</v>
      </c>
      <c r="L120">
        <v>0</v>
      </c>
      <c r="M120">
        <v>0.85399999999999998</v>
      </c>
      <c r="N120">
        <v>0</v>
      </c>
      <c r="O120">
        <v>35</v>
      </c>
      <c r="P120">
        <v>30</v>
      </c>
      <c r="Q120">
        <v>23</v>
      </c>
      <c r="R120">
        <v>21</v>
      </c>
      <c r="S120">
        <v>3.1045637874555601</v>
      </c>
      <c r="T120">
        <v>2.71764799795409</v>
      </c>
      <c r="U120">
        <v>2.2949646006505402</v>
      </c>
      <c r="V120">
        <v>2.5071564861102802</v>
      </c>
      <c r="W120">
        <v>182.825576730497</v>
      </c>
      <c r="X120">
        <v>181.55616797229001</v>
      </c>
      <c r="Y120">
        <v>180.16941141945699</v>
      </c>
      <c r="Z120">
        <v>180.86557902267199</v>
      </c>
      <c r="AA120">
        <v>0</v>
      </c>
      <c r="AB120">
        <v>0</v>
      </c>
      <c r="AC120">
        <v>1</v>
      </c>
      <c r="AD120">
        <v>0</v>
      </c>
      <c r="AE120">
        <v>21</v>
      </c>
      <c r="AF120">
        <v>1</v>
      </c>
    </row>
    <row r="121" spans="1:32" x14ac:dyDescent="0.3">
      <c r="A121" t="s">
        <v>58</v>
      </c>
      <c r="B121">
        <v>239</v>
      </c>
      <c r="C121">
        <v>0.144602851323829</v>
      </c>
      <c r="D121">
        <v>6.1778682959945701E-2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1.5645</v>
      </c>
      <c r="N121">
        <v>0</v>
      </c>
      <c r="O121">
        <v>37</v>
      </c>
      <c r="P121">
        <v>31</v>
      </c>
      <c r="Q121">
        <v>22</v>
      </c>
      <c r="R121">
        <v>18</v>
      </c>
      <c r="S121">
        <v>2.8344187843281099</v>
      </c>
      <c r="T121">
        <v>2.73039125540175</v>
      </c>
      <c r="U121">
        <v>2.44560468705129</v>
      </c>
      <c r="V121">
        <v>2.6264438303745599</v>
      </c>
      <c r="W121">
        <v>181.93927422679801</v>
      </c>
      <c r="X121">
        <v>181.59797655971701</v>
      </c>
      <c r="Y121">
        <v>180.66363742470901</v>
      </c>
      <c r="Z121">
        <v>181.256941700704</v>
      </c>
      <c r="AA121">
        <v>0</v>
      </c>
      <c r="AB121">
        <v>0</v>
      </c>
      <c r="AC121">
        <v>1</v>
      </c>
      <c r="AD121">
        <v>0</v>
      </c>
      <c r="AE121">
        <v>83</v>
      </c>
      <c r="AF121">
        <v>1</v>
      </c>
    </row>
    <row r="122" spans="1:32" x14ac:dyDescent="0.3">
      <c r="A122" t="s">
        <v>60</v>
      </c>
      <c r="B122">
        <v>241</v>
      </c>
      <c r="C122">
        <v>0.31785471826204997</v>
      </c>
      <c r="D122">
        <v>0.273455532926001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40</v>
      </c>
      <c r="P122">
        <v>39</v>
      </c>
      <c r="Q122">
        <v>21</v>
      </c>
      <c r="R122">
        <v>18</v>
      </c>
      <c r="S122">
        <v>3.0737316304947502</v>
      </c>
      <c r="T122">
        <v>2.6149165324742398</v>
      </c>
      <c r="U122">
        <v>2.51696831269753</v>
      </c>
      <c r="V122">
        <v>2.0083717502627199</v>
      </c>
      <c r="W122">
        <v>182.72442135989101</v>
      </c>
      <c r="X122">
        <v>181.21912248187101</v>
      </c>
      <c r="Y122">
        <v>180.897770054782</v>
      </c>
      <c r="Z122">
        <v>179.22914616227899</v>
      </c>
      <c r="AA122">
        <v>0</v>
      </c>
      <c r="AB122">
        <v>0</v>
      </c>
      <c r="AC122">
        <v>1</v>
      </c>
      <c r="AD122">
        <v>0</v>
      </c>
      <c r="AE122">
        <v>226</v>
      </c>
      <c r="AF122">
        <v>1</v>
      </c>
    </row>
    <row r="123" spans="1:32" x14ac:dyDescent="0.3">
      <c r="A123" t="s">
        <v>62</v>
      </c>
      <c r="B123">
        <v>243</v>
      </c>
      <c r="C123">
        <v>3.9646978954514599E-2</v>
      </c>
      <c r="D123">
        <v>9.6673455532926E-2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7.0000000000000007E-2</v>
      </c>
      <c r="N123">
        <v>0</v>
      </c>
      <c r="O123">
        <v>30</v>
      </c>
      <c r="P123">
        <v>38</v>
      </c>
      <c r="Q123">
        <v>28</v>
      </c>
      <c r="R123">
        <v>25</v>
      </c>
      <c r="S123">
        <v>3.10758751050354</v>
      </c>
      <c r="T123">
        <v>3.4476141244495202</v>
      </c>
      <c r="U123">
        <v>2.9508628750762602</v>
      </c>
      <c r="V123">
        <v>2.4519899515968402</v>
      </c>
      <c r="W123">
        <v>182.835497081705</v>
      </c>
      <c r="X123">
        <v>183.95106996210501</v>
      </c>
      <c r="Y123">
        <v>182.321308645263</v>
      </c>
      <c r="Z123">
        <v>180.68458645537001</v>
      </c>
      <c r="AA123">
        <v>0</v>
      </c>
      <c r="AB123">
        <v>0</v>
      </c>
      <c r="AC123">
        <v>1</v>
      </c>
      <c r="AD123">
        <v>0</v>
      </c>
      <c r="AE123">
        <v>2</v>
      </c>
      <c r="AF123">
        <v>1</v>
      </c>
    </row>
    <row r="124" spans="1:32" x14ac:dyDescent="0.3">
      <c r="A124" t="s">
        <v>64</v>
      </c>
      <c r="B124">
        <v>245</v>
      </c>
      <c r="C124">
        <v>6.1778682959945701E-2</v>
      </c>
      <c r="D124">
        <v>6.5987780040733204E-2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0.42699999999999999</v>
      </c>
      <c r="O124">
        <v>36</v>
      </c>
      <c r="P124">
        <v>31</v>
      </c>
      <c r="Q124">
        <v>14</v>
      </c>
      <c r="R124">
        <v>21</v>
      </c>
      <c r="S124">
        <v>2.5801948003965101</v>
      </c>
      <c r="T124">
        <v>3.0930010543036701</v>
      </c>
      <c r="U124">
        <v>2.0259268824518299</v>
      </c>
      <c r="V124">
        <v>2.9808936165014401</v>
      </c>
      <c r="W124">
        <v>181.10520603804599</v>
      </c>
      <c r="X124">
        <v>182.78764125427699</v>
      </c>
      <c r="Y124">
        <v>179.28674174032801</v>
      </c>
      <c r="Z124">
        <v>182.41983469980801</v>
      </c>
      <c r="AA124">
        <v>0</v>
      </c>
      <c r="AB124">
        <v>0</v>
      </c>
      <c r="AC124">
        <v>1</v>
      </c>
      <c r="AD124">
        <v>0</v>
      </c>
      <c r="AE124">
        <v>51</v>
      </c>
      <c r="AF124">
        <v>1</v>
      </c>
    </row>
    <row r="125" spans="1:32" x14ac:dyDescent="0.3">
      <c r="A125" t="s">
        <v>66</v>
      </c>
      <c r="B125">
        <v>247</v>
      </c>
      <c r="C125">
        <v>0.273455532926001</v>
      </c>
      <c r="D125">
        <v>0.144602851323829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8.0500000000000002E-2</v>
      </c>
      <c r="N125">
        <v>0</v>
      </c>
      <c r="O125">
        <v>34</v>
      </c>
      <c r="P125">
        <v>34</v>
      </c>
      <c r="Q125">
        <v>20</v>
      </c>
      <c r="R125">
        <v>15</v>
      </c>
      <c r="S125">
        <v>2.8282645737680898</v>
      </c>
      <c r="T125">
        <v>2.8853251518414802</v>
      </c>
      <c r="U125">
        <v>2.48789918807655</v>
      </c>
      <c r="V125">
        <v>2.3034599042854902</v>
      </c>
      <c r="W125">
        <v>181.919083247271</v>
      </c>
      <c r="X125">
        <v>182.10628986824599</v>
      </c>
      <c r="Y125">
        <v>180.80239891101201</v>
      </c>
      <c r="Z125">
        <v>180.197283150543</v>
      </c>
      <c r="AA125">
        <v>0</v>
      </c>
      <c r="AB125">
        <v>0</v>
      </c>
      <c r="AC125">
        <v>1</v>
      </c>
      <c r="AD125">
        <v>0</v>
      </c>
      <c r="AE125">
        <v>51</v>
      </c>
      <c r="AF125">
        <v>1</v>
      </c>
    </row>
    <row r="126" spans="1:32" x14ac:dyDescent="0.3">
      <c r="A126" t="s">
        <v>68</v>
      </c>
      <c r="B126">
        <v>249</v>
      </c>
      <c r="C126">
        <v>9.6673455532926E-2</v>
      </c>
      <c r="D126">
        <v>0.31785471826204997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9.8000000000000004E-2</v>
      </c>
      <c r="N126">
        <v>4.5499999999999999E-2</v>
      </c>
      <c r="O126">
        <v>40</v>
      </c>
      <c r="P126">
        <v>37</v>
      </c>
      <c r="Q126">
        <v>23</v>
      </c>
      <c r="R126">
        <v>23</v>
      </c>
      <c r="S126">
        <v>3.3870555800073801</v>
      </c>
      <c r="T126">
        <v>3.1521504947544998</v>
      </c>
      <c r="U126">
        <v>2.29403987565804</v>
      </c>
      <c r="V126">
        <v>2.5392023603058602</v>
      </c>
      <c r="W126">
        <v>183.752387073515</v>
      </c>
      <c r="X126">
        <v>182.98170109827601</v>
      </c>
      <c r="Y126">
        <v>180.16637754480999</v>
      </c>
      <c r="Z126">
        <v>180.97071640520301</v>
      </c>
      <c r="AA126">
        <v>0</v>
      </c>
      <c r="AB126">
        <v>0</v>
      </c>
      <c r="AC126">
        <v>1</v>
      </c>
      <c r="AD126">
        <v>0</v>
      </c>
      <c r="AE126">
        <v>55</v>
      </c>
      <c r="AF126">
        <v>1</v>
      </c>
    </row>
    <row r="127" spans="1:32" x14ac:dyDescent="0.3">
      <c r="A127" t="s">
        <v>70</v>
      </c>
      <c r="B127">
        <v>251</v>
      </c>
      <c r="C127">
        <v>6.5987780040733204E-2</v>
      </c>
      <c r="D127">
        <v>3.9646978954514599E-2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35</v>
      </c>
      <c r="P127">
        <v>37</v>
      </c>
      <c r="Q127">
        <v>23</v>
      </c>
      <c r="R127">
        <v>24</v>
      </c>
      <c r="S127">
        <v>2.8728049890614402</v>
      </c>
      <c r="T127">
        <v>3.3059533155824199</v>
      </c>
      <c r="U127">
        <v>2.6095079448896699</v>
      </c>
      <c r="V127">
        <v>2.45996599355973</v>
      </c>
      <c r="W127">
        <v>182.065213218705</v>
      </c>
      <c r="X127">
        <v>183.48630352881401</v>
      </c>
      <c r="Y127">
        <v>181.20137777194799</v>
      </c>
      <c r="Z127">
        <v>180.710754572046</v>
      </c>
      <c r="AA127">
        <v>0</v>
      </c>
      <c r="AB127">
        <v>0</v>
      </c>
      <c r="AC127">
        <v>1</v>
      </c>
      <c r="AD127">
        <v>0</v>
      </c>
      <c r="AE127">
        <v>44</v>
      </c>
      <c r="AF127">
        <v>1</v>
      </c>
    </row>
    <row r="128" spans="1:32" x14ac:dyDescent="0.3">
      <c r="A128" t="s">
        <v>72</v>
      </c>
      <c r="B128">
        <v>253</v>
      </c>
      <c r="C128">
        <v>0.144602851323829</v>
      </c>
      <c r="D128">
        <v>6.1778682959945701E-2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35</v>
      </c>
      <c r="P128">
        <v>33</v>
      </c>
      <c r="Q128">
        <v>17</v>
      </c>
      <c r="R128">
        <v>20</v>
      </c>
      <c r="S128">
        <v>3.1190529547614201</v>
      </c>
      <c r="T128">
        <v>2.9486984154107798</v>
      </c>
      <c r="U128">
        <v>2.7743486327862499</v>
      </c>
      <c r="V128">
        <v>2.3374490822005498</v>
      </c>
      <c r="W128">
        <v>182.87311336863999</v>
      </c>
      <c r="X128">
        <v>182.31420739964199</v>
      </c>
      <c r="Y128">
        <v>181.74219367712001</v>
      </c>
      <c r="Z128">
        <v>180.30879620144501</v>
      </c>
      <c r="AA128">
        <v>0</v>
      </c>
      <c r="AB128">
        <v>0</v>
      </c>
      <c r="AC128">
        <v>1</v>
      </c>
      <c r="AD128">
        <v>0</v>
      </c>
      <c r="AE128">
        <v>56</v>
      </c>
      <c r="AF128">
        <v>1</v>
      </c>
    </row>
    <row r="129" spans="1:32" x14ac:dyDescent="0.3">
      <c r="A129" t="s">
        <v>74</v>
      </c>
      <c r="B129">
        <v>255</v>
      </c>
      <c r="C129">
        <v>0.31785471826204997</v>
      </c>
      <c r="D129">
        <v>0.273455532926001</v>
      </c>
      <c r="E129">
        <v>0</v>
      </c>
      <c r="F129">
        <v>0</v>
      </c>
      <c r="G129">
        <v>0</v>
      </c>
      <c r="H129">
        <v>0</v>
      </c>
      <c r="I129">
        <v>1</v>
      </c>
      <c r="J129">
        <v>1</v>
      </c>
      <c r="K129">
        <v>0</v>
      </c>
      <c r="L129">
        <v>0</v>
      </c>
      <c r="M129">
        <v>1.0500000000000001E-2</v>
      </c>
      <c r="N129">
        <v>0</v>
      </c>
      <c r="O129">
        <v>33</v>
      </c>
      <c r="P129">
        <v>35</v>
      </c>
      <c r="Q129">
        <v>20</v>
      </c>
      <c r="R129">
        <v>17</v>
      </c>
      <c r="S129">
        <v>2.9203386055044298</v>
      </c>
      <c r="T129">
        <v>3.1208404904763101</v>
      </c>
      <c r="U129">
        <v>2.0465011733700398</v>
      </c>
      <c r="V129">
        <v>2.5073596782788101</v>
      </c>
      <c r="W129">
        <v>182.22116340388601</v>
      </c>
      <c r="X129">
        <v>182.878977987127</v>
      </c>
      <c r="Y129">
        <v>179.35424269478401</v>
      </c>
      <c r="Z129">
        <v>180.86624566364401</v>
      </c>
      <c r="AA129">
        <v>0</v>
      </c>
      <c r="AB129">
        <v>0</v>
      </c>
      <c r="AC129">
        <v>1</v>
      </c>
      <c r="AD129">
        <v>0</v>
      </c>
      <c r="AE129">
        <v>77</v>
      </c>
      <c r="AF129">
        <v>1</v>
      </c>
    </row>
    <row r="130" spans="1:32" x14ac:dyDescent="0.3">
      <c r="A130" t="s">
        <v>76</v>
      </c>
      <c r="B130">
        <v>257</v>
      </c>
      <c r="C130">
        <v>3.9646978954514599E-2</v>
      </c>
      <c r="D130">
        <v>9.6673455532926E-2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9.8000000000000004E-2</v>
      </c>
      <c r="N130">
        <v>1.0500000000000001E-2</v>
      </c>
      <c r="O130">
        <v>39</v>
      </c>
      <c r="P130">
        <v>34</v>
      </c>
      <c r="Q130">
        <v>24</v>
      </c>
      <c r="R130">
        <v>23</v>
      </c>
      <c r="S130">
        <v>3.0250373497722398</v>
      </c>
      <c r="T130">
        <v>2.9862764790177998</v>
      </c>
      <c r="U130">
        <v>2.1531476460742001</v>
      </c>
      <c r="V130">
        <v>1.9752050568136501</v>
      </c>
      <c r="W130">
        <v>182.56466322103799</v>
      </c>
      <c r="X130">
        <v>182.437495009901</v>
      </c>
      <c r="Y130">
        <v>179.704132697094</v>
      </c>
      <c r="Z130">
        <v>179.120331551226</v>
      </c>
      <c r="AA130">
        <v>0</v>
      </c>
      <c r="AB130">
        <v>0</v>
      </c>
      <c r="AC130">
        <v>1</v>
      </c>
      <c r="AD130">
        <v>0</v>
      </c>
      <c r="AE130">
        <v>30</v>
      </c>
      <c r="AF130">
        <v>1</v>
      </c>
    </row>
    <row r="131" spans="1:32" x14ac:dyDescent="0.3">
      <c r="A131" t="s">
        <v>78</v>
      </c>
      <c r="B131">
        <v>259</v>
      </c>
      <c r="C131">
        <v>6.1778682959945701E-2</v>
      </c>
      <c r="D131">
        <v>6.5987780040733204E-2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9.8000000000000004E-2</v>
      </c>
      <c r="O131">
        <v>32</v>
      </c>
      <c r="P131">
        <v>42</v>
      </c>
      <c r="Q131">
        <v>23</v>
      </c>
      <c r="R131">
        <v>22</v>
      </c>
      <c r="S131">
        <v>2.6207388963318099</v>
      </c>
      <c r="T131">
        <v>3.0966998424001599</v>
      </c>
      <c r="U131">
        <v>1.7741758769868201</v>
      </c>
      <c r="V131">
        <v>2.30275202315807</v>
      </c>
      <c r="W131">
        <v>181.23822472549799</v>
      </c>
      <c r="X131">
        <v>182.79977638582699</v>
      </c>
      <c r="Y131">
        <v>178.46078699798801</v>
      </c>
      <c r="Z131">
        <v>180.19496070589901</v>
      </c>
      <c r="AA131">
        <v>0</v>
      </c>
      <c r="AB131">
        <v>0</v>
      </c>
      <c r="AC131">
        <v>1</v>
      </c>
      <c r="AD131">
        <v>0</v>
      </c>
      <c r="AE131">
        <v>12</v>
      </c>
      <c r="AF131">
        <v>1</v>
      </c>
    </row>
    <row r="132" spans="1:32" x14ac:dyDescent="0.3">
      <c r="A132" t="s">
        <v>80</v>
      </c>
      <c r="B132">
        <v>261</v>
      </c>
      <c r="C132">
        <v>0.273455532926001</v>
      </c>
      <c r="D132">
        <v>0.144602851323829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0.59499999999999997</v>
      </c>
      <c r="O132">
        <v>39</v>
      </c>
      <c r="P132">
        <v>39</v>
      </c>
      <c r="Q132">
        <v>18</v>
      </c>
      <c r="R132">
        <v>20</v>
      </c>
      <c r="S132">
        <v>3.0199581677326601</v>
      </c>
      <c r="T132">
        <v>3.1440955930777101</v>
      </c>
      <c r="U132">
        <v>2.4294424511102202</v>
      </c>
      <c r="V132">
        <v>2.3865821231379898</v>
      </c>
      <c r="W132">
        <v>182.54799923796801</v>
      </c>
      <c r="X132">
        <v>182.95527425550401</v>
      </c>
      <c r="Y132">
        <v>180.61061171624101</v>
      </c>
      <c r="Z132">
        <v>180.469993842316</v>
      </c>
      <c r="AA132">
        <v>0</v>
      </c>
      <c r="AB132">
        <v>0</v>
      </c>
      <c r="AC132">
        <v>1</v>
      </c>
      <c r="AD132">
        <v>0</v>
      </c>
      <c r="AE132">
        <v>151</v>
      </c>
      <c r="AF132">
        <v>1</v>
      </c>
    </row>
    <row r="133" spans="1:32" x14ac:dyDescent="0.3">
      <c r="A133" t="s">
        <v>82</v>
      </c>
      <c r="B133">
        <v>263</v>
      </c>
      <c r="C133">
        <v>9.6673455532926E-2</v>
      </c>
      <c r="D133">
        <v>0.31785471826204997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1.0500000000000001E-2</v>
      </c>
      <c r="O133">
        <v>36</v>
      </c>
      <c r="P133">
        <v>36</v>
      </c>
      <c r="Q133">
        <v>25</v>
      </c>
      <c r="R133">
        <v>17</v>
      </c>
      <c r="S133">
        <v>3.0236331761974098</v>
      </c>
      <c r="T133">
        <v>2.8834229024826699</v>
      </c>
      <c r="U133">
        <v>2.4108405581824699</v>
      </c>
      <c r="V133">
        <v>2.4293778437214399</v>
      </c>
      <c r="W133">
        <v>182.560056352354</v>
      </c>
      <c r="X133">
        <v>182.10004889266</v>
      </c>
      <c r="Y133">
        <v>180.54958188380101</v>
      </c>
      <c r="Z133">
        <v>180.61039974974199</v>
      </c>
      <c r="AA133">
        <v>0</v>
      </c>
      <c r="AB133">
        <v>0</v>
      </c>
      <c r="AC133">
        <v>1</v>
      </c>
      <c r="AD133">
        <v>0</v>
      </c>
      <c r="AE133">
        <v>54</v>
      </c>
      <c r="AF133">
        <v>1</v>
      </c>
    </row>
    <row r="134" spans="1:32" x14ac:dyDescent="0.3">
      <c r="A134" t="s">
        <v>0</v>
      </c>
      <c r="B134">
        <v>265</v>
      </c>
      <c r="C134">
        <v>6.5987780040733204E-2</v>
      </c>
      <c r="D134">
        <v>3.9646978954514599E-2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0.80149999999999999</v>
      </c>
      <c r="N134">
        <v>0</v>
      </c>
      <c r="O134">
        <v>36</v>
      </c>
      <c r="P134">
        <v>39</v>
      </c>
      <c r="Q134">
        <v>19</v>
      </c>
      <c r="R134">
        <v>25</v>
      </c>
      <c r="S134">
        <v>3.0138319011208901</v>
      </c>
      <c r="T134">
        <v>2.8382892570009401</v>
      </c>
      <c r="U134">
        <v>2.0780594406425799</v>
      </c>
      <c r="V134">
        <v>2.57771233848363</v>
      </c>
      <c r="W134">
        <v>182.52789993806101</v>
      </c>
      <c r="X134">
        <v>181.951972627956</v>
      </c>
      <c r="Y134">
        <v>179.45778031706899</v>
      </c>
      <c r="Z134">
        <v>181.09706147796501</v>
      </c>
      <c r="AA134">
        <v>0</v>
      </c>
      <c r="AB134">
        <v>0</v>
      </c>
      <c r="AC134">
        <v>1</v>
      </c>
      <c r="AD134">
        <v>0</v>
      </c>
      <c r="AE134">
        <v>45</v>
      </c>
      <c r="AF134">
        <v>1</v>
      </c>
    </row>
    <row r="135" spans="1:32" x14ac:dyDescent="0.3">
      <c r="A135" t="s">
        <v>85</v>
      </c>
      <c r="B135">
        <v>267</v>
      </c>
      <c r="C135">
        <v>0.144602851323829</v>
      </c>
      <c r="D135">
        <v>6.1778682959945701E-2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36</v>
      </c>
      <c r="P135">
        <v>35</v>
      </c>
      <c r="Q135">
        <v>20</v>
      </c>
      <c r="R135">
        <v>18</v>
      </c>
      <c r="S135">
        <v>3.3349657401912798</v>
      </c>
      <c r="T135">
        <v>3.1466341695436699</v>
      </c>
      <c r="U135">
        <v>2.5560580066162402</v>
      </c>
      <c r="V135">
        <v>2.2192763758193701</v>
      </c>
      <c r="W135">
        <v>183.581488648922</v>
      </c>
      <c r="X135">
        <v>182.96360291844999</v>
      </c>
      <c r="Y135">
        <v>181.02601708207399</v>
      </c>
      <c r="Z135">
        <v>179.921090471848</v>
      </c>
      <c r="AA135">
        <v>0</v>
      </c>
      <c r="AB135">
        <v>0</v>
      </c>
      <c r="AC135">
        <v>1</v>
      </c>
      <c r="AD135">
        <v>0</v>
      </c>
      <c r="AE135">
        <v>76</v>
      </c>
      <c r="AF135">
        <v>1</v>
      </c>
    </row>
    <row r="136" spans="1:32" x14ac:dyDescent="0.3">
      <c r="A136" t="s">
        <v>87</v>
      </c>
      <c r="B136">
        <v>269</v>
      </c>
      <c r="C136">
        <v>0.31785471826204997</v>
      </c>
      <c r="D136">
        <v>0.273455532926001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37</v>
      </c>
      <c r="P136">
        <v>36</v>
      </c>
      <c r="Q136">
        <v>18</v>
      </c>
      <c r="R136">
        <v>16</v>
      </c>
      <c r="S136">
        <v>2.84432691941646</v>
      </c>
      <c r="T136">
        <v>3.1397741928697398</v>
      </c>
      <c r="U136">
        <v>2.0866321225840601</v>
      </c>
      <c r="V136">
        <v>2.396361559442</v>
      </c>
      <c r="W136">
        <v>181.97178123168101</v>
      </c>
      <c r="X136">
        <v>182.9410964333</v>
      </c>
      <c r="Y136">
        <v>179.48590591399</v>
      </c>
      <c r="Z136">
        <v>180.50207860709301</v>
      </c>
      <c r="AA136">
        <v>0</v>
      </c>
      <c r="AB136">
        <v>0</v>
      </c>
      <c r="AC136">
        <v>1</v>
      </c>
      <c r="AD136">
        <v>0</v>
      </c>
      <c r="AE136">
        <v>185</v>
      </c>
      <c r="AF136">
        <v>1</v>
      </c>
    </row>
    <row r="137" spans="1:32" x14ac:dyDescent="0.3">
      <c r="A137" t="s">
        <v>90</v>
      </c>
      <c r="B137">
        <v>271</v>
      </c>
      <c r="C137">
        <v>6.1778682959945701E-2</v>
      </c>
      <c r="D137">
        <v>6.5987780040733204E-2</v>
      </c>
      <c r="E137">
        <v>0</v>
      </c>
      <c r="F137">
        <v>0</v>
      </c>
      <c r="G137">
        <v>0</v>
      </c>
      <c r="H137">
        <v>1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0.92</v>
      </c>
      <c r="O137">
        <v>37</v>
      </c>
      <c r="P137">
        <v>35</v>
      </c>
      <c r="Q137">
        <v>20</v>
      </c>
      <c r="R137">
        <v>21</v>
      </c>
      <c r="S137">
        <v>3.04321180857717</v>
      </c>
      <c r="T137">
        <v>3.3790975304142798</v>
      </c>
      <c r="U137">
        <v>2.2132802106938998</v>
      </c>
      <c r="V137">
        <v>2.63979634084445</v>
      </c>
      <c r="W137">
        <v>182.62429071055499</v>
      </c>
      <c r="X137">
        <v>183.726277986924</v>
      </c>
      <c r="Y137">
        <v>179.90141801408799</v>
      </c>
      <c r="Z137">
        <v>181.30074914975199</v>
      </c>
      <c r="AA137">
        <v>0</v>
      </c>
      <c r="AB137">
        <v>0</v>
      </c>
      <c r="AC137">
        <v>1</v>
      </c>
      <c r="AD137">
        <v>0</v>
      </c>
      <c r="AE137">
        <v>61</v>
      </c>
      <c r="AF137">
        <v>1</v>
      </c>
    </row>
    <row r="138" spans="1:32" x14ac:dyDescent="0.3">
      <c r="A138" t="s">
        <v>92</v>
      </c>
      <c r="B138">
        <v>273</v>
      </c>
      <c r="C138">
        <v>0.273455532926001</v>
      </c>
      <c r="D138">
        <v>0.144602851323829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39</v>
      </c>
      <c r="P138">
        <v>37</v>
      </c>
      <c r="Q138">
        <v>20</v>
      </c>
      <c r="R138">
        <v>21</v>
      </c>
      <c r="S138">
        <v>3.0141445431664202</v>
      </c>
      <c r="T138">
        <v>2.95137179645827</v>
      </c>
      <c r="U138">
        <v>2.3777530414816401</v>
      </c>
      <c r="V138">
        <v>2.1102183510966501</v>
      </c>
      <c r="W138">
        <v>182.528925666557</v>
      </c>
      <c r="X138">
        <v>182.32297833483699</v>
      </c>
      <c r="Y138">
        <v>180.44102703898201</v>
      </c>
      <c r="Z138">
        <v>179.563288553467</v>
      </c>
      <c r="AA138">
        <v>0</v>
      </c>
      <c r="AB138">
        <v>0</v>
      </c>
      <c r="AC138">
        <v>1</v>
      </c>
      <c r="AD138">
        <v>0</v>
      </c>
      <c r="AE138">
        <v>143</v>
      </c>
      <c r="AF138">
        <v>1</v>
      </c>
    </row>
    <row r="139" spans="1:32" x14ac:dyDescent="0.3">
      <c r="A139" t="s">
        <v>94</v>
      </c>
      <c r="B139">
        <v>275</v>
      </c>
      <c r="C139">
        <v>9.6673455532926E-2</v>
      </c>
      <c r="D139">
        <v>0.31785471826204997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0.48</v>
      </c>
      <c r="O139">
        <v>42</v>
      </c>
      <c r="P139">
        <v>41</v>
      </c>
      <c r="Q139">
        <v>21</v>
      </c>
      <c r="R139">
        <v>21</v>
      </c>
      <c r="S139">
        <v>3.0680796797693302</v>
      </c>
      <c r="T139">
        <v>3.0844557460744002</v>
      </c>
      <c r="U139">
        <v>2.0526259079836802</v>
      </c>
      <c r="V139">
        <v>2.14018929241045</v>
      </c>
      <c r="W139">
        <v>182.705878214466</v>
      </c>
      <c r="X139">
        <v>182.75960546612299</v>
      </c>
      <c r="Y139">
        <v>179.37433696845</v>
      </c>
      <c r="Z139">
        <v>179.66161841342</v>
      </c>
      <c r="AA139">
        <v>0</v>
      </c>
      <c r="AB139">
        <v>0</v>
      </c>
      <c r="AC139">
        <v>1</v>
      </c>
      <c r="AD139">
        <v>0</v>
      </c>
      <c r="AE139">
        <v>65</v>
      </c>
      <c r="AF139">
        <v>1</v>
      </c>
    </row>
    <row r="140" spans="1:32" x14ac:dyDescent="0.3">
      <c r="A140" t="s">
        <v>96</v>
      </c>
      <c r="B140">
        <v>277</v>
      </c>
      <c r="C140">
        <v>6.5987780040733204E-2</v>
      </c>
      <c r="D140">
        <v>3.9646978954514599E-2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0.17</v>
      </c>
      <c r="O140">
        <v>41</v>
      </c>
      <c r="P140">
        <v>41</v>
      </c>
      <c r="Q140">
        <v>24</v>
      </c>
      <c r="R140">
        <v>23</v>
      </c>
      <c r="S140">
        <v>3.1802381056562301</v>
      </c>
      <c r="T140">
        <v>3.1868377366175098</v>
      </c>
      <c r="U140">
        <v>2.2299869337594198</v>
      </c>
      <c r="V140">
        <v>2.02899065528042</v>
      </c>
      <c r="W140">
        <v>183.07385205267801</v>
      </c>
      <c r="X140">
        <v>183.095504385228</v>
      </c>
      <c r="Y140">
        <v>179.95623009763599</v>
      </c>
      <c r="Z140">
        <v>179.29679348845301</v>
      </c>
      <c r="AA140">
        <v>0</v>
      </c>
      <c r="AB140">
        <v>0</v>
      </c>
      <c r="AC140">
        <v>1</v>
      </c>
      <c r="AD140">
        <v>0</v>
      </c>
      <c r="AE140">
        <v>43</v>
      </c>
      <c r="AF140">
        <v>1</v>
      </c>
    </row>
    <row r="141" spans="1:32" x14ac:dyDescent="0.3">
      <c r="A141" t="s">
        <v>98</v>
      </c>
      <c r="B141">
        <v>279</v>
      </c>
      <c r="C141">
        <v>0.144602851323829</v>
      </c>
      <c r="D141">
        <v>6.1778682959945701E-2</v>
      </c>
      <c r="E141">
        <v>0</v>
      </c>
      <c r="F141">
        <v>0</v>
      </c>
      <c r="G141">
        <v>0</v>
      </c>
      <c r="H141">
        <v>1</v>
      </c>
      <c r="I141">
        <v>0</v>
      </c>
      <c r="J141">
        <v>1</v>
      </c>
      <c r="K141">
        <v>0</v>
      </c>
      <c r="L141">
        <v>0</v>
      </c>
      <c r="M141">
        <v>0.06</v>
      </c>
      <c r="N141">
        <v>0</v>
      </c>
      <c r="O141">
        <v>37</v>
      </c>
      <c r="P141">
        <v>36</v>
      </c>
      <c r="Q141">
        <v>22</v>
      </c>
      <c r="R141">
        <v>24</v>
      </c>
      <c r="S141">
        <v>3.02182131651533</v>
      </c>
      <c r="T141">
        <v>3.3253153662707202</v>
      </c>
      <c r="U141">
        <v>2.7202962146299998</v>
      </c>
      <c r="V141">
        <v>2.2786336495903101</v>
      </c>
      <c r="W141">
        <v>182.554111930825</v>
      </c>
      <c r="X141">
        <v>183.549827317161</v>
      </c>
      <c r="Y141">
        <v>181.56485634721099</v>
      </c>
      <c r="Z141">
        <v>180.11583218369501</v>
      </c>
      <c r="AA141">
        <v>0</v>
      </c>
      <c r="AB141">
        <v>0</v>
      </c>
      <c r="AC141">
        <v>1</v>
      </c>
      <c r="AD141">
        <v>0</v>
      </c>
      <c r="AE141">
        <v>18</v>
      </c>
      <c r="AF141">
        <v>1</v>
      </c>
    </row>
    <row r="142" spans="1:32" x14ac:dyDescent="0.3">
      <c r="A142" t="s">
        <v>100</v>
      </c>
      <c r="B142">
        <v>281</v>
      </c>
      <c r="C142">
        <v>0.31785471826204997</v>
      </c>
      <c r="D142">
        <v>0.273455532926001</v>
      </c>
      <c r="E142">
        <v>0</v>
      </c>
      <c r="F142">
        <v>0</v>
      </c>
      <c r="G142">
        <v>0</v>
      </c>
      <c r="H142">
        <v>1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0.65</v>
      </c>
      <c r="O142">
        <v>27</v>
      </c>
      <c r="P142">
        <v>40</v>
      </c>
      <c r="Q142">
        <v>19</v>
      </c>
      <c r="R142">
        <v>18</v>
      </c>
      <c r="S142">
        <v>2.1575916763177401</v>
      </c>
      <c r="T142">
        <v>2.5724462250998501</v>
      </c>
      <c r="U142">
        <v>1.62145500490676</v>
      </c>
      <c r="V142">
        <v>2.04245257336152</v>
      </c>
      <c r="W142">
        <v>179.71871284881101</v>
      </c>
      <c r="X142">
        <v>181.07978420308299</v>
      </c>
      <c r="Y142">
        <v>177.959734268067</v>
      </c>
      <c r="Z142">
        <v>179.34095988635701</v>
      </c>
      <c r="AA142">
        <v>0</v>
      </c>
      <c r="AB142">
        <v>0</v>
      </c>
      <c r="AC142">
        <v>1</v>
      </c>
      <c r="AD142">
        <v>0</v>
      </c>
      <c r="AE142">
        <v>38</v>
      </c>
      <c r="AF142">
        <v>1</v>
      </c>
    </row>
    <row r="143" spans="1:32" x14ac:dyDescent="0.3">
      <c r="A143" t="s">
        <v>102</v>
      </c>
      <c r="B143">
        <v>283</v>
      </c>
      <c r="C143">
        <v>3.9646978954514599E-2</v>
      </c>
      <c r="D143">
        <v>9.6673455532926E-2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0.03</v>
      </c>
      <c r="O143">
        <v>29</v>
      </c>
      <c r="P143">
        <v>39</v>
      </c>
      <c r="Q143">
        <v>26</v>
      </c>
      <c r="R143">
        <v>22</v>
      </c>
      <c r="S143">
        <v>3.4183521132655201</v>
      </c>
      <c r="T143">
        <v>3.15149123480525</v>
      </c>
      <c r="U143">
        <v>2.9742954630799798</v>
      </c>
      <c r="V143">
        <v>2.0829988656907701</v>
      </c>
      <c r="W143">
        <v>183.85506598840399</v>
      </c>
      <c r="X143">
        <v>182.979538171933</v>
      </c>
      <c r="Y143">
        <v>182.39818721482899</v>
      </c>
      <c r="Z143">
        <v>179.473985779825</v>
      </c>
      <c r="AA143">
        <v>0</v>
      </c>
      <c r="AB143">
        <v>0</v>
      </c>
      <c r="AC143">
        <v>1</v>
      </c>
      <c r="AD143">
        <v>0</v>
      </c>
      <c r="AE143">
        <v>2</v>
      </c>
      <c r="AF143">
        <v>1</v>
      </c>
    </row>
    <row r="144" spans="1:32" x14ac:dyDescent="0.3">
      <c r="A144" t="s">
        <v>104</v>
      </c>
      <c r="B144">
        <v>285</v>
      </c>
      <c r="C144">
        <v>6.1778682959945701E-2</v>
      </c>
      <c r="D144">
        <v>6.5987780040733204E-2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1.59</v>
      </c>
      <c r="O144">
        <v>32</v>
      </c>
      <c r="P144">
        <v>34</v>
      </c>
      <c r="Q144">
        <v>18</v>
      </c>
      <c r="R144">
        <v>23</v>
      </c>
      <c r="S144">
        <v>3.00296801473413</v>
      </c>
      <c r="T144">
        <v>3.2658176236902299</v>
      </c>
      <c r="U144">
        <v>2.632352483874</v>
      </c>
      <c r="V144">
        <v>2.4572778467671701</v>
      </c>
      <c r="W144">
        <v>182.49225726618801</v>
      </c>
      <c r="X144">
        <v>183.35462474964001</v>
      </c>
      <c r="Y144">
        <v>181.276327046831</v>
      </c>
      <c r="Z144">
        <v>180.70193519280599</v>
      </c>
      <c r="AA144">
        <v>0</v>
      </c>
      <c r="AB144">
        <v>0</v>
      </c>
      <c r="AC144">
        <v>1</v>
      </c>
      <c r="AD144">
        <v>0</v>
      </c>
      <c r="AE144">
        <v>26</v>
      </c>
      <c r="AF144">
        <v>1</v>
      </c>
    </row>
    <row r="145" spans="1:32" x14ac:dyDescent="0.3">
      <c r="A145" t="s">
        <v>106</v>
      </c>
      <c r="B145">
        <v>287</v>
      </c>
      <c r="C145">
        <v>0.273455532926001</v>
      </c>
      <c r="D145">
        <v>0.144602851323829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35</v>
      </c>
      <c r="P145">
        <v>39</v>
      </c>
      <c r="Q145">
        <v>17</v>
      </c>
      <c r="R145">
        <v>17</v>
      </c>
      <c r="S145">
        <v>2.9688744484679401</v>
      </c>
      <c r="T145">
        <v>2.8180245196931502</v>
      </c>
      <c r="U145">
        <v>2.6865443469864001</v>
      </c>
      <c r="V145">
        <v>2.5112835034578098</v>
      </c>
      <c r="W145">
        <v>182.38040173381901</v>
      </c>
      <c r="X145">
        <v>181.88548726933399</v>
      </c>
      <c r="Y145">
        <v>181.45412187331499</v>
      </c>
      <c r="Z145">
        <v>180.87911910583301</v>
      </c>
      <c r="AA145">
        <v>0</v>
      </c>
      <c r="AB145">
        <v>0</v>
      </c>
      <c r="AC145">
        <v>1</v>
      </c>
      <c r="AD145">
        <v>0</v>
      </c>
      <c r="AE145">
        <v>147</v>
      </c>
      <c r="AF145">
        <v>1</v>
      </c>
    </row>
    <row r="146" spans="1:32" x14ac:dyDescent="0.3">
      <c r="A146" t="s">
        <v>108</v>
      </c>
      <c r="B146">
        <v>289</v>
      </c>
      <c r="C146">
        <v>9.6673455532926E-2</v>
      </c>
      <c r="D146">
        <v>0.31785471826204997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38</v>
      </c>
      <c r="P146">
        <v>36</v>
      </c>
      <c r="Q146">
        <v>22</v>
      </c>
      <c r="R146">
        <v>19</v>
      </c>
      <c r="S146">
        <v>3.04568235385103</v>
      </c>
      <c r="T146">
        <v>3.3783949803314002</v>
      </c>
      <c r="U146">
        <v>2.5319440787486598</v>
      </c>
      <c r="V146">
        <v>2.6768222335156602</v>
      </c>
      <c r="W146">
        <v>182.63239617405199</v>
      </c>
      <c r="X146">
        <v>183.72397303258299</v>
      </c>
      <c r="Y146">
        <v>180.94690314550101</v>
      </c>
      <c r="Z146">
        <v>181.42222517557599</v>
      </c>
      <c r="AA146">
        <v>0</v>
      </c>
      <c r="AB146">
        <v>0</v>
      </c>
      <c r="AC146">
        <v>1</v>
      </c>
      <c r="AD146">
        <v>0</v>
      </c>
      <c r="AE146">
        <v>42</v>
      </c>
      <c r="AF146">
        <v>1</v>
      </c>
    </row>
    <row r="147" spans="1:32" x14ac:dyDescent="0.3">
      <c r="A147" t="s">
        <v>110</v>
      </c>
      <c r="B147">
        <v>291</v>
      </c>
      <c r="C147">
        <v>6.5987780040733204E-2</v>
      </c>
      <c r="D147">
        <v>3.9646978954514599E-2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42</v>
      </c>
      <c r="P147">
        <v>42</v>
      </c>
      <c r="Q147">
        <v>22</v>
      </c>
      <c r="R147">
        <v>19</v>
      </c>
      <c r="S147">
        <v>2.8898811771351598</v>
      </c>
      <c r="T147">
        <v>3.02259548764675</v>
      </c>
      <c r="U147">
        <v>2.6232131948681499</v>
      </c>
      <c r="V147">
        <v>2.2241682711104498</v>
      </c>
      <c r="W147">
        <v>182.121237457793</v>
      </c>
      <c r="X147">
        <v>182.556651862358</v>
      </c>
      <c r="Y147">
        <v>181.24634250284799</v>
      </c>
      <c r="Z147">
        <v>179.937139997082</v>
      </c>
      <c r="AA147">
        <v>0</v>
      </c>
      <c r="AB147">
        <v>0</v>
      </c>
      <c r="AC147">
        <v>1</v>
      </c>
      <c r="AD147">
        <v>0</v>
      </c>
      <c r="AE147">
        <v>44</v>
      </c>
      <c r="AF147">
        <v>1</v>
      </c>
    </row>
    <row r="148" spans="1:32" x14ac:dyDescent="0.3">
      <c r="A148" t="s">
        <v>112</v>
      </c>
      <c r="B148">
        <v>293</v>
      </c>
      <c r="C148">
        <v>0.144602851323829</v>
      </c>
      <c r="D148">
        <v>6.1778682959945701E-2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39</v>
      </c>
      <c r="P148">
        <v>39</v>
      </c>
      <c r="Q148">
        <v>21</v>
      </c>
      <c r="R148">
        <v>21</v>
      </c>
      <c r="S148">
        <v>3.1286914308571001</v>
      </c>
      <c r="T148">
        <v>3.2285230308995598</v>
      </c>
      <c r="U148">
        <v>2.80382323542592</v>
      </c>
      <c r="V148">
        <v>2.5324843494864702</v>
      </c>
      <c r="W148">
        <v>182.90473566554201</v>
      </c>
      <c r="X148">
        <v>183.23226716174401</v>
      </c>
      <c r="Y148">
        <v>181.83889512934999</v>
      </c>
      <c r="Z148">
        <v>180.948675687292</v>
      </c>
      <c r="AA148">
        <v>0</v>
      </c>
      <c r="AB148">
        <v>0</v>
      </c>
      <c r="AC148">
        <v>1</v>
      </c>
      <c r="AD148">
        <v>0</v>
      </c>
      <c r="AE148">
        <v>41</v>
      </c>
      <c r="AF148">
        <v>1</v>
      </c>
    </row>
    <row r="149" spans="1:32" x14ac:dyDescent="0.3">
      <c r="A149" t="s">
        <v>114</v>
      </c>
      <c r="B149">
        <v>295</v>
      </c>
      <c r="C149">
        <v>0.31785471826204997</v>
      </c>
      <c r="D149">
        <v>0.273455532926001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44</v>
      </c>
      <c r="P149">
        <v>41</v>
      </c>
      <c r="Q149">
        <v>18</v>
      </c>
      <c r="R149">
        <v>16</v>
      </c>
      <c r="S149">
        <v>2.9149156923419701</v>
      </c>
      <c r="T149">
        <v>2.8032373042770602</v>
      </c>
      <c r="U149">
        <v>2.0919060584220199</v>
      </c>
      <c r="V149">
        <v>2.2268365987455798</v>
      </c>
      <c r="W149">
        <v>182.20337169403501</v>
      </c>
      <c r="X149">
        <v>181.83697278306099</v>
      </c>
      <c r="Y149">
        <v>179.503208853091</v>
      </c>
      <c r="Z149">
        <v>179.94589435284001</v>
      </c>
      <c r="AA149">
        <v>0</v>
      </c>
      <c r="AB149">
        <v>0</v>
      </c>
      <c r="AC149">
        <v>1</v>
      </c>
      <c r="AD149">
        <v>0</v>
      </c>
      <c r="AE149">
        <v>209</v>
      </c>
      <c r="AF149">
        <v>1</v>
      </c>
    </row>
    <row r="150" spans="1:32" x14ac:dyDescent="0.3">
      <c r="A150" t="s">
        <v>116</v>
      </c>
      <c r="B150">
        <v>297</v>
      </c>
      <c r="C150">
        <v>3.9646978954514599E-2</v>
      </c>
      <c r="D150">
        <v>9.6673455532926E-2</v>
      </c>
      <c r="E150">
        <v>0</v>
      </c>
      <c r="F150">
        <v>1</v>
      </c>
      <c r="G150">
        <v>1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44</v>
      </c>
      <c r="P150">
        <v>43</v>
      </c>
      <c r="Q150">
        <v>24</v>
      </c>
      <c r="R150">
        <v>17</v>
      </c>
      <c r="S150">
        <v>3.30917813816807</v>
      </c>
      <c r="T150">
        <v>2.7916910823877501</v>
      </c>
      <c r="U150">
        <v>2.1548792413867601</v>
      </c>
      <c r="V150">
        <v>1.8399879520046201</v>
      </c>
      <c r="W150">
        <v>183.496883655407</v>
      </c>
      <c r="X150">
        <v>181.79909147764999</v>
      </c>
      <c r="Y150">
        <v>179.709813784077</v>
      </c>
      <c r="Z150">
        <v>178.67670587928001</v>
      </c>
      <c r="AA150">
        <v>0</v>
      </c>
      <c r="AB150">
        <v>0</v>
      </c>
      <c r="AC150">
        <v>1</v>
      </c>
      <c r="AD150">
        <v>0</v>
      </c>
      <c r="AE150">
        <v>35</v>
      </c>
      <c r="AF150">
        <v>1</v>
      </c>
    </row>
    <row r="151" spans="1:32" x14ac:dyDescent="0.3">
      <c r="A151" t="s">
        <v>118</v>
      </c>
      <c r="B151">
        <v>299</v>
      </c>
      <c r="C151">
        <v>6.1778682959945701E-2</v>
      </c>
      <c r="D151">
        <v>6.5987780040733204E-2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0.78</v>
      </c>
      <c r="N151">
        <v>0</v>
      </c>
      <c r="O151">
        <v>26</v>
      </c>
      <c r="P151">
        <v>39</v>
      </c>
      <c r="Q151">
        <v>24</v>
      </c>
      <c r="R151">
        <v>22</v>
      </c>
      <c r="S151">
        <v>3.0488197407085398</v>
      </c>
      <c r="T151">
        <v>3.3103495882328602</v>
      </c>
      <c r="U151">
        <v>2.8229531405844401</v>
      </c>
      <c r="V151">
        <v>2.4686014398962599</v>
      </c>
      <c r="W151">
        <v>182.64268943802</v>
      </c>
      <c r="X151">
        <v>183.50072699551501</v>
      </c>
      <c r="Y151">
        <v>181.90165728538199</v>
      </c>
      <c r="Z151">
        <v>180.739086088899</v>
      </c>
      <c r="AA151">
        <v>0</v>
      </c>
      <c r="AB151">
        <v>0</v>
      </c>
      <c r="AC151">
        <v>1</v>
      </c>
      <c r="AD151">
        <v>0</v>
      </c>
      <c r="AE151">
        <v>5</v>
      </c>
      <c r="AF151">
        <v>1</v>
      </c>
    </row>
    <row r="152" spans="1:32" x14ac:dyDescent="0.3">
      <c r="A152" t="s">
        <v>120</v>
      </c>
      <c r="B152">
        <v>301</v>
      </c>
      <c r="C152">
        <v>0.273455532926001</v>
      </c>
      <c r="D152">
        <v>0.144602851323829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0.05</v>
      </c>
      <c r="N152">
        <v>0.68</v>
      </c>
      <c r="O152">
        <v>35</v>
      </c>
      <c r="P152">
        <v>38</v>
      </c>
      <c r="Q152">
        <v>16</v>
      </c>
      <c r="R152">
        <v>17</v>
      </c>
      <c r="S152">
        <v>3.1194607274842601</v>
      </c>
      <c r="T152">
        <v>3.17733137443863</v>
      </c>
      <c r="U152">
        <v>2.3219016317345198</v>
      </c>
      <c r="V152">
        <v>2.7104820658264401</v>
      </c>
      <c r="W152">
        <v>182.87445120565701</v>
      </c>
      <c r="X152">
        <v>183.06431553293501</v>
      </c>
      <c r="Y152">
        <v>180.257787505691</v>
      </c>
      <c r="Z152">
        <v>181.53265769628101</v>
      </c>
      <c r="AA152">
        <v>0</v>
      </c>
      <c r="AB152">
        <v>0</v>
      </c>
      <c r="AC152">
        <v>1</v>
      </c>
      <c r="AD152">
        <v>0</v>
      </c>
      <c r="AE152">
        <v>83</v>
      </c>
      <c r="AF152">
        <v>1</v>
      </c>
    </row>
    <row r="153" spans="1:32" x14ac:dyDescent="0.3">
      <c r="A153" t="s">
        <v>122</v>
      </c>
      <c r="B153">
        <v>303</v>
      </c>
      <c r="C153">
        <v>9.6673455532926E-2</v>
      </c>
      <c r="D153">
        <v>0.31785471826204997</v>
      </c>
      <c r="E153">
        <v>0</v>
      </c>
      <c r="F153">
        <v>0</v>
      </c>
      <c r="G153">
        <v>0</v>
      </c>
      <c r="H153">
        <v>0</v>
      </c>
      <c r="I153">
        <v>1</v>
      </c>
      <c r="J153">
        <v>0</v>
      </c>
      <c r="K153">
        <v>1</v>
      </c>
      <c r="L153">
        <v>0</v>
      </c>
      <c r="M153">
        <v>0.72</v>
      </c>
      <c r="N153">
        <v>0.16</v>
      </c>
      <c r="O153">
        <v>20</v>
      </c>
      <c r="P153">
        <v>24</v>
      </c>
      <c r="Q153">
        <v>19</v>
      </c>
      <c r="R153">
        <v>18</v>
      </c>
      <c r="S153">
        <v>2.90782461407102</v>
      </c>
      <c r="T153">
        <v>2.9213840972238398</v>
      </c>
      <c r="U153">
        <v>2.89030256356292</v>
      </c>
      <c r="V153">
        <v>2.74099545841091</v>
      </c>
      <c r="W153">
        <v>182.180107001545</v>
      </c>
      <c r="X153">
        <v>182.22459349482901</v>
      </c>
      <c r="Y153">
        <v>182.12261995919599</v>
      </c>
      <c r="Z153">
        <v>181.63276725200399</v>
      </c>
      <c r="AA153">
        <v>0</v>
      </c>
      <c r="AB153">
        <v>0</v>
      </c>
      <c r="AC153">
        <v>1</v>
      </c>
      <c r="AD153">
        <v>0</v>
      </c>
      <c r="AE153">
        <v>2</v>
      </c>
      <c r="AF153">
        <v>1</v>
      </c>
    </row>
    <row r="154" spans="1:32" x14ac:dyDescent="0.3">
      <c r="A154" s="26" t="s">
        <v>10</v>
      </c>
      <c r="B154">
        <v>305</v>
      </c>
      <c r="C154">
        <v>0.14209004543577</v>
      </c>
      <c r="D154">
        <v>6.0994079581440201E-2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28</v>
      </c>
      <c r="P154">
        <v>25</v>
      </c>
      <c r="Q154">
        <v>14</v>
      </c>
      <c r="R154">
        <v>16</v>
      </c>
      <c r="S154">
        <v>3.30745907556603</v>
      </c>
      <c r="T154">
        <v>3.3138898043287202</v>
      </c>
      <c r="U154">
        <v>2.6968742989510202</v>
      </c>
      <c r="V154">
        <v>2.8571812924574198</v>
      </c>
      <c r="W154">
        <v>183.55124368624001</v>
      </c>
      <c r="X154">
        <v>183.572341877719</v>
      </c>
      <c r="Y154">
        <v>181.548012791834</v>
      </c>
      <c r="Z154">
        <v>182.07395437157899</v>
      </c>
      <c r="AA154">
        <v>0</v>
      </c>
      <c r="AB154">
        <v>0</v>
      </c>
      <c r="AC154">
        <v>0</v>
      </c>
      <c r="AD154">
        <v>1</v>
      </c>
      <c r="AE154">
        <v>21</v>
      </c>
      <c r="AF154">
        <v>1</v>
      </c>
    </row>
    <row r="155" spans="1:32" x14ac:dyDescent="0.3">
      <c r="A155" t="s">
        <v>12</v>
      </c>
      <c r="B155">
        <v>307</v>
      </c>
      <c r="C155">
        <v>0.32190554867134802</v>
      </c>
      <c r="D155">
        <v>0.27110009637890697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35</v>
      </c>
      <c r="P155">
        <v>27</v>
      </c>
      <c r="Q155">
        <v>9</v>
      </c>
      <c r="R155">
        <v>6</v>
      </c>
      <c r="S155">
        <v>2.7141767339608802</v>
      </c>
      <c r="T155">
        <v>3.0610368064600202</v>
      </c>
      <c r="U155">
        <v>2.1278792560472102</v>
      </c>
      <c r="V155">
        <v>2.8218256889659101</v>
      </c>
      <c r="W155">
        <v>181.604779310895</v>
      </c>
      <c r="X155">
        <v>182.74277167473801</v>
      </c>
      <c r="Y155">
        <v>179.68123115501101</v>
      </c>
      <c r="Z155">
        <v>181.957958297132</v>
      </c>
      <c r="AA155">
        <v>0</v>
      </c>
      <c r="AB155">
        <v>0</v>
      </c>
      <c r="AC155">
        <v>0</v>
      </c>
      <c r="AD155">
        <v>1</v>
      </c>
      <c r="AE155">
        <v>173</v>
      </c>
      <c r="AF155">
        <v>1</v>
      </c>
    </row>
    <row r="156" spans="1:32" x14ac:dyDescent="0.3">
      <c r="A156" t="s">
        <v>14</v>
      </c>
      <c r="B156">
        <v>309</v>
      </c>
      <c r="C156">
        <v>4.0066088393225903E-2</v>
      </c>
      <c r="D156">
        <v>9.7067327550598895E-2</v>
      </c>
      <c r="E156">
        <v>0</v>
      </c>
      <c r="F156">
        <v>1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32</v>
      </c>
      <c r="P156">
        <v>32</v>
      </c>
      <c r="Q156">
        <v>20</v>
      </c>
      <c r="R156">
        <v>16</v>
      </c>
      <c r="S156">
        <v>3.0008899082617599</v>
      </c>
      <c r="T156">
        <v>2.9869687916580401</v>
      </c>
      <c r="U156">
        <v>2.5889431311490401</v>
      </c>
      <c r="V156">
        <v>2.8635976143222099</v>
      </c>
      <c r="W156">
        <v>182.545439331567</v>
      </c>
      <c r="X156">
        <v>182.49976637683099</v>
      </c>
      <c r="Y156">
        <v>181.19390791059399</v>
      </c>
      <c r="Z156">
        <v>182.095005296333</v>
      </c>
      <c r="AA156">
        <v>0</v>
      </c>
      <c r="AB156">
        <v>0</v>
      </c>
      <c r="AC156">
        <v>0</v>
      </c>
      <c r="AD156">
        <v>1</v>
      </c>
      <c r="AE156">
        <v>13</v>
      </c>
      <c r="AF156">
        <v>1</v>
      </c>
    </row>
    <row r="157" spans="1:32" x14ac:dyDescent="0.3">
      <c r="A157" t="s">
        <v>16</v>
      </c>
      <c r="B157">
        <v>311</v>
      </c>
      <c r="C157">
        <v>6.0994079581440201E-2</v>
      </c>
      <c r="D157">
        <v>6.6776813988709896E-2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0.34649999999999997</v>
      </c>
      <c r="N157">
        <v>0</v>
      </c>
      <c r="O157">
        <v>31</v>
      </c>
      <c r="P157">
        <v>33</v>
      </c>
      <c r="Q157">
        <v>21</v>
      </c>
      <c r="R157">
        <v>21</v>
      </c>
      <c r="S157">
        <v>3.3028932025522</v>
      </c>
      <c r="T157">
        <v>3.0373703327080799</v>
      </c>
      <c r="U157">
        <v>2.0114901384452999</v>
      </c>
      <c r="V157">
        <v>1.93276204159497</v>
      </c>
      <c r="W157">
        <v>183.53626378790099</v>
      </c>
      <c r="X157">
        <v>182.66512576347799</v>
      </c>
      <c r="Y157">
        <v>179.29937709463701</v>
      </c>
      <c r="Z157">
        <v>179.04108281363199</v>
      </c>
      <c r="AA157">
        <v>0</v>
      </c>
      <c r="AB157">
        <v>0</v>
      </c>
      <c r="AC157">
        <v>0</v>
      </c>
      <c r="AD157">
        <v>1</v>
      </c>
      <c r="AE157">
        <v>10</v>
      </c>
      <c r="AF157">
        <v>1</v>
      </c>
    </row>
    <row r="158" spans="1:32" x14ac:dyDescent="0.3">
      <c r="A158" t="s">
        <v>18</v>
      </c>
      <c r="B158">
        <v>313</v>
      </c>
      <c r="C158">
        <v>0.27110009637890697</v>
      </c>
      <c r="D158">
        <v>0.14209004543577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9.8000000000000004E-2</v>
      </c>
      <c r="O158">
        <v>34</v>
      </c>
      <c r="P158">
        <v>34</v>
      </c>
      <c r="Q158">
        <v>17</v>
      </c>
      <c r="R158">
        <v>16</v>
      </c>
      <c r="S158">
        <v>3.24291491041935</v>
      </c>
      <c r="T158">
        <v>3.4735812407406099</v>
      </c>
      <c r="U158">
        <v>2.3532816664095999</v>
      </c>
      <c r="V158">
        <v>2.4215599341995002</v>
      </c>
      <c r="W158">
        <v>183.33948461423699</v>
      </c>
      <c r="X158">
        <v>184.096263913191</v>
      </c>
      <c r="Y158">
        <v>180.42074037536</v>
      </c>
      <c r="Z158">
        <v>180.644750440287</v>
      </c>
      <c r="AA158">
        <v>0</v>
      </c>
      <c r="AB158">
        <v>0</v>
      </c>
      <c r="AC158">
        <v>0</v>
      </c>
      <c r="AD158">
        <v>1</v>
      </c>
      <c r="AE158">
        <v>142</v>
      </c>
      <c r="AF158">
        <v>1</v>
      </c>
    </row>
    <row r="159" spans="1:32" x14ac:dyDescent="0.3">
      <c r="A159" t="s">
        <v>20</v>
      </c>
      <c r="B159">
        <v>315</v>
      </c>
      <c r="C159">
        <v>9.7067327550598895E-2</v>
      </c>
      <c r="D159">
        <v>0.32190554867134802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0.33950000000000002</v>
      </c>
      <c r="N159">
        <v>1.0500000000000001E-2</v>
      </c>
      <c r="O159">
        <v>14</v>
      </c>
      <c r="P159">
        <v>22</v>
      </c>
      <c r="Q159">
        <v>13</v>
      </c>
      <c r="R159">
        <v>15</v>
      </c>
      <c r="S159">
        <v>2.80283619613233</v>
      </c>
      <c r="T159">
        <v>3.0906863606070001</v>
      </c>
      <c r="U159">
        <v>2.7727926758282901</v>
      </c>
      <c r="V159">
        <v>2.4080264220868899</v>
      </c>
      <c r="W159">
        <v>181.895656811458</v>
      </c>
      <c r="X159">
        <v>182.84004711485201</v>
      </c>
      <c r="Y159">
        <v>181.79708883145801</v>
      </c>
      <c r="Z159">
        <v>180.60034915382801</v>
      </c>
      <c r="AA159">
        <v>0</v>
      </c>
      <c r="AB159">
        <v>0</v>
      </c>
      <c r="AC159">
        <v>0</v>
      </c>
      <c r="AD159">
        <v>1</v>
      </c>
      <c r="AE159">
        <v>2</v>
      </c>
      <c r="AF159">
        <v>1</v>
      </c>
    </row>
    <row r="160" spans="1:32" x14ac:dyDescent="0.3">
      <c r="A160" t="s">
        <v>22</v>
      </c>
      <c r="B160">
        <v>317</v>
      </c>
      <c r="C160">
        <v>6.6776813988709896E-2</v>
      </c>
      <c r="D160">
        <v>4.0066088393225903E-2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1.7500000000000002E-2</v>
      </c>
      <c r="N160">
        <v>1.379</v>
      </c>
      <c r="O160">
        <v>33</v>
      </c>
      <c r="P160">
        <v>17</v>
      </c>
      <c r="Q160">
        <v>24</v>
      </c>
      <c r="R160">
        <v>12</v>
      </c>
      <c r="S160">
        <v>3.2525748060153599</v>
      </c>
      <c r="T160">
        <v>3.4135681845418699</v>
      </c>
      <c r="U160">
        <v>3.02410608236011</v>
      </c>
      <c r="V160">
        <v>3.1532239441105099</v>
      </c>
      <c r="W160">
        <v>183.37117718509</v>
      </c>
      <c r="X160">
        <v>183.89937068419201</v>
      </c>
      <c r="Y160">
        <v>182.62160788175899</v>
      </c>
      <c r="Z160">
        <v>183.04522291374801</v>
      </c>
      <c r="AA160">
        <v>0</v>
      </c>
      <c r="AB160">
        <v>0</v>
      </c>
      <c r="AC160">
        <v>0</v>
      </c>
      <c r="AD160">
        <v>1</v>
      </c>
      <c r="AE160">
        <v>8</v>
      </c>
      <c r="AF160">
        <v>1</v>
      </c>
    </row>
    <row r="161" spans="1:32" x14ac:dyDescent="0.3">
      <c r="A161" t="s">
        <v>24</v>
      </c>
      <c r="B161">
        <v>319</v>
      </c>
      <c r="C161">
        <v>0.14209004543577</v>
      </c>
      <c r="D161">
        <v>6.0994079581440201E-2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29</v>
      </c>
      <c r="P161">
        <v>28</v>
      </c>
      <c r="Q161">
        <v>15</v>
      </c>
      <c r="R161">
        <v>14</v>
      </c>
      <c r="S161">
        <v>3.27001571237088</v>
      </c>
      <c r="T161">
        <v>3.2901384934346498</v>
      </c>
      <c r="U161">
        <v>2.90390633167168</v>
      </c>
      <c r="V161">
        <v>2.6811025885794399</v>
      </c>
      <c r="W161">
        <v>183.42839800646601</v>
      </c>
      <c r="X161">
        <v>183.494417629379</v>
      </c>
      <c r="Y161">
        <v>182.22725174433</v>
      </c>
      <c r="Z161">
        <v>181.49626833523399</v>
      </c>
      <c r="AA161">
        <v>0</v>
      </c>
      <c r="AB161">
        <v>0</v>
      </c>
      <c r="AC161">
        <v>0</v>
      </c>
      <c r="AD161">
        <v>1</v>
      </c>
      <c r="AE161">
        <v>37</v>
      </c>
      <c r="AF161">
        <v>1</v>
      </c>
    </row>
    <row r="162" spans="1:32" x14ac:dyDescent="0.3">
      <c r="A162" t="s">
        <v>26</v>
      </c>
      <c r="B162">
        <v>321</v>
      </c>
      <c r="C162">
        <v>0.32190554867134802</v>
      </c>
      <c r="D162">
        <v>0.27110009637890697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29</v>
      </c>
      <c r="P162">
        <v>29</v>
      </c>
      <c r="Q162">
        <v>9</v>
      </c>
      <c r="R162">
        <v>17</v>
      </c>
      <c r="S162">
        <v>3.2154735624350099</v>
      </c>
      <c r="T162">
        <v>3.3671785745120801</v>
      </c>
      <c r="U162">
        <v>2.9107592990647002</v>
      </c>
      <c r="V162">
        <v>2.6169533778604102</v>
      </c>
      <c r="W162">
        <v>183.24945394499699</v>
      </c>
      <c r="X162">
        <v>183.74717380089299</v>
      </c>
      <c r="Y162">
        <v>182.24973523315199</v>
      </c>
      <c r="Z162">
        <v>181.28580504547401</v>
      </c>
      <c r="AA162">
        <v>0</v>
      </c>
      <c r="AB162">
        <v>0</v>
      </c>
      <c r="AC162">
        <v>0</v>
      </c>
      <c r="AD162">
        <v>1</v>
      </c>
      <c r="AE162">
        <v>142</v>
      </c>
      <c r="AF162">
        <v>1</v>
      </c>
    </row>
    <row r="163" spans="1:32" x14ac:dyDescent="0.3">
      <c r="A163" t="s">
        <v>28</v>
      </c>
      <c r="B163">
        <v>323</v>
      </c>
      <c r="C163">
        <v>4.0066088393225903E-2</v>
      </c>
      <c r="D163">
        <v>9.7067327550598895E-2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0.434</v>
      </c>
      <c r="N163">
        <v>0</v>
      </c>
      <c r="O163">
        <v>29</v>
      </c>
      <c r="P163">
        <v>19</v>
      </c>
      <c r="Q163">
        <v>17</v>
      </c>
      <c r="R163">
        <v>19</v>
      </c>
      <c r="S163">
        <v>2.9960352592556898</v>
      </c>
      <c r="T163">
        <v>2.89170775527043</v>
      </c>
      <c r="U163">
        <v>2.2710694121370998</v>
      </c>
      <c r="V163">
        <v>2.89170775527043</v>
      </c>
      <c r="W163">
        <v>182.529512005432</v>
      </c>
      <c r="X163">
        <v>182.18723016820999</v>
      </c>
      <c r="Y163">
        <v>180.15101513168301</v>
      </c>
      <c r="Z163">
        <v>182.18723016820999</v>
      </c>
      <c r="AA163">
        <v>0</v>
      </c>
      <c r="AB163">
        <v>0</v>
      </c>
      <c r="AC163">
        <v>0</v>
      </c>
      <c r="AD163">
        <v>1</v>
      </c>
      <c r="AE163">
        <v>12</v>
      </c>
      <c r="AF163">
        <v>1</v>
      </c>
    </row>
    <row r="164" spans="1:32" x14ac:dyDescent="0.3">
      <c r="A164" t="s">
        <v>30</v>
      </c>
      <c r="B164">
        <v>325</v>
      </c>
      <c r="C164">
        <v>6.0994079581440201E-2</v>
      </c>
      <c r="D164">
        <v>6.6776813988709896E-2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0.11550000000000001</v>
      </c>
      <c r="O164">
        <v>36</v>
      </c>
      <c r="P164">
        <v>32</v>
      </c>
      <c r="Q164">
        <v>25</v>
      </c>
      <c r="R164">
        <v>16</v>
      </c>
      <c r="S164">
        <v>3.4210381443217299</v>
      </c>
      <c r="T164">
        <v>3.0262108148687998</v>
      </c>
      <c r="U164">
        <v>2.8793308024352999</v>
      </c>
      <c r="V164">
        <v>2.47866582581227</v>
      </c>
      <c r="W164">
        <v>183.923878426252</v>
      </c>
      <c r="X164">
        <v>182.62851317214199</v>
      </c>
      <c r="Y164">
        <v>182.14662336756999</v>
      </c>
      <c r="Z164">
        <v>180.832105727731</v>
      </c>
      <c r="AA164">
        <v>0</v>
      </c>
      <c r="AB164">
        <v>0</v>
      </c>
      <c r="AC164">
        <v>0</v>
      </c>
      <c r="AD164">
        <v>1</v>
      </c>
      <c r="AE164">
        <v>30</v>
      </c>
      <c r="AF164">
        <v>1</v>
      </c>
    </row>
    <row r="165" spans="1:32" x14ac:dyDescent="0.3">
      <c r="A165" t="s">
        <v>32</v>
      </c>
      <c r="B165">
        <v>327</v>
      </c>
      <c r="C165">
        <v>0.27110009637890697</v>
      </c>
      <c r="D165">
        <v>0.14209004543577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0.27650000000000002</v>
      </c>
      <c r="N165">
        <v>0</v>
      </c>
      <c r="O165">
        <v>37</v>
      </c>
      <c r="P165">
        <v>35</v>
      </c>
      <c r="Q165">
        <v>21</v>
      </c>
      <c r="R165">
        <v>19</v>
      </c>
      <c r="S165">
        <v>3.09283809548314</v>
      </c>
      <c r="T165">
        <v>3.3382956201288398</v>
      </c>
      <c r="U165">
        <v>2.84309104773864</v>
      </c>
      <c r="V165">
        <v>2.6264968656798202</v>
      </c>
      <c r="W165">
        <v>182.847106612478</v>
      </c>
      <c r="X165">
        <v>183.65241345186601</v>
      </c>
      <c r="Y165">
        <v>182.027726534576</v>
      </c>
      <c r="Z165">
        <v>181.317115701049</v>
      </c>
      <c r="AA165">
        <v>0</v>
      </c>
      <c r="AB165">
        <v>0</v>
      </c>
      <c r="AC165">
        <v>0</v>
      </c>
      <c r="AD165">
        <v>1</v>
      </c>
      <c r="AE165">
        <v>100</v>
      </c>
      <c r="AF165">
        <v>1</v>
      </c>
    </row>
    <row r="166" spans="1:32" x14ac:dyDescent="0.3">
      <c r="A166" t="s">
        <v>35</v>
      </c>
      <c r="B166">
        <v>329</v>
      </c>
      <c r="C166">
        <v>6.6776813988709896E-2</v>
      </c>
      <c r="D166">
        <v>4.0066088393225903E-2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0.47249999999999998</v>
      </c>
      <c r="O166">
        <v>31</v>
      </c>
      <c r="P166">
        <v>23</v>
      </c>
      <c r="Q166">
        <v>17</v>
      </c>
      <c r="R166">
        <v>22</v>
      </c>
      <c r="S166">
        <v>2.8928053904531401</v>
      </c>
      <c r="T166">
        <v>2.75303649556859</v>
      </c>
      <c r="U166">
        <v>2.4737482598337599</v>
      </c>
      <c r="V166">
        <v>2.7070014210887199</v>
      </c>
      <c r="W166">
        <v>182.19083133350799</v>
      </c>
      <c r="X166">
        <v>181.73227196708899</v>
      </c>
      <c r="Y166">
        <v>180.81597198108199</v>
      </c>
      <c r="Z166">
        <v>181.581238258165</v>
      </c>
      <c r="AA166">
        <v>0</v>
      </c>
      <c r="AB166">
        <v>0</v>
      </c>
      <c r="AC166">
        <v>0</v>
      </c>
      <c r="AD166">
        <v>1</v>
      </c>
      <c r="AE166">
        <v>20</v>
      </c>
      <c r="AF166">
        <v>1</v>
      </c>
    </row>
    <row r="167" spans="1:32" x14ac:dyDescent="0.3">
      <c r="A167" t="s">
        <v>37</v>
      </c>
      <c r="B167">
        <v>331</v>
      </c>
      <c r="C167">
        <v>0.14209004543577</v>
      </c>
      <c r="D167">
        <v>6.0994079581440201E-2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34</v>
      </c>
      <c r="P167">
        <v>28</v>
      </c>
      <c r="Q167">
        <v>19</v>
      </c>
      <c r="R167">
        <v>15</v>
      </c>
      <c r="S167">
        <v>3.2819546872238399</v>
      </c>
      <c r="T167">
        <v>2.9528045967740399</v>
      </c>
      <c r="U167">
        <v>2.6886504549980499</v>
      </c>
      <c r="V167">
        <v>2.4503514182825699</v>
      </c>
      <c r="W167">
        <v>183.46756787146899</v>
      </c>
      <c r="X167">
        <v>182.38767912327401</v>
      </c>
      <c r="Y167">
        <v>181.52103167650299</v>
      </c>
      <c r="Z167">
        <v>180.73921068990299</v>
      </c>
      <c r="AA167">
        <v>0</v>
      </c>
      <c r="AB167">
        <v>0</v>
      </c>
      <c r="AC167">
        <v>0</v>
      </c>
      <c r="AD167">
        <v>1</v>
      </c>
      <c r="AE167">
        <v>74</v>
      </c>
      <c r="AF167">
        <v>1</v>
      </c>
    </row>
    <row r="168" spans="1:32" x14ac:dyDescent="0.3">
      <c r="A168" t="s">
        <v>39</v>
      </c>
      <c r="B168">
        <v>333</v>
      </c>
      <c r="C168">
        <v>0.32190554867134802</v>
      </c>
      <c r="D168">
        <v>0.27110009637890697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0.44450000000000001</v>
      </c>
      <c r="N168">
        <v>0</v>
      </c>
      <c r="O168">
        <v>37</v>
      </c>
      <c r="P168">
        <v>29</v>
      </c>
      <c r="Q168">
        <v>19</v>
      </c>
      <c r="R168">
        <v>12</v>
      </c>
      <c r="S168">
        <v>3.29462302346528</v>
      </c>
      <c r="T168">
        <v>2.7925979423073199</v>
      </c>
      <c r="U168">
        <v>2.5621060475492201</v>
      </c>
      <c r="V168">
        <v>2.3459295301659302</v>
      </c>
      <c r="W168">
        <v>183.50913065441401</v>
      </c>
      <c r="X168">
        <v>181.86206673985299</v>
      </c>
      <c r="Y168">
        <v>181.10585973605399</v>
      </c>
      <c r="Z168">
        <v>180.39661919345801</v>
      </c>
      <c r="AA168">
        <v>0</v>
      </c>
      <c r="AB168">
        <v>0</v>
      </c>
      <c r="AC168">
        <v>0</v>
      </c>
      <c r="AD168">
        <v>1</v>
      </c>
      <c r="AE168">
        <v>36</v>
      </c>
      <c r="AF168">
        <v>1</v>
      </c>
    </row>
    <row r="169" spans="1:32" x14ac:dyDescent="0.3">
      <c r="A169" t="s">
        <v>41</v>
      </c>
      <c r="B169">
        <v>335</v>
      </c>
      <c r="C169">
        <v>4.0066088393225903E-2</v>
      </c>
      <c r="D169">
        <v>9.7067327550598895E-2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0.49</v>
      </c>
      <c r="O169">
        <v>31</v>
      </c>
      <c r="P169">
        <v>38</v>
      </c>
      <c r="Q169">
        <v>21</v>
      </c>
      <c r="R169">
        <v>24</v>
      </c>
      <c r="S169">
        <v>3.5764898605134099</v>
      </c>
      <c r="T169">
        <v>3.4997923727285198</v>
      </c>
      <c r="U169">
        <v>3.0912602877512398</v>
      </c>
      <c r="V169">
        <v>2.6183422349941998</v>
      </c>
      <c r="W169">
        <v>184.433890618482</v>
      </c>
      <c r="X169">
        <v>184.18225844071</v>
      </c>
      <c r="Y169">
        <v>182.84193007792399</v>
      </c>
      <c r="Z169">
        <v>181.29036166336701</v>
      </c>
      <c r="AA169">
        <v>0</v>
      </c>
      <c r="AB169">
        <v>0</v>
      </c>
      <c r="AC169">
        <v>0</v>
      </c>
      <c r="AD169">
        <v>1</v>
      </c>
      <c r="AE169">
        <v>6</v>
      </c>
      <c r="AF169">
        <v>1</v>
      </c>
    </row>
    <row r="170" spans="1:32" x14ac:dyDescent="0.3">
      <c r="A170" t="s">
        <v>43</v>
      </c>
      <c r="B170">
        <v>337</v>
      </c>
      <c r="C170">
        <v>6.0994079581440201E-2</v>
      </c>
      <c r="D170">
        <v>6.6776813988709896E-2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0.15049999999999999</v>
      </c>
      <c r="O170">
        <v>34</v>
      </c>
      <c r="P170">
        <v>30</v>
      </c>
      <c r="Q170">
        <v>20</v>
      </c>
      <c r="R170">
        <v>17</v>
      </c>
      <c r="S170">
        <v>3.4843650963933199</v>
      </c>
      <c r="T170">
        <v>3.5869428496788398</v>
      </c>
      <c r="U170">
        <v>3.24513759739507</v>
      </c>
      <c r="V170">
        <v>3.2770335588727999</v>
      </c>
      <c r="W170">
        <v>184.13164401703801</v>
      </c>
      <c r="X170">
        <v>184.468185202358</v>
      </c>
      <c r="Y170">
        <v>183.34677689434099</v>
      </c>
      <c r="Z170">
        <v>183.451422437247</v>
      </c>
      <c r="AA170">
        <v>0</v>
      </c>
      <c r="AB170">
        <v>0</v>
      </c>
      <c r="AC170">
        <v>0</v>
      </c>
      <c r="AD170">
        <v>1</v>
      </c>
      <c r="AE170">
        <v>32</v>
      </c>
      <c r="AF170">
        <v>1</v>
      </c>
    </row>
    <row r="171" spans="1:32" x14ac:dyDescent="0.3">
      <c r="A171" t="s">
        <v>45</v>
      </c>
      <c r="B171">
        <v>339</v>
      </c>
      <c r="C171">
        <v>0.27110009637890697</v>
      </c>
      <c r="D171">
        <v>0.14209004543577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1</v>
      </c>
      <c r="L171">
        <v>0</v>
      </c>
      <c r="M171">
        <v>0</v>
      </c>
      <c r="N171">
        <v>3.5000000000000003E-2</v>
      </c>
      <c r="O171">
        <v>28</v>
      </c>
      <c r="P171">
        <v>34</v>
      </c>
      <c r="Q171">
        <v>14</v>
      </c>
      <c r="R171">
        <v>16</v>
      </c>
      <c r="S171">
        <v>2.67511141187348</v>
      </c>
      <c r="T171">
        <v>3.5856711986984902</v>
      </c>
      <c r="U171">
        <v>2.4230813889214602</v>
      </c>
      <c r="V171">
        <v>2.8842607341872002</v>
      </c>
      <c r="W171">
        <v>181.476612243679</v>
      </c>
      <c r="X171">
        <v>184.46401311909</v>
      </c>
      <c r="Y171">
        <v>180.64974208963699</v>
      </c>
      <c r="Z171">
        <v>182.162797684341</v>
      </c>
      <c r="AA171">
        <v>0</v>
      </c>
      <c r="AB171">
        <v>0</v>
      </c>
      <c r="AC171">
        <v>0</v>
      </c>
      <c r="AD171">
        <v>1</v>
      </c>
      <c r="AE171">
        <v>87</v>
      </c>
      <c r="AF171">
        <v>1</v>
      </c>
    </row>
    <row r="172" spans="1:32" x14ac:dyDescent="0.3">
      <c r="A172" t="s">
        <v>47</v>
      </c>
      <c r="B172">
        <v>341</v>
      </c>
      <c r="C172">
        <v>9.7067327550598895E-2</v>
      </c>
      <c r="D172">
        <v>0.32190554867134802</v>
      </c>
      <c r="E172">
        <v>0</v>
      </c>
      <c r="F172">
        <v>0</v>
      </c>
      <c r="G172">
        <v>0</v>
      </c>
      <c r="H172">
        <v>0</v>
      </c>
      <c r="I172">
        <v>1</v>
      </c>
      <c r="J172">
        <v>0</v>
      </c>
      <c r="K172">
        <v>1</v>
      </c>
      <c r="L172">
        <v>0</v>
      </c>
      <c r="M172">
        <v>0.17849999999999999</v>
      </c>
      <c r="N172">
        <v>1.351</v>
      </c>
      <c r="O172">
        <v>24</v>
      </c>
      <c r="P172">
        <v>17</v>
      </c>
      <c r="Q172">
        <v>20</v>
      </c>
      <c r="R172">
        <v>14</v>
      </c>
      <c r="S172">
        <v>3.3938533016168901</v>
      </c>
      <c r="T172">
        <v>2.7193452665566298</v>
      </c>
      <c r="U172">
        <v>3.3363428778751398</v>
      </c>
      <c r="V172">
        <v>2.2487025378658299</v>
      </c>
      <c r="W172">
        <v>183.83468930976699</v>
      </c>
      <c r="X172">
        <v>181.62173643883401</v>
      </c>
      <c r="Y172">
        <v>183.64600681717599</v>
      </c>
      <c r="Z172">
        <v>180.077632998247</v>
      </c>
      <c r="AA172">
        <v>0</v>
      </c>
      <c r="AB172">
        <v>0</v>
      </c>
      <c r="AC172">
        <v>0</v>
      </c>
      <c r="AD172">
        <v>1</v>
      </c>
      <c r="AE172">
        <v>10</v>
      </c>
      <c r="AF172">
        <v>1</v>
      </c>
    </row>
    <row r="173" spans="1:32" x14ac:dyDescent="0.3">
      <c r="A173" t="s">
        <v>49</v>
      </c>
      <c r="B173">
        <v>343</v>
      </c>
      <c r="C173">
        <v>6.6776813988709896E-2</v>
      </c>
      <c r="D173">
        <v>4.0066088393225903E-2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0.60550000000000004</v>
      </c>
      <c r="N173">
        <v>0</v>
      </c>
      <c r="O173">
        <v>32</v>
      </c>
      <c r="P173">
        <v>32</v>
      </c>
      <c r="Q173">
        <v>24</v>
      </c>
      <c r="R173">
        <v>17</v>
      </c>
      <c r="S173">
        <v>3.4258276680225901</v>
      </c>
      <c r="T173">
        <v>3.3079097647092199</v>
      </c>
      <c r="U173">
        <v>3.1129905151449702</v>
      </c>
      <c r="V173">
        <v>3.0493745724987602</v>
      </c>
      <c r="W173">
        <v>183.93959208668801</v>
      </c>
      <c r="X173">
        <v>183.552722325161</v>
      </c>
      <c r="Y173">
        <v>182.913223474885</v>
      </c>
      <c r="Z173">
        <v>182.70450975229301</v>
      </c>
      <c r="AA173">
        <v>0</v>
      </c>
      <c r="AB173">
        <v>0</v>
      </c>
      <c r="AC173">
        <v>0</v>
      </c>
      <c r="AD173">
        <v>1</v>
      </c>
      <c r="AE173">
        <v>5</v>
      </c>
      <c r="AF173">
        <v>1</v>
      </c>
    </row>
    <row r="174" spans="1:32" x14ac:dyDescent="0.3">
      <c r="A174" t="s">
        <v>51</v>
      </c>
      <c r="B174">
        <v>345</v>
      </c>
      <c r="C174">
        <v>0.14209004543577</v>
      </c>
      <c r="D174">
        <v>6.0994079581440201E-2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0.38150000000000001</v>
      </c>
      <c r="O174">
        <v>35</v>
      </c>
      <c r="P174">
        <v>34</v>
      </c>
      <c r="Q174">
        <v>17</v>
      </c>
      <c r="R174">
        <v>17</v>
      </c>
      <c r="S174">
        <v>3.4385564590342201</v>
      </c>
      <c r="T174">
        <v>3.4724997887116098</v>
      </c>
      <c r="U174">
        <v>3.0168855286656102</v>
      </c>
      <c r="V174">
        <v>3.0644223186603998</v>
      </c>
      <c r="W174">
        <v>183.98135321205501</v>
      </c>
      <c r="X174">
        <v>184.09271584223001</v>
      </c>
      <c r="Y174">
        <v>182.597918401134</v>
      </c>
      <c r="Z174">
        <v>182.75387899822999</v>
      </c>
      <c r="AA174">
        <v>0</v>
      </c>
      <c r="AB174">
        <v>0</v>
      </c>
      <c r="AC174">
        <v>0</v>
      </c>
      <c r="AD174">
        <v>1</v>
      </c>
      <c r="AE174">
        <v>147</v>
      </c>
      <c r="AF174">
        <v>1</v>
      </c>
    </row>
    <row r="175" spans="1:32" x14ac:dyDescent="0.3">
      <c r="A175" t="s">
        <v>53</v>
      </c>
      <c r="B175">
        <v>347</v>
      </c>
      <c r="C175">
        <v>0.32190554867134802</v>
      </c>
      <c r="D175">
        <v>0.27110009637890697</v>
      </c>
      <c r="E175">
        <v>0</v>
      </c>
      <c r="F175">
        <v>1</v>
      </c>
      <c r="G175">
        <v>1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0.13300000000000001</v>
      </c>
      <c r="N175">
        <v>0</v>
      </c>
      <c r="O175">
        <v>36</v>
      </c>
      <c r="P175">
        <v>25</v>
      </c>
      <c r="Q175">
        <v>17</v>
      </c>
      <c r="R175">
        <v>16</v>
      </c>
      <c r="S175">
        <v>3.2709531642576102</v>
      </c>
      <c r="T175">
        <v>3.1924475923686302</v>
      </c>
      <c r="U175">
        <v>2.5540484960878702</v>
      </c>
      <c r="V175">
        <v>2.4097026812121398</v>
      </c>
      <c r="W175">
        <v>183.43147363601599</v>
      </c>
      <c r="X175">
        <v>183.17390942378199</v>
      </c>
      <c r="Y175">
        <v>181.079424199763</v>
      </c>
      <c r="Z175">
        <v>180.605848691641</v>
      </c>
      <c r="AA175">
        <v>0</v>
      </c>
      <c r="AB175">
        <v>0</v>
      </c>
      <c r="AC175">
        <v>0</v>
      </c>
      <c r="AD175">
        <v>1</v>
      </c>
      <c r="AE175">
        <v>235</v>
      </c>
      <c r="AF175">
        <v>1</v>
      </c>
    </row>
    <row r="176" spans="1:32" x14ac:dyDescent="0.3">
      <c r="A176" t="s">
        <v>55</v>
      </c>
      <c r="B176">
        <v>349</v>
      </c>
      <c r="C176">
        <v>4.0066088393225903E-2</v>
      </c>
      <c r="D176">
        <v>9.7067327550598895E-2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30</v>
      </c>
      <c r="P176">
        <v>37</v>
      </c>
      <c r="Q176">
        <v>21</v>
      </c>
      <c r="R176">
        <v>25</v>
      </c>
      <c r="S176">
        <v>2.7499298514865602</v>
      </c>
      <c r="T176">
        <v>3.5795403580946998</v>
      </c>
      <c r="U176">
        <v>2.5393067445887598</v>
      </c>
      <c r="V176">
        <v>2.8584819889750199</v>
      </c>
      <c r="W176">
        <v>181.722079565245</v>
      </c>
      <c r="X176">
        <v>184.44389881264701</v>
      </c>
      <c r="Y176">
        <v>181.03105887332299</v>
      </c>
      <c r="Z176">
        <v>182.07822174860601</v>
      </c>
      <c r="AA176">
        <v>0</v>
      </c>
      <c r="AB176">
        <v>0</v>
      </c>
      <c r="AC176">
        <v>0</v>
      </c>
      <c r="AD176">
        <v>1</v>
      </c>
      <c r="AE176">
        <v>10</v>
      </c>
      <c r="AF176">
        <v>1</v>
      </c>
    </row>
    <row r="177" spans="1:32" x14ac:dyDescent="0.3">
      <c r="A177" t="s">
        <v>57</v>
      </c>
      <c r="B177">
        <v>351</v>
      </c>
      <c r="C177">
        <v>6.0994079581440201E-2</v>
      </c>
      <c r="D177">
        <v>6.6776813988709896E-2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0.85399999999999998</v>
      </c>
      <c r="O177">
        <v>30</v>
      </c>
      <c r="P177">
        <v>36</v>
      </c>
      <c r="Q177">
        <v>17</v>
      </c>
      <c r="R177">
        <v>23</v>
      </c>
      <c r="S177">
        <v>2.7625156939890601</v>
      </c>
      <c r="T177">
        <v>3.1368580167499398</v>
      </c>
      <c r="U177">
        <v>2.6574299244520501</v>
      </c>
      <c r="V177">
        <v>2.3225679048907302</v>
      </c>
      <c r="W177">
        <v>181.76337169943901</v>
      </c>
      <c r="X177">
        <v>182.99152892634501</v>
      </c>
      <c r="Y177">
        <v>181.418602114344</v>
      </c>
      <c r="Z177">
        <v>180.31997344124301</v>
      </c>
      <c r="AA177">
        <v>0</v>
      </c>
      <c r="AB177">
        <v>0</v>
      </c>
      <c r="AC177">
        <v>0</v>
      </c>
      <c r="AD177">
        <v>1</v>
      </c>
      <c r="AE177">
        <v>37</v>
      </c>
      <c r="AF177">
        <v>1</v>
      </c>
    </row>
    <row r="178" spans="1:32" x14ac:dyDescent="0.3">
      <c r="A178" t="s">
        <v>59</v>
      </c>
      <c r="B178">
        <v>353</v>
      </c>
      <c r="C178">
        <v>0.27110009637890697</v>
      </c>
      <c r="D178">
        <v>0.14209004543577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1.5645</v>
      </c>
      <c r="O178">
        <v>39</v>
      </c>
      <c r="P178">
        <v>37</v>
      </c>
      <c r="Q178">
        <v>17</v>
      </c>
      <c r="R178">
        <v>21</v>
      </c>
      <c r="S178">
        <v>2.6469655637469098</v>
      </c>
      <c r="T178">
        <v>2.8960080039462901</v>
      </c>
      <c r="U178">
        <v>2.04291049626669</v>
      </c>
      <c r="V178">
        <v>2.48240187557494</v>
      </c>
      <c r="W178">
        <v>181.38427022226699</v>
      </c>
      <c r="X178">
        <v>182.20133859562401</v>
      </c>
      <c r="Y178">
        <v>179.40246225809301</v>
      </c>
      <c r="Z178">
        <v>180.844363108842</v>
      </c>
      <c r="AA178">
        <v>0</v>
      </c>
      <c r="AB178">
        <v>0</v>
      </c>
      <c r="AC178">
        <v>0</v>
      </c>
      <c r="AD178">
        <v>1</v>
      </c>
      <c r="AE178">
        <v>165</v>
      </c>
      <c r="AF178">
        <v>1</v>
      </c>
    </row>
    <row r="179" spans="1:32" x14ac:dyDescent="0.3">
      <c r="A179" t="s">
        <v>61</v>
      </c>
      <c r="B179">
        <v>355</v>
      </c>
      <c r="C179">
        <v>9.7067327550598895E-2</v>
      </c>
      <c r="D179">
        <v>0.32190554867134802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38</v>
      </c>
      <c r="P179">
        <v>40</v>
      </c>
      <c r="Q179">
        <v>24</v>
      </c>
      <c r="R179">
        <v>21</v>
      </c>
      <c r="S179">
        <v>3.4800308881612199</v>
      </c>
      <c r="T179">
        <v>3.10520636080365</v>
      </c>
      <c r="U179">
        <v>2.4881310713168898</v>
      </c>
      <c r="V179">
        <v>2.5508359054991399</v>
      </c>
      <c r="W179">
        <v>184.117424173757</v>
      </c>
      <c r="X179">
        <v>182.887684910773</v>
      </c>
      <c r="Y179">
        <v>180.863159682798</v>
      </c>
      <c r="Z179">
        <v>181.06888420439401</v>
      </c>
      <c r="AA179">
        <v>0</v>
      </c>
      <c r="AB179">
        <v>0</v>
      </c>
      <c r="AC179">
        <v>0</v>
      </c>
      <c r="AD179">
        <v>1</v>
      </c>
      <c r="AE179">
        <v>23</v>
      </c>
      <c r="AF179">
        <v>1</v>
      </c>
    </row>
    <row r="180" spans="1:32" x14ac:dyDescent="0.3">
      <c r="A180" t="s">
        <v>63</v>
      </c>
      <c r="B180">
        <v>357</v>
      </c>
      <c r="C180">
        <v>6.6776813988709896E-2</v>
      </c>
      <c r="D180">
        <v>4.0066088393225903E-2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0.42699999999999999</v>
      </c>
      <c r="N180">
        <v>7.0000000000000007E-2</v>
      </c>
      <c r="O180">
        <v>32</v>
      </c>
      <c r="P180">
        <v>30</v>
      </c>
      <c r="Q180">
        <v>20</v>
      </c>
      <c r="R180">
        <v>29</v>
      </c>
      <c r="S180">
        <v>3.1243782280999501</v>
      </c>
      <c r="T180">
        <v>3.13985784568598</v>
      </c>
      <c r="U180">
        <v>2.99421567920424</v>
      </c>
      <c r="V180">
        <v>2.9860484256084301</v>
      </c>
      <c r="W180">
        <v>182.95058473786099</v>
      </c>
      <c r="X180">
        <v>183.00137088479701</v>
      </c>
      <c r="Y180">
        <v>182.52354225460701</v>
      </c>
      <c r="Z180">
        <v>182.49674680317699</v>
      </c>
      <c r="AA180">
        <v>0</v>
      </c>
      <c r="AB180">
        <v>0</v>
      </c>
      <c r="AC180">
        <v>0</v>
      </c>
      <c r="AD180">
        <v>1</v>
      </c>
      <c r="AE180">
        <v>24</v>
      </c>
      <c r="AF180">
        <v>1</v>
      </c>
    </row>
    <row r="181" spans="1:32" x14ac:dyDescent="0.3">
      <c r="A181" t="s">
        <v>65</v>
      </c>
      <c r="B181">
        <v>359</v>
      </c>
      <c r="C181">
        <v>0.14209004543577</v>
      </c>
      <c r="D181">
        <v>6.0994079581440201E-2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34</v>
      </c>
      <c r="P181">
        <v>36</v>
      </c>
      <c r="Q181">
        <v>15</v>
      </c>
      <c r="R181">
        <v>14</v>
      </c>
      <c r="S181">
        <v>2.9116029069496601</v>
      </c>
      <c r="T181">
        <v>2.6118477959600099</v>
      </c>
      <c r="U181">
        <v>2.34821595120478</v>
      </c>
      <c r="V181">
        <v>2.0563478732415699</v>
      </c>
      <c r="W181">
        <v>182.25250297555701</v>
      </c>
      <c r="X181">
        <v>181.269054448688</v>
      </c>
      <c r="Y181">
        <v>180.40412057481899</v>
      </c>
      <c r="Z181">
        <v>179.44654814055599</v>
      </c>
      <c r="AA181">
        <v>0</v>
      </c>
      <c r="AB181">
        <v>0</v>
      </c>
      <c r="AC181">
        <v>0</v>
      </c>
      <c r="AD181">
        <v>1</v>
      </c>
      <c r="AE181">
        <v>84</v>
      </c>
      <c r="AF181">
        <v>1</v>
      </c>
    </row>
    <row r="182" spans="1:32" x14ac:dyDescent="0.3">
      <c r="A182" t="s">
        <v>67</v>
      </c>
      <c r="B182">
        <v>361</v>
      </c>
      <c r="C182">
        <v>0.32190554867134802</v>
      </c>
      <c r="D182">
        <v>0.27110009637890697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4.5499999999999999E-2</v>
      </c>
      <c r="N182">
        <v>8.0500000000000002E-2</v>
      </c>
      <c r="O182">
        <v>37</v>
      </c>
      <c r="P182">
        <v>33</v>
      </c>
      <c r="Q182">
        <v>23</v>
      </c>
      <c r="R182">
        <v>20</v>
      </c>
      <c r="S182">
        <v>3.18445229705417</v>
      </c>
      <c r="T182">
        <v>2.86183639898193</v>
      </c>
      <c r="U182">
        <v>2.5734240928507099</v>
      </c>
      <c r="V182">
        <v>2.5199894389395001</v>
      </c>
      <c r="W182">
        <v>183.147678139942</v>
      </c>
      <c r="X182">
        <v>182.08922703078099</v>
      </c>
      <c r="Y182">
        <v>181.14299243061299</v>
      </c>
      <c r="Z182">
        <v>180.967681886284</v>
      </c>
      <c r="AA182">
        <v>0</v>
      </c>
      <c r="AB182">
        <v>0</v>
      </c>
      <c r="AC182">
        <v>0</v>
      </c>
      <c r="AD182">
        <v>1</v>
      </c>
      <c r="AE182">
        <v>206</v>
      </c>
      <c r="AF182">
        <v>1</v>
      </c>
    </row>
    <row r="183" spans="1:32" x14ac:dyDescent="0.3">
      <c r="A183" t="s">
        <v>69</v>
      </c>
      <c r="B183">
        <v>363</v>
      </c>
      <c r="C183">
        <v>4.0066088393225903E-2</v>
      </c>
      <c r="D183">
        <v>9.7067327550598895E-2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9.8000000000000004E-2</v>
      </c>
      <c r="O183">
        <v>37</v>
      </c>
      <c r="P183">
        <v>41</v>
      </c>
      <c r="Q183">
        <v>24</v>
      </c>
      <c r="R183">
        <v>22</v>
      </c>
      <c r="S183">
        <v>3.33719051888351</v>
      </c>
      <c r="T183">
        <v>3.41783723669429</v>
      </c>
      <c r="U183">
        <v>2.5009391887233599</v>
      </c>
      <c r="V183">
        <v>2.3312508809219801</v>
      </c>
      <c r="W183">
        <v>183.64878779161299</v>
      </c>
      <c r="X183">
        <v>183.91337676080801</v>
      </c>
      <c r="Y183">
        <v>180.90518106536501</v>
      </c>
      <c r="Z183">
        <v>180.34846089541301</v>
      </c>
      <c r="AA183">
        <v>0</v>
      </c>
      <c r="AB183">
        <v>0</v>
      </c>
      <c r="AC183">
        <v>0</v>
      </c>
      <c r="AD183">
        <v>1</v>
      </c>
      <c r="AE183">
        <v>43</v>
      </c>
      <c r="AF183">
        <v>1</v>
      </c>
    </row>
    <row r="184" spans="1:32" x14ac:dyDescent="0.3">
      <c r="A184" t="s">
        <v>71</v>
      </c>
      <c r="B184">
        <v>365</v>
      </c>
      <c r="C184">
        <v>6.0994079581440201E-2</v>
      </c>
      <c r="D184">
        <v>6.6776813988709896E-2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34</v>
      </c>
      <c r="P184">
        <v>36</v>
      </c>
      <c r="Q184">
        <v>19</v>
      </c>
      <c r="R184">
        <v>22</v>
      </c>
      <c r="S184">
        <v>2.9980706443925098</v>
      </c>
      <c r="T184">
        <v>2.9008732421152601</v>
      </c>
      <c r="U184">
        <v>2.37424303323108</v>
      </c>
      <c r="V184">
        <v>2.6434905583845199</v>
      </c>
      <c r="W184">
        <v>182.53618977819099</v>
      </c>
      <c r="X184">
        <v>182.21730066310801</v>
      </c>
      <c r="Y184">
        <v>180.48951126388201</v>
      </c>
      <c r="Z184">
        <v>181.372869286038</v>
      </c>
      <c r="AA184">
        <v>0</v>
      </c>
      <c r="AB184">
        <v>0</v>
      </c>
      <c r="AC184">
        <v>0</v>
      </c>
      <c r="AD184">
        <v>1</v>
      </c>
      <c r="AE184">
        <v>40</v>
      </c>
      <c r="AF184">
        <v>1</v>
      </c>
    </row>
    <row r="185" spans="1:32" x14ac:dyDescent="0.3">
      <c r="A185" t="s">
        <v>73</v>
      </c>
      <c r="B185">
        <v>367</v>
      </c>
      <c r="C185">
        <v>0.27110009637890697</v>
      </c>
      <c r="D185">
        <v>0.14209004543577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36</v>
      </c>
      <c r="P185">
        <v>35</v>
      </c>
      <c r="Q185">
        <v>17</v>
      </c>
      <c r="R185">
        <v>17</v>
      </c>
      <c r="S185">
        <v>3.15159135159342</v>
      </c>
      <c r="T185">
        <v>3.1525700049008698</v>
      </c>
      <c r="U185">
        <v>2.54550346672367</v>
      </c>
      <c r="V185">
        <v>2.8098570459379002</v>
      </c>
      <c r="W185">
        <v>183.039866639086</v>
      </c>
      <c r="X185">
        <v>183.04307744389999</v>
      </c>
      <c r="Y185">
        <v>181.05138932652099</v>
      </c>
      <c r="Z185">
        <v>181.91869109559701</v>
      </c>
      <c r="AA185">
        <v>0</v>
      </c>
      <c r="AB185">
        <v>0</v>
      </c>
      <c r="AC185">
        <v>0</v>
      </c>
      <c r="AD185">
        <v>1</v>
      </c>
      <c r="AE185">
        <v>201</v>
      </c>
      <c r="AF185">
        <v>1</v>
      </c>
    </row>
    <row r="186" spans="1:32" x14ac:dyDescent="0.3">
      <c r="A186" t="s">
        <v>75</v>
      </c>
      <c r="B186">
        <v>369</v>
      </c>
      <c r="C186">
        <v>9.7067327550598895E-2</v>
      </c>
      <c r="D186">
        <v>0.32190554867134802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1.0500000000000001E-2</v>
      </c>
      <c r="N186">
        <v>1.0500000000000001E-2</v>
      </c>
      <c r="O186">
        <v>34</v>
      </c>
      <c r="P186">
        <v>33</v>
      </c>
      <c r="Q186">
        <v>22</v>
      </c>
      <c r="R186">
        <v>20</v>
      </c>
      <c r="S186">
        <v>3.0343998355965001</v>
      </c>
      <c r="T186">
        <v>2.9548104257557202</v>
      </c>
      <c r="U186">
        <v>2.01759256858506</v>
      </c>
      <c r="V186">
        <v>2.0890290475775899</v>
      </c>
      <c r="W186">
        <v>182.65538003804599</v>
      </c>
      <c r="X186">
        <v>182.39425992701999</v>
      </c>
      <c r="Y186">
        <v>179.31939819089601</v>
      </c>
      <c r="Z186">
        <v>179.553769841134</v>
      </c>
      <c r="AA186">
        <v>0</v>
      </c>
      <c r="AB186">
        <v>0</v>
      </c>
      <c r="AC186">
        <v>0</v>
      </c>
      <c r="AD186">
        <v>1</v>
      </c>
      <c r="AE186">
        <v>13</v>
      </c>
      <c r="AF186">
        <v>1</v>
      </c>
    </row>
    <row r="187" spans="1:32" x14ac:dyDescent="0.3">
      <c r="A187" t="s">
        <v>77</v>
      </c>
      <c r="B187">
        <v>371</v>
      </c>
      <c r="C187">
        <v>6.6776813988709896E-2</v>
      </c>
      <c r="D187">
        <v>4.0066088393225903E-2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9.8000000000000004E-2</v>
      </c>
      <c r="N187">
        <v>9.8000000000000004E-2</v>
      </c>
      <c r="O187">
        <v>42</v>
      </c>
      <c r="P187">
        <v>39</v>
      </c>
      <c r="Q187">
        <v>22</v>
      </c>
      <c r="R187">
        <v>24</v>
      </c>
      <c r="S187">
        <v>3.1292313971055998</v>
      </c>
      <c r="T187">
        <v>3.0650637594290799</v>
      </c>
      <c r="U187">
        <v>2.35252463415681</v>
      </c>
      <c r="V187">
        <v>2.1939091170890199</v>
      </c>
      <c r="W187">
        <v>182.966507208352</v>
      </c>
      <c r="X187">
        <v>182.75598346269399</v>
      </c>
      <c r="Y187">
        <v>180.418256673743</v>
      </c>
      <c r="Z187">
        <v>179.89786455737899</v>
      </c>
      <c r="AA187">
        <v>0</v>
      </c>
      <c r="AB187">
        <v>0</v>
      </c>
      <c r="AC187">
        <v>0</v>
      </c>
      <c r="AD187">
        <v>1</v>
      </c>
      <c r="AE187">
        <v>84</v>
      </c>
      <c r="AF187">
        <v>1</v>
      </c>
    </row>
    <row r="188" spans="1:32" x14ac:dyDescent="0.3">
      <c r="A188" t="s">
        <v>79</v>
      </c>
      <c r="B188">
        <v>373</v>
      </c>
      <c r="C188">
        <v>0.14209004543577</v>
      </c>
      <c r="D188">
        <v>6.0994079581440201E-2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0.59499999999999997</v>
      </c>
      <c r="N188">
        <v>0</v>
      </c>
      <c r="O188">
        <v>39</v>
      </c>
      <c r="P188">
        <v>32</v>
      </c>
      <c r="Q188">
        <v>20</v>
      </c>
      <c r="R188">
        <v>23</v>
      </c>
      <c r="S188">
        <v>3.1845510315906398</v>
      </c>
      <c r="T188">
        <v>2.6643693170572398</v>
      </c>
      <c r="U188">
        <v>2.4306595579105901</v>
      </c>
      <c r="V188">
        <v>1.8217822633946701</v>
      </c>
      <c r="W188">
        <v>183.14800207214799</v>
      </c>
      <c r="X188">
        <v>181.44136915044999</v>
      </c>
      <c r="Y188">
        <v>180.67460484878799</v>
      </c>
      <c r="Z188">
        <v>178.67697592977299</v>
      </c>
      <c r="AA188">
        <v>0</v>
      </c>
      <c r="AB188">
        <v>0</v>
      </c>
      <c r="AC188">
        <v>0</v>
      </c>
      <c r="AD188">
        <v>1</v>
      </c>
      <c r="AE188">
        <v>98</v>
      </c>
      <c r="AF188">
        <v>1</v>
      </c>
    </row>
    <row r="189" spans="1:32" x14ac:dyDescent="0.3">
      <c r="A189" t="s">
        <v>81</v>
      </c>
      <c r="B189">
        <v>375</v>
      </c>
      <c r="C189">
        <v>0.32190554867134802</v>
      </c>
      <c r="D189">
        <v>0.27110009637890697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1.0500000000000001E-2</v>
      </c>
      <c r="N189">
        <v>0</v>
      </c>
      <c r="O189">
        <v>35</v>
      </c>
      <c r="P189">
        <v>38</v>
      </c>
      <c r="Q189">
        <v>16</v>
      </c>
      <c r="R189">
        <v>18</v>
      </c>
      <c r="S189">
        <v>2.9225071261839601</v>
      </c>
      <c r="T189">
        <v>3.0702347770718199</v>
      </c>
      <c r="U189">
        <v>2.4730295551910002</v>
      </c>
      <c r="V189">
        <v>2.4762564282218702</v>
      </c>
      <c r="W189">
        <v>182.28827797304399</v>
      </c>
      <c r="X189">
        <v>182.77294874367399</v>
      </c>
      <c r="Y189">
        <v>180.81361402621701</v>
      </c>
      <c r="Z189">
        <v>180.82420087999299</v>
      </c>
      <c r="AA189">
        <v>0</v>
      </c>
      <c r="AB189">
        <v>0</v>
      </c>
      <c r="AC189">
        <v>0</v>
      </c>
      <c r="AD189">
        <v>1</v>
      </c>
      <c r="AE189">
        <v>181</v>
      </c>
      <c r="AF189">
        <v>1</v>
      </c>
    </row>
    <row r="190" spans="1:32" x14ac:dyDescent="0.3">
      <c r="A190" t="s">
        <v>83</v>
      </c>
      <c r="B190">
        <v>377</v>
      </c>
      <c r="C190">
        <v>4.0066088393225903E-2</v>
      </c>
      <c r="D190">
        <v>9.7067327550598895E-2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39</v>
      </c>
      <c r="P190">
        <v>36</v>
      </c>
      <c r="Q190">
        <v>25</v>
      </c>
      <c r="R190">
        <v>25</v>
      </c>
      <c r="S190">
        <v>2.9137838805893002</v>
      </c>
      <c r="T190">
        <v>3.07297139599171</v>
      </c>
      <c r="U190">
        <v>2.6340364929501301</v>
      </c>
      <c r="V190">
        <v>2.4531760727929099</v>
      </c>
      <c r="W190">
        <v>182.25965840088401</v>
      </c>
      <c r="X190">
        <v>182.78192715220399</v>
      </c>
      <c r="Y190">
        <v>181.341852010991</v>
      </c>
      <c r="Z190">
        <v>180.748477929111</v>
      </c>
      <c r="AA190">
        <v>0</v>
      </c>
      <c r="AB190">
        <v>0</v>
      </c>
      <c r="AC190">
        <v>0</v>
      </c>
      <c r="AD190">
        <v>1</v>
      </c>
      <c r="AE190">
        <v>22</v>
      </c>
      <c r="AF190">
        <v>1</v>
      </c>
    </row>
    <row r="191" spans="1:32" x14ac:dyDescent="0.3">
      <c r="A191" t="s">
        <v>84</v>
      </c>
      <c r="B191">
        <v>379</v>
      </c>
      <c r="C191">
        <v>6.0994079581440201E-2</v>
      </c>
      <c r="D191">
        <v>6.6776813988709896E-2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0.80149999999999999</v>
      </c>
      <c r="O191">
        <v>35</v>
      </c>
      <c r="P191">
        <v>36</v>
      </c>
      <c r="Q191">
        <v>18</v>
      </c>
      <c r="R191">
        <v>19</v>
      </c>
      <c r="S191">
        <v>3.18460900659742</v>
      </c>
      <c r="T191">
        <v>3.07236256765903</v>
      </c>
      <c r="U191">
        <v>2.2661937722477901</v>
      </c>
      <c r="V191">
        <v>2.1070720947334101</v>
      </c>
      <c r="W191">
        <v>183.14819227886301</v>
      </c>
      <c r="X191">
        <v>182.77992968392101</v>
      </c>
      <c r="Y191">
        <v>180.135018937821</v>
      </c>
      <c r="Z191">
        <v>179.61296619007001</v>
      </c>
      <c r="AA191">
        <v>0</v>
      </c>
      <c r="AB191">
        <v>0</v>
      </c>
      <c r="AC191">
        <v>0</v>
      </c>
      <c r="AD191">
        <v>1</v>
      </c>
      <c r="AE191">
        <v>42</v>
      </c>
      <c r="AF191">
        <v>1</v>
      </c>
    </row>
    <row r="192" spans="1:32" x14ac:dyDescent="0.3">
      <c r="A192" t="s">
        <v>86</v>
      </c>
      <c r="B192">
        <v>381</v>
      </c>
      <c r="C192">
        <v>0.27110009637890697</v>
      </c>
      <c r="D192">
        <v>0.14209004543577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37</v>
      </c>
      <c r="P192">
        <v>38</v>
      </c>
      <c r="Q192">
        <v>16</v>
      </c>
      <c r="R192">
        <v>20</v>
      </c>
      <c r="S192">
        <v>3.1751559250586898</v>
      </c>
      <c r="T192">
        <v>3.3746451013868102</v>
      </c>
      <c r="U192">
        <v>2.4406601457865</v>
      </c>
      <c r="V192">
        <v>2.5978393725443398</v>
      </c>
      <c r="W192">
        <v>183.11717823181999</v>
      </c>
      <c r="X192">
        <v>183.77167028014</v>
      </c>
      <c r="Y192">
        <v>180.70741517646499</v>
      </c>
      <c r="Z192">
        <v>181.22309505427901</v>
      </c>
      <c r="AA192">
        <v>0</v>
      </c>
      <c r="AB192">
        <v>0</v>
      </c>
      <c r="AC192">
        <v>0</v>
      </c>
      <c r="AD192">
        <v>1</v>
      </c>
      <c r="AE192">
        <v>170</v>
      </c>
      <c r="AF192">
        <v>1</v>
      </c>
    </row>
    <row r="193" spans="1:32" x14ac:dyDescent="0.3">
      <c r="A193" t="s">
        <v>88</v>
      </c>
      <c r="B193">
        <v>383</v>
      </c>
      <c r="C193">
        <v>9.7067327550598895E-2</v>
      </c>
      <c r="D193">
        <v>0.32190554867134802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34</v>
      </c>
      <c r="P193">
        <v>37</v>
      </c>
      <c r="Q193">
        <v>24</v>
      </c>
      <c r="R193">
        <v>18</v>
      </c>
      <c r="S193">
        <v>3.1084807673942101</v>
      </c>
      <c r="T193">
        <v>2.8801967778942998</v>
      </c>
      <c r="U193">
        <v>2.3978259627614502</v>
      </c>
      <c r="V193">
        <v>2.1330767685969301</v>
      </c>
      <c r="W193">
        <v>182.89842771454801</v>
      </c>
      <c r="X193">
        <v>182.14946449440399</v>
      </c>
      <c r="Y193">
        <v>180.56688307992599</v>
      </c>
      <c r="Z193">
        <v>179.69828336153799</v>
      </c>
      <c r="AA193">
        <v>0</v>
      </c>
      <c r="AB193">
        <v>0</v>
      </c>
      <c r="AC193">
        <v>0</v>
      </c>
      <c r="AD193">
        <v>1</v>
      </c>
      <c r="AE193">
        <v>42</v>
      </c>
      <c r="AF193">
        <v>1</v>
      </c>
    </row>
    <row r="194" spans="1:32" x14ac:dyDescent="0.3">
      <c r="A194" t="s">
        <v>91</v>
      </c>
      <c r="B194">
        <v>385</v>
      </c>
      <c r="C194">
        <v>0.14209004543577</v>
      </c>
      <c r="D194">
        <v>6.0994079581440201E-2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37</v>
      </c>
      <c r="P194">
        <v>36</v>
      </c>
      <c r="Q194">
        <v>21</v>
      </c>
      <c r="R194">
        <v>19</v>
      </c>
      <c r="S194">
        <v>3.0263524985612902</v>
      </c>
      <c r="T194">
        <v>3.0770049069274301</v>
      </c>
      <c r="U194">
        <v>2.1558792669354001</v>
      </c>
      <c r="V194">
        <v>2.26033441980403</v>
      </c>
      <c r="W194">
        <v>182.62897801365301</v>
      </c>
      <c r="X194">
        <v>182.79516045579899</v>
      </c>
      <c r="Y194">
        <v>179.77309470779301</v>
      </c>
      <c r="Z194">
        <v>180.11579534056401</v>
      </c>
      <c r="AA194">
        <v>0</v>
      </c>
      <c r="AB194">
        <v>0</v>
      </c>
      <c r="AC194">
        <v>0</v>
      </c>
      <c r="AD194">
        <v>1</v>
      </c>
      <c r="AE194">
        <v>61</v>
      </c>
      <c r="AF194">
        <v>1</v>
      </c>
    </row>
    <row r="195" spans="1:32" x14ac:dyDescent="0.3">
      <c r="A195" t="s">
        <v>93</v>
      </c>
      <c r="B195">
        <v>387</v>
      </c>
      <c r="C195">
        <v>0.32190554867134802</v>
      </c>
      <c r="D195">
        <v>0.27110009637890697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0.48</v>
      </c>
      <c r="N195">
        <v>0</v>
      </c>
      <c r="O195">
        <v>42</v>
      </c>
      <c r="P195">
        <v>38</v>
      </c>
      <c r="Q195">
        <v>21</v>
      </c>
      <c r="R195">
        <v>20</v>
      </c>
      <c r="S195">
        <v>3.1243299815364698</v>
      </c>
      <c r="T195">
        <v>3.0597423124188601</v>
      </c>
      <c r="U195">
        <v>2.1959621091833101</v>
      </c>
      <c r="V195">
        <v>2.42581642082164</v>
      </c>
      <c r="W195">
        <v>182.95042644860999</v>
      </c>
      <c r="X195">
        <v>182.73852464704299</v>
      </c>
      <c r="Y195">
        <v>179.90460009574599</v>
      </c>
      <c r="Z195">
        <v>180.65871529141</v>
      </c>
      <c r="AA195">
        <v>0</v>
      </c>
      <c r="AB195">
        <v>0</v>
      </c>
      <c r="AC195">
        <v>0</v>
      </c>
      <c r="AD195">
        <v>1</v>
      </c>
      <c r="AE195">
        <v>207</v>
      </c>
      <c r="AF195">
        <v>1</v>
      </c>
    </row>
    <row r="196" spans="1:32" x14ac:dyDescent="0.3">
      <c r="A196" t="s">
        <v>95</v>
      </c>
      <c r="B196">
        <v>389</v>
      </c>
      <c r="C196">
        <v>4.0066088393225903E-2</v>
      </c>
      <c r="D196">
        <v>9.7067327550598895E-2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0.17</v>
      </c>
      <c r="N196">
        <v>0</v>
      </c>
      <c r="O196">
        <v>41</v>
      </c>
      <c r="P196">
        <v>43</v>
      </c>
      <c r="Q196">
        <v>23</v>
      </c>
      <c r="R196">
        <v>21</v>
      </c>
      <c r="S196">
        <v>3.2214090571415701</v>
      </c>
      <c r="T196">
        <v>3.107502596117</v>
      </c>
      <c r="U196">
        <v>2.0732817920457598</v>
      </c>
      <c r="V196">
        <v>2.0988623128691399</v>
      </c>
      <c r="W196">
        <v>183.26892735282701</v>
      </c>
      <c r="X196">
        <v>182.895218491197</v>
      </c>
      <c r="Y196">
        <v>179.502105616948</v>
      </c>
      <c r="Z196">
        <v>179.58603121020101</v>
      </c>
      <c r="AA196">
        <v>0</v>
      </c>
      <c r="AB196">
        <v>0</v>
      </c>
      <c r="AC196">
        <v>0</v>
      </c>
      <c r="AD196">
        <v>1</v>
      </c>
      <c r="AE196">
        <v>50</v>
      </c>
      <c r="AF196">
        <v>1</v>
      </c>
    </row>
    <row r="197" spans="1:32" x14ac:dyDescent="0.3">
      <c r="A197" t="s">
        <v>97</v>
      </c>
      <c r="B197">
        <v>391</v>
      </c>
      <c r="C197">
        <v>6.0994079581440201E-2</v>
      </c>
      <c r="D197">
        <v>6.6776813988709896E-2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37</v>
      </c>
      <c r="P197">
        <v>41</v>
      </c>
      <c r="Q197">
        <v>24</v>
      </c>
      <c r="R197">
        <v>24</v>
      </c>
      <c r="S197">
        <v>3.3589616578697501</v>
      </c>
      <c r="T197">
        <v>3.2147276825084301</v>
      </c>
      <c r="U197">
        <v>2.3231345282795202</v>
      </c>
      <c r="V197">
        <v>2.27855597070559</v>
      </c>
      <c r="W197">
        <v>183.720215412958</v>
      </c>
      <c r="X197">
        <v>183.247006832377</v>
      </c>
      <c r="Y197">
        <v>180.321832441862</v>
      </c>
      <c r="Z197">
        <v>180.175577331711</v>
      </c>
      <c r="AA197">
        <v>0</v>
      </c>
      <c r="AB197">
        <v>0</v>
      </c>
      <c r="AC197">
        <v>0</v>
      </c>
      <c r="AD197">
        <v>1</v>
      </c>
      <c r="AE197">
        <v>24</v>
      </c>
      <c r="AF197">
        <v>1</v>
      </c>
    </row>
    <row r="198" spans="1:32" x14ac:dyDescent="0.3">
      <c r="A198" t="s">
        <v>99</v>
      </c>
      <c r="B198">
        <v>393</v>
      </c>
      <c r="C198">
        <v>0.27110009637890697</v>
      </c>
      <c r="D198">
        <v>0.14209004543577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0.65</v>
      </c>
      <c r="N198">
        <v>0.06</v>
      </c>
      <c r="O198">
        <v>41</v>
      </c>
      <c r="P198">
        <v>37</v>
      </c>
      <c r="Q198">
        <v>18</v>
      </c>
      <c r="R198">
        <v>22</v>
      </c>
      <c r="S198">
        <v>2.6069177584875498</v>
      </c>
      <c r="T198">
        <v>3.0746669200310301</v>
      </c>
      <c r="U198">
        <v>2.0864869275167601</v>
      </c>
      <c r="V198">
        <v>2.76231893385257</v>
      </c>
      <c r="W198">
        <v>181.25287978506401</v>
      </c>
      <c r="X198">
        <v>182.78748989511499</v>
      </c>
      <c r="Y198">
        <v>179.54542955222001</v>
      </c>
      <c r="Z198">
        <v>181.76272616093399</v>
      </c>
      <c r="AA198">
        <v>0</v>
      </c>
      <c r="AB198">
        <v>0</v>
      </c>
      <c r="AC198">
        <v>0</v>
      </c>
      <c r="AD198">
        <v>1</v>
      </c>
      <c r="AE198">
        <v>133</v>
      </c>
      <c r="AF198">
        <v>1</v>
      </c>
    </row>
    <row r="199" spans="1:32" x14ac:dyDescent="0.3">
      <c r="A199" t="s">
        <v>101</v>
      </c>
      <c r="B199">
        <v>395</v>
      </c>
      <c r="C199">
        <v>9.7067327550598895E-2</v>
      </c>
      <c r="D199">
        <v>0.32190554867134802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0.03</v>
      </c>
      <c r="N199">
        <v>0</v>
      </c>
      <c r="O199">
        <v>40</v>
      </c>
      <c r="P199">
        <v>27</v>
      </c>
      <c r="Q199">
        <v>22</v>
      </c>
      <c r="R199">
        <v>19</v>
      </c>
      <c r="S199">
        <v>3.1856778382319302</v>
      </c>
      <c r="T199">
        <v>2.1957630654829199</v>
      </c>
      <c r="U199">
        <v>2.1220274728302302</v>
      </c>
      <c r="V199">
        <v>1.65784787865496</v>
      </c>
      <c r="W199">
        <v>183.15169894433001</v>
      </c>
      <c r="X199">
        <v>179.90394706523301</v>
      </c>
      <c r="Y199">
        <v>179.66203239117499</v>
      </c>
      <c r="Z199">
        <v>178.139133460154</v>
      </c>
      <c r="AA199">
        <v>0</v>
      </c>
      <c r="AB199">
        <v>0</v>
      </c>
      <c r="AC199">
        <v>0</v>
      </c>
      <c r="AD199">
        <v>1</v>
      </c>
      <c r="AE199">
        <v>36</v>
      </c>
      <c r="AF199">
        <v>1</v>
      </c>
    </row>
    <row r="200" spans="1:32" x14ac:dyDescent="0.3">
      <c r="A200" t="s">
        <v>103</v>
      </c>
      <c r="B200">
        <v>397</v>
      </c>
      <c r="C200">
        <v>6.6776813988709896E-2</v>
      </c>
      <c r="D200">
        <v>4.0066088393225903E-2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1.59</v>
      </c>
      <c r="N200">
        <v>0</v>
      </c>
      <c r="O200">
        <v>36</v>
      </c>
      <c r="P200">
        <v>27</v>
      </c>
      <c r="Q200">
        <v>23</v>
      </c>
      <c r="R200">
        <v>27</v>
      </c>
      <c r="S200">
        <v>3.2986207735725102</v>
      </c>
      <c r="T200">
        <v>3.4546419173882001</v>
      </c>
      <c r="U200">
        <v>2.4959404580259301</v>
      </c>
      <c r="V200">
        <v>3.4546419173882001</v>
      </c>
      <c r="W200">
        <v>183.52224663245599</v>
      </c>
      <c r="X200">
        <v>184.03412702555201</v>
      </c>
      <c r="Y200">
        <v>180.888781030269</v>
      </c>
      <c r="Z200">
        <v>184.03412702555201</v>
      </c>
      <c r="AA200">
        <v>0</v>
      </c>
      <c r="AB200">
        <v>0</v>
      </c>
      <c r="AC200">
        <v>0</v>
      </c>
      <c r="AD200">
        <v>1</v>
      </c>
      <c r="AE200">
        <v>24</v>
      </c>
      <c r="AF200">
        <v>1</v>
      </c>
    </row>
    <row r="201" spans="1:32" x14ac:dyDescent="0.3">
      <c r="A201" t="s">
        <v>105</v>
      </c>
      <c r="B201">
        <v>399</v>
      </c>
      <c r="C201">
        <v>0.14209004543577</v>
      </c>
      <c r="D201">
        <v>6.0994079581440201E-2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37</v>
      </c>
      <c r="P201">
        <v>32</v>
      </c>
      <c r="Q201">
        <v>17</v>
      </c>
      <c r="R201">
        <v>23</v>
      </c>
      <c r="S201">
        <v>2.7899076627286301</v>
      </c>
      <c r="T201">
        <v>3.0387981941826201</v>
      </c>
      <c r="U201">
        <v>2.5444777960045899</v>
      </c>
      <c r="V201">
        <v>2.6707993547349802</v>
      </c>
      <c r="W201">
        <v>181.85324036328299</v>
      </c>
      <c r="X201">
        <v>182.669810348368</v>
      </c>
      <c r="Y201">
        <v>181.04802426510699</v>
      </c>
      <c r="Z201">
        <v>181.46246507459</v>
      </c>
      <c r="AA201">
        <v>0</v>
      </c>
      <c r="AB201">
        <v>0</v>
      </c>
      <c r="AC201">
        <v>0</v>
      </c>
      <c r="AD201">
        <v>1</v>
      </c>
      <c r="AE201">
        <v>64</v>
      </c>
      <c r="AF201">
        <v>1</v>
      </c>
    </row>
    <row r="202" spans="1:32" x14ac:dyDescent="0.3">
      <c r="A202" t="s">
        <v>107</v>
      </c>
      <c r="B202">
        <v>401</v>
      </c>
      <c r="C202">
        <v>0.32190554867134802</v>
      </c>
      <c r="D202">
        <v>0.27110009637890697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35</v>
      </c>
      <c r="P202">
        <v>35</v>
      </c>
      <c r="Q202">
        <v>19</v>
      </c>
      <c r="R202">
        <v>17</v>
      </c>
      <c r="S202">
        <v>3.3738036636329198</v>
      </c>
      <c r="T202">
        <v>2.9285489300107499</v>
      </c>
      <c r="U202">
        <v>2.6665689565537001</v>
      </c>
      <c r="V202">
        <v>2.66103720796331</v>
      </c>
      <c r="W202">
        <v>183.76890965758801</v>
      </c>
      <c r="X202">
        <v>182.30810016407699</v>
      </c>
      <c r="Y202">
        <v>181.44858581546501</v>
      </c>
      <c r="Z202">
        <v>181.43043703399999</v>
      </c>
      <c r="AA202">
        <v>0</v>
      </c>
      <c r="AB202">
        <v>0</v>
      </c>
      <c r="AC202">
        <v>0</v>
      </c>
      <c r="AD202">
        <v>1</v>
      </c>
      <c r="AE202">
        <v>204</v>
      </c>
      <c r="AF202">
        <v>1</v>
      </c>
    </row>
    <row r="203" spans="1:32" x14ac:dyDescent="0.3">
      <c r="A203" t="s">
        <v>109</v>
      </c>
      <c r="B203">
        <v>403</v>
      </c>
      <c r="C203">
        <v>4.0066088393225903E-2</v>
      </c>
      <c r="D203">
        <v>9.7067327550598895E-2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41</v>
      </c>
      <c r="P203">
        <v>38</v>
      </c>
      <c r="Q203">
        <v>19</v>
      </c>
      <c r="R203">
        <v>23</v>
      </c>
      <c r="S203">
        <v>3.01213519800582</v>
      </c>
      <c r="T203">
        <v>3.0412324180523398</v>
      </c>
      <c r="U203">
        <v>2.2077857991169201</v>
      </c>
      <c r="V203">
        <v>2.5168834119433399</v>
      </c>
      <c r="W203">
        <v>182.582333326791</v>
      </c>
      <c r="X203">
        <v>182.677796647153</v>
      </c>
      <c r="Y203">
        <v>179.94339172938601</v>
      </c>
      <c r="Z203">
        <v>180.95749150899999</v>
      </c>
      <c r="AA203">
        <v>0</v>
      </c>
      <c r="AB203">
        <v>0</v>
      </c>
      <c r="AC203">
        <v>0</v>
      </c>
      <c r="AD203">
        <v>1</v>
      </c>
      <c r="AE203">
        <v>47</v>
      </c>
      <c r="AF203">
        <v>1</v>
      </c>
    </row>
    <row r="204" spans="1:32" x14ac:dyDescent="0.3">
      <c r="A204" t="s">
        <v>111</v>
      </c>
      <c r="B204">
        <v>405</v>
      </c>
      <c r="C204">
        <v>6.0994079581440201E-2</v>
      </c>
      <c r="D204">
        <v>6.6776813988709896E-2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39</v>
      </c>
      <c r="P204">
        <v>41</v>
      </c>
      <c r="Q204">
        <v>22</v>
      </c>
      <c r="R204">
        <v>22</v>
      </c>
      <c r="S204">
        <v>3.2235886745676101</v>
      </c>
      <c r="T204">
        <v>2.8894556535309301</v>
      </c>
      <c r="U204">
        <v>2.5153210469134</v>
      </c>
      <c r="V204">
        <v>2.6223230768571799</v>
      </c>
      <c r="W204">
        <v>183.27607832863399</v>
      </c>
      <c r="X204">
        <v>182.17984138297501</v>
      </c>
      <c r="Y204">
        <v>180.95236563948001</v>
      </c>
      <c r="Z204">
        <v>181.303422168167</v>
      </c>
      <c r="AA204">
        <v>0</v>
      </c>
      <c r="AB204">
        <v>0</v>
      </c>
      <c r="AC204">
        <v>0</v>
      </c>
      <c r="AD204">
        <v>1</v>
      </c>
      <c r="AE204">
        <v>21</v>
      </c>
      <c r="AF204">
        <v>1</v>
      </c>
    </row>
    <row r="205" spans="1:32" x14ac:dyDescent="0.3">
      <c r="A205" t="s">
        <v>113</v>
      </c>
      <c r="B205">
        <v>407</v>
      </c>
      <c r="C205">
        <v>0.27110009637890697</v>
      </c>
      <c r="D205">
        <v>0.14209004543577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40</v>
      </c>
      <c r="P205">
        <v>38</v>
      </c>
      <c r="Q205">
        <v>16</v>
      </c>
      <c r="R205">
        <v>21</v>
      </c>
      <c r="S205">
        <v>2.7995778075892899</v>
      </c>
      <c r="T205">
        <v>3.12119998222005</v>
      </c>
      <c r="U205">
        <v>2.2161309791474801</v>
      </c>
      <c r="V205">
        <v>2.8077759088861298</v>
      </c>
      <c r="W205">
        <v>181.884966560332</v>
      </c>
      <c r="X205">
        <v>182.94015742198201</v>
      </c>
      <c r="Y205">
        <v>179.970770928962</v>
      </c>
      <c r="Z205">
        <v>181.91186321813001</v>
      </c>
      <c r="AA205">
        <v>0</v>
      </c>
      <c r="AB205">
        <v>0</v>
      </c>
      <c r="AC205">
        <v>0</v>
      </c>
      <c r="AD205">
        <v>1</v>
      </c>
      <c r="AE205">
        <v>192</v>
      </c>
      <c r="AF205">
        <v>1</v>
      </c>
    </row>
    <row r="206" spans="1:32" x14ac:dyDescent="0.3">
      <c r="A206" t="s">
        <v>115</v>
      </c>
      <c r="B206">
        <v>409</v>
      </c>
      <c r="C206">
        <v>9.7067327550598895E-2</v>
      </c>
      <c r="D206">
        <v>0.32190554867134802</v>
      </c>
      <c r="E206">
        <v>1</v>
      </c>
      <c r="F206">
        <v>0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43</v>
      </c>
      <c r="P206">
        <v>42</v>
      </c>
      <c r="Q206">
        <v>18</v>
      </c>
      <c r="R206">
        <v>18</v>
      </c>
      <c r="S206">
        <v>2.7871757441615301</v>
      </c>
      <c r="T206">
        <v>2.88931643913322</v>
      </c>
      <c r="U206">
        <v>1.8338352820227899</v>
      </c>
      <c r="V206">
        <v>2.0859291551005099</v>
      </c>
      <c r="W206">
        <v>181.84427737585801</v>
      </c>
      <c r="X206">
        <v>182.17938464282599</v>
      </c>
      <c r="Y206">
        <v>178.716519954143</v>
      </c>
      <c r="Z206">
        <v>179.543599590225</v>
      </c>
      <c r="AA206">
        <v>0</v>
      </c>
      <c r="AB206">
        <v>0</v>
      </c>
      <c r="AC206">
        <v>0</v>
      </c>
      <c r="AD206">
        <v>1</v>
      </c>
      <c r="AE206">
        <v>202</v>
      </c>
      <c r="AF206">
        <v>1</v>
      </c>
    </row>
    <row r="207" spans="1:32" x14ac:dyDescent="0.3">
      <c r="A207" t="s">
        <v>117</v>
      </c>
      <c r="B207">
        <v>411</v>
      </c>
      <c r="C207">
        <v>6.6776813988709896E-2</v>
      </c>
      <c r="D207">
        <v>4.0066088393225903E-2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39</v>
      </c>
      <c r="P207">
        <v>43</v>
      </c>
      <c r="Q207">
        <v>22</v>
      </c>
      <c r="R207">
        <v>24</v>
      </c>
      <c r="S207">
        <v>3.3074010264487201</v>
      </c>
      <c r="T207">
        <v>3.3064218826999001</v>
      </c>
      <c r="U207">
        <v>2.4574281061104002</v>
      </c>
      <c r="V207">
        <v>2.1448170129117701</v>
      </c>
      <c r="W207">
        <v>183.55105323638</v>
      </c>
      <c r="X207">
        <v>183.547840822506</v>
      </c>
      <c r="Y207">
        <v>180.76242816965399</v>
      </c>
      <c r="Z207">
        <v>179.736801223464</v>
      </c>
      <c r="AA207">
        <v>0</v>
      </c>
      <c r="AB207">
        <v>0</v>
      </c>
      <c r="AC207">
        <v>0</v>
      </c>
      <c r="AD207">
        <v>1</v>
      </c>
      <c r="AE207">
        <v>46</v>
      </c>
      <c r="AF207">
        <v>1</v>
      </c>
    </row>
    <row r="208" spans="1:32" x14ac:dyDescent="0.3">
      <c r="A208" t="s">
        <v>119</v>
      </c>
      <c r="B208">
        <v>413</v>
      </c>
      <c r="C208">
        <v>0.14209004543577</v>
      </c>
      <c r="D208">
        <v>6.0994079581440201E-2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0.68</v>
      </c>
      <c r="N208">
        <v>0.78</v>
      </c>
      <c r="O208">
        <v>36</v>
      </c>
      <c r="P208">
        <v>27</v>
      </c>
      <c r="Q208">
        <v>18</v>
      </c>
      <c r="R208">
        <v>24</v>
      </c>
      <c r="S208">
        <v>3.1729569543979999</v>
      </c>
      <c r="T208">
        <v>2.9675731681712301</v>
      </c>
      <c r="U208">
        <v>2.6904742287645398</v>
      </c>
      <c r="V208">
        <v>2.80688720553725</v>
      </c>
      <c r="W208">
        <v>183.10996376114801</v>
      </c>
      <c r="X208">
        <v>182.436132441507</v>
      </c>
      <c r="Y208">
        <v>181.52701518623499</v>
      </c>
      <c r="Z208">
        <v>181.908947524729</v>
      </c>
      <c r="AA208">
        <v>0</v>
      </c>
      <c r="AB208">
        <v>0</v>
      </c>
      <c r="AC208">
        <v>0</v>
      </c>
      <c r="AD208">
        <v>1</v>
      </c>
      <c r="AE208">
        <v>21</v>
      </c>
      <c r="AF208">
        <v>1</v>
      </c>
    </row>
    <row r="209" spans="1:32" x14ac:dyDescent="0.3">
      <c r="A209" t="s">
        <v>121</v>
      </c>
      <c r="B209">
        <v>415</v>
      </c>
      <c r="C209">
        <v>0.32190554867134802</v>
      </c>
      <c r="D209">
        <v>0.27110009637890697</v>
      </c>
      <c r="E209">
        <v>0</v>
      </c>
      <c r="F209">
        <v>0</v>
      </c>
      <c r="G209">
        <v>0</v>
      </c>
      <c r="H209">
        <v>1</v>
      </c>
      <c r="I209">
        <v>0</v>
      </c>
      <c r="J209">
        <v>1</v>
      </c>
      <c r="K209">
        <v>0</v>
      </c>
      <c r="L209">
        <v>0</v>
      </c>
      <c r="M209">
        <v>0.16</v>
      </c>
      <c r="N209">
        <v>0.05</v>
      </c>
      <c r="O209">
        <v>24</v>
      </c>
      <c r="P209">
        <v>35</v>
      </c>
      <c r="Q209">
        <v>19</v>
      </c>
      <c r="R209">
        <v>16</v>
      </c>
      <c r="S209">
        <v>2.8980036154421902</v>
      </c>
      <c r="T209">
        <v>3.1163345303513199</v>
      </c>
      <c r="U209">
        <v>2.7177850454084802</v>
      </c>
      <c r="V209">
        <v>2.2839516361177901</v>
      </c>
      <c r="W209">
        <v>182.20788587743499</v>
      </c>
      <c r="X209">
        <v>182.92419465338401</v>
      </c>
      <c r="Y209">
        <v>181.616617603046</v>
      </c>
      <c r="Z209">
        <v>180.193279646056</v>
      </c>
      <c r="AA209">
        <v>0</v>
      </c>
      <c r="AB209">
        <v>0</v>
      </c>
      <c r="AC209">
        <v>0</v>
      </c>
      <c r="AD209">
        <v>1</v>
      </c>
      <c r="AE209">
        <v>8</v>
      </c>
      <c r="AF209">
        <v>1</v>
      </c>
    </row>
    <row r="210" spans="1:32" x14ac:dyDescent="0.3">
      <c r="A210" t="s">
        <v>95</v>
      </c>
      <c r="B210">
        <v>82</v>
      </c>
      <c r="C210">
        <v>3.3426183844011102E-2</v>
      </c>
      <c r="D210">
        <v>7.7994428969359306E-2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0.17</v>
      </c>
      <c r="N210">
        <v>0</v>
      </c>
      <c r="O210">
        <v>28</v>
      </c>
      <c r="P210">
        <v>42</v>
      </c>
      <c r="Q210">
        <v>28</v>
      </c>
      <c r="R210">
        <v>33</v>
      </c>
      <c r="S210">
        <v>0.39163094191130099</v>
      </c>
      <c r="T210">
        <v>1.18171223264558</v>
      </c>
      <c r="U210">
        <v>0.39163094191130099</v>
      </c>
      <c r="V210">
        <v>0.37384817155676803</v>
      </c>
      <c r="W210">
        <v>180.39487841834401</v>
      </c>
      <c r="X210">
        <v>182.98700863728899</v>
      </c>
      <c r="Y210">
        <v>180.39487841834401</v>
      </c>
      <c r="Z210">
        <v>180.336535995921</v>
      </c>
      <c r="AA210">
        <v>1</v>
      </c>
      <c r="AB210">
        <v>0</v>
      </c>
      <c r="AC210">
        <v>0</v>
      </c>
      <c r="AD210">
        <v>0</v>
      </c>
      <c r="AE210">
        <v>1</v>
      </c>
      <c r="AF210">
        <v>1</v>
      </c>
    </row>
    <row r="211" spans="1:32" x14ac:dyDescent="0.3">
      <c r="A211" t="s">
        <v>79</v>
      </c>
      <c r="B211">
        <v>150</v>
      </c>
      <c r="C211">
        <v>0.13018867924528299</v>
      </c>
      <c r="D211">
        <v>6.2641509433962295E-2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1</v>
      </c>
      <c r="L211">
        <v>0</v>
      </c>
      <c r="M211">
        <v>0.59499999999999997</v>
      </c>
      <c r="N211">
        <v>0</v>
      </c>
      <c r="O211">
        <v>35</v>
      </c>
      <c r="P211">
        <v>37</v>
      </c>
      <c r="Q211">
        <v>18</v>
      </c>
      <c r="R211">
        <v>33</v>
      </c>
      <c r="S211">
        <v>1.90562431779238</v>
      </c>
      <c r="T211">
        <v>0.51874534609116996</v>
      </c>
      <c r="U211">
        <v>1.1219583909219599</v>
      </c>
      <c r="V211">
        <v>0.51701459304529596</v>
      </c>
      <c r="W211">
        <v>183.14204828672001</v>
      </c>
      <c r="X211">
        <v>178.591920426808</v>
      </c>
      <c r="Y211">
        <v>180.57096584948201</v>
      </c>
      <c r="Z211">
        <v>178.586242103167</v>
      </c>
      <c r="AA211">
        <v>0</v>
      </c>
      <c r="AB211">
        <v>1</v>
      </c>
      <c r="AC211">
        <v>0</v>
      </c>
      <c r="AD211">
        <v>0</v>
      </c>
      <c r="AE211">
        <v>36</v>
      </c>
      <c r="AF211">
        <v>1</v>
      </c>
    </row>
    <row r="212" spans="1:32" x14ac:dyDescent="0.3">
      <c r="A212" t="s">
        <v>117</v>
      </c>
      <c r="B212">
        <v>186</v>
      </c>
      <c r="C212">
        <v>5.7735849056603797E-2</v>
      </c>
      <c r="D212">
        <v>3.77358490566038E-2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39</v>
      </c>
      <c r="P212">
        <v>40</v>
      </c>
      <c r="Q212">
        <v>28</v>
      </c>
      <c r="R212">
        <v>34</v>
      </c>
      <c r="S212">
        <v>1.9987321686842801</v>
      </c>
      <c r="T212">
        <v>1.56015992969053</v>
      </c>
      <c r="U212">
        <v>1.2007173424128501</v>
      </c>
      <c r="V212">
        <v>0.89863031794165305</v>
      </c>
      <c r="W212">
        <v>183.44752023846499</v>
      </c>
      <c r="X212">
        <v>182.00863493993</v>
      </c>
      <c r="Y212">
        <v>180.829361359622</v>
      </c>
      <c r="Z212">
        <v>179.83826219797101</v>
      </c>
      <c r="AA212">
        <v>0</v>
      </c>
      <c r="AB212">
        <v>1</v>
      </c>
      <c r="AC212">
        <v>0</v>
      </c>
      <c r="AD212">
        <v>0</v>
      </c>
      <c r="AE212">
        <v>15</v>
      </c>
      <c r="AF212">
        <v>1</v>
      </c>
    </row>
    <row r="213" spans="1:32" x14ac:dyDescent="0.3">
      <c r="A213" t="s">
        <v>101</v>
      </c>
      <c r="B213">
        <v>282</v>
      </c>
      <c r="C213">
        <v>9.6673455532926E-2</v>
      </c>
      <c r="D213">
        <v>0.31785471826204997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1</v>
      </c>
      <c r="L213">
        <v>0</v>
      </c>
      <c r="M213">
        <v>0.03</v>
      </c>
      <c r="N213">
        <v>0</v>
      </c>
      <c r="O213">
        <v>39</v>
      </c>
      <c r="P213">
        <v>27</v>
      </c>
      <c r="Q213">
        <v>22</v>
      </c>
      <c r="R213">
        <v>19</v>
      </c>
      <c r="S213">
        <v>3.15149123480525</v>
      </c>
      <c r="T213">
        <v>2.1575916763177401</v>
      </c>
      <c r="U213">
        <v>2.0829988656907701</v>
      </c>
      <c r="V213">
        <v>1.62145500490676</v>
      </c>
      <c r="W213">
        <v>182.979538171933</v>
      </c>
      <c r="X213">
        <v>179.71871284881101</v>
      </c>
      <c r="Y213">
        <v>179.473985779825</v>
      </c>
      <c r="Z213">
        <v>177.959734268067</v>
      </c>
      <c r="AA213">
        <v>0</v>
      </c>
      <c r="AB213">
        <v>0</v>
      </c>
      <c r="AC213">
        <v>1</v>
      </c>
      <c r="AD213">
        <v>0</v>
      </c>
      <c r="AE213">
        <v>36</v>
      </c>
      <c r="AF213">
        <v>1</v>
      </c>
    </row>
    <row r="214" spans="1:32" x14ac:dyDescent="0.3">
      <c r="A214" t="s">
        <v>117</v>
      </c>
      <c r="B214">
        <v>298</v>
      </c>
      <c r="C214">
        <v>6.5987780040733204E-2</v>
      </c>
      <c r="D214">
        <v>3.9646978954514599E-2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39</v>
      </c>
      <c r="P214">
        <v>44</v>
      </c>
      <c r="Q214">
        <v>22</v>
      </c>
      <c r="R214">
        <v>24</v>
      </c>
      <c r="S214">
        <v>3.3103495882328602</v>
      </c>
      <c r="T214">
        <v>3.30917813816807</v>
      </c>
      <c r="U214">
        <v>2.4686014398962599</v>
      </c>
      <c r="V214">
        <v>2.1548792413867601</v>
      </c>
      <c r="W214">
        <v>183.50072699551501</v>
      </c>
      <c r="X214">
        <v>183.496883655407</v>
      </c>
      <c r="Y214">
        <v>180.739086088899</v>
      </c>
      <c r="Z214">
        <v>179.709813784077</v>
      </c>
      <c r="AA214">
        <v>0</v>
      </c>
      <c r="AB214">
        <v>0</v>
      </c>
      <c r="AC214">
        <v>1</v>
      </c>
      <c r="AD214">
        <v>0</v>
      </c>
      <c r="AE214">
        <v>41</v>
      </c>
      <c r="AF214">
        <v>1</v>
      </c>
    </row>
    <row r="215" spans="1:32" x14ac:dyDescent="0.3">
      <c r="A215" t="s">
        <v>12</v>
      </c>
      <c r="B215">
        <v>4</v>
      </c>
      <c r="C215">
        <v>0.33658310120705698</v>
      </c>
      <c r="D215">
        <v>0.24001857010213601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34</v>
      </c>
      <c r="P215">
        <v>27</v>
      </c>
      <c r="Q215">
        <v>11</v>
      </c>
      <c r="R215">
        <v>5</v>
      </c>
      <c r="S215">
        <v>0.88979821628513101</v>
      </c>
      <c r="T215">
        <v>1.1302414586262799</v>
      </c>
      <c r="U215">
        <v>0.22739874834516699</v>
      </c>
      <c r="V215">
        <v>0.83694376931608205</v>
      </c>
      <c r="W215">
        <v>182.02928548649999</v>
      </c>
      <c r="X215">
        <v>182.81814126845899</v>
      </c>
      <c r="Y215">
        <v>179.856058885647</v>
      </c>
      <c r="Z215">
        <v>181.85587850825499</v>
      </c>
      <c r="AA215">
        <v>1</v>
      </c>
      <c r="AB215">
        <v>0</v>
      </c>
      <c r="AC215">
        <v>0</v>
      </c>
      <c r="AD215">
        <v>0</v>
      </c>
      <c r="AE215">
        <v>91</v>
      </c>
      <c r="AF215">
        <v>1</v>
      </c>
    </row>
    <row r="216" spans="1:32" x14ac:dyDescent="0.3">
      <c r="A216" t="s">
        <v>16</v>
      </c>
      <c r="B216">
        <v>8</v>
      </c>
      <c r="C216">
        <v>7.6601671309192196E-2</v>
      </c>
      <c r="D216">
        <v>6.9637883008356605E-2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0.34649999999999997</v>
      </c>
      <c r="N216">
        <v>0</v>
      </c>
      <c r="O216">
        <v>33</v>
      </c>
      <c r="P216">
        <v>34</v>
      </c>
      <c r="Q216">
        <v>25</v>
      </c>
      <c r="R216">
        <v>20</v>
      </c>
      <c r="S216">
        <v>1.2347750146826599</v>
      </c>
      <c r="T216">
        <v>1.00341565307527</v>
      </c>
      <c r="U216">
        <v>0.189081967370964</v>
      </c>
      <c r="V216">
        <v>5.16141025679255E-2</v>
      </c>
      <c r="W216">
        <v>183.16109912953601</v>
      </c>
      <c r="X216">
        <v>182.40204610589001</v>
      </c>
      <c r="Y216">
        <v>179.73034766197799</v>
      </c>
      <c r="Z216">
        <v>179.27933760684999</v>
      </c>
      <c r="AA216">
        <v>1</v>
      </c>
      <c r="AB216">
        <v>0</v>
      </c>
      <c r="AC216">
        <v>0</v>
      </c>
      <c r="AD216">
        <v>0</v>
      </c>
      <c r="AE216">
        <v>4</v>
      </c>
      <c r="AF216">
        <v>1</v>
      </c>
    </row>
    <row r="217" spans="1:32" x14ac:dyDescent="0.3">
      <c r="A217" t="s">
        <v>20</v>
      </c>
      <c r="B217">
        <v>12</v>
      </c>
      <c r="C217">
        <v>7.7994428969359306E-2</v>
      </c>
      <c r="D217">
        <v>0.33658310120705698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0.33950000000000002</v>
      </c>
      <c r="N217">
        <v>1.0500000000000001E-2</v>
      </c>
      <c r="O217">
        <v>13</v>
      </c>
      <c r="P217">
        <v>21</v>
      </c>
      <c r="Q217">
        <v>12</v>
      </c>
      <c r="R217">
        <v>19</v>
      </c>
      <c r="S217">
        <v>1.12676051444211</v>
      </c>
      <c r="T217">
        <v>0.53789708941633896</v>
      </c>
      <c r="U217">
        <v>1.0715571998335101</v>
      </c>
      <c r="V217">
        <v>0.41650190461176601</v>
      </c>
      <c r="W217">
        <v>182.806720847907</v>
      </c>
      <c r="X217">
        <v>180.87475423036901</v>
      </c>
      <c r="Y217">
        <v>182.62560761100201</v>
      </c>
      <c r="Z217">
        <v>180.47647606499899</v>
      </c>
      <c r="AA217">
        <v>1</v>
      </c>
      <c r="AB217">
        <v>0</v>
      </c>
      <c r="AC217">
        <v>0</v>
      </c>
      <c r="AD217">
        <v>0</v>
      </c>
      <c r="AE217">
        <v>2</v>
      </c>
      <c r="AF217">
        <v>1</v>
      </c>
    </row>
    <row r="218" spans="1:32" x14ac:dyDescent="0.3">
      <c r="A218" t="s">
        <v>41</v>
      </c>
      <c r="B218">
        <v>32</v>
      </c>
      <c r="C218">
        <v>3.3426183844011102E-2</v>
      </c>
      <c r="D218">
        <v>7.7994428969359306E-2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0.49</v>
      </c>
      <c r="O218">
        <v>31</v>
      </c>
      <c r="P218">
        <v>37</v>
      </c>
      <c r="Q218">
        <v>17</v>
      </c>
      <c r="R218">
        <v>19</v>
      </c>
      <c r="S218">
        <v>1.9915877555875701</v>
      </c>
      <c r="T218">
        <v>1.8616952674513101</v>
      </c>
      <c r="U218">
        <v>1.7449295957795401</v>
      </c>
      <c r="V218">
        <v>1.0396119597326601</v>
      </c>
      <c r="W218">
        <v>185.64408056295099</v>
      </c>
      <c r="X218">
        <v>185.21792410581099</v>
      </c>
      <c r="Y218">
        <v>184.83483463182301</v>
      </c>
      <c r="Z218">
        <v>182.52080039282399</v>
      </c>
      <c r="AA218">
        <v>1</v>
      </c>
      <c r="AB218">
        <v>0</v>
      </c>
      <c r="AC218">
        <v>0</v>
      </c>
      <c r="AD218">
        <v>0</v>
      </c>
      <c r="AE218">
        <v>3</v>
      </c>
      <c r="AF218">
        <v>1</v>
      </c>
    </row>
    <row r="219" spans="1:32" x14ac:dyDescent="0.3">
      <c r="A219" t="s">
        <v>22</v>
      </c>
      <c r="B219">
        <v>100</v>
      </c>
      <c r="C219">
        <v>5.7735849056603797E-2</v>
      </c>
      <c r="D219">
        <v>3.77358490566038E-2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1.7500000000000002E-2</v>
      </c>
      <c r="N219">
        <v>1.379</v>
      </c>
      <c r="O219">
        <v>20</v>
      </c>
      <c r="P219">
        <v>13</v>
      </c>
      <c r="Q219">
        <v>20</v>
      </c>
      <c r="R219">
        <v>12</v>
      </c>
      <c r="S219">
        <v>2.1996296697798399</v>
      </c>
      <c r="T219">
        <v>2.45898669024663</v>
      </c>
      <c r="U219">
        <v>2.1996296697798399</v>
      </c>
      <c r="V219">
        <v>2.3475998292466702</v>
      </c>
      <c r="W219">
        <v>184.10663277486799</v>
      </c>
      <c r="X219">
        <v>184.957541634667</v>
      </c>
      <c r="Y219">
        <v>184.10663277486799</v>
      </c>
      <c r="Z219">
        <v>184.592099177318</v>
      </c>
      <c r="AA219">
        <v>0</v>
      </c>
      <c r="AB219">
        <v>1</v>
      </c>
      <c r="AC219">
        <v>0</v>
      </c>
      <c r="AD219">
        <v>0</v>
      </c>
      <c r="AE219">
        <v>1</v>
      </c>
      <c r="AF219">
        <v>1</v>
      </c>
    </row>
    <row r="220" spans="1:32" x14ac:dyDescent="0.3">
      <c r="A220" t="s">
        <v>42</v>
      </c>
      <c r="B220">
        <v>336</v>
      </c>
      <c r="C220">
        <v>6.6776813988709896E-2</v>
      </c>
      <c r="D220">
        <v>4.0066088393225903E-2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0.15049999999999999</v>
      </c>
      <c r="N220">
        <v>0</v>
      </c>
      <c r="O220">
        <v>30</v>
      </c>
      <c r="P220">
        <v>31</v>
      </c>
      <c r="Q220">
        <v>17</v>
      </c>
      <c r="R220">
        <v>21</v>
      </c>
      <c r="S220">
        <v>3.5869428496788398</v>
      </c>
      <c r="T220">
        <v>3.5764898605134099</v>
      </c>
      <c r="U220">
        <v>3.2770335588727999</v>
      </c>
      <c r="V220">
        <v>3.0912602877512398</v>
      </c>
      <c r="W220">
        <v>184.468185202358</v>
      </c>
      <c r="X220">
        <v>184.433890618482</v>
      </c>
      <c r="Y220">
        <v>183.451422437247</v>
      </c>
      <c r="Z220">
        <v>182.84193007792399</v>
      </c>
      <c r="AA220">
        <v>0</v>
      </c>
      <c r="AB220">
        <v>0</v>
      </c>
      <c r="AC220">
        <v>0</v>
      </c>
      <c r="AD220">
        <v>1</v>
      </c>
      <c r="AE220">
        <v>15</v>
      </c>
      <c r="AF220">
        <v>1</v>
      </c>
    </row>
    <row r="221" spans="1:32" x14ac:dyDescent="0.3">
      <c r="A221" t="s">
        <v>102</v>
      </c>
      <c r="B221">
        <v>396</v>
      </c>
      <c r="C221">
        <v>4.0066088393225903E-2</v>
      </c>
      <c r="D221">
        <v>9.7067327550598895E-2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0.03</v>
      </c>
      <c r="O221">
        <v>27</v>
      </c>
      <c r="P221">
        <v>40</v>
      </c>
      <c r="Q221">
        <v>27</v>
      </c>
      <c r="R221">
        <v>22</v>
      </c>
      <c r="S221">
        <v>3.4546419173882001</v>
      </c>
      <c r="T221">
        <v>3.1856778382319302</v>
      </c>
      <c r="U221">
        <v>3.4546419173882001</v>
      </c>
      <c r="V221">
        <v>2.1220274728302302</v>
      </c>
      <c r="W221">
        <v>184.03412702555201</v>
      </c>
      <c r="X221">
        <v>183.15169894433001</v>
      </c>
      <c r="Y221">
        <v>184.03412702555201</v>
      </c>
      <c r="Z221">
        <v>179.66203239117499</v>
      </c>
      <c r="AA221">
        <v>0</v>
      </c>
      <c r="AB221">
        <v>0</v>
      </c>
      <c r="AC221">
        <v>0</v>
      </c>
      <c r="AD221">
        <v>1</v>
      </c>
      <c r="AE221">
        <v>1</v>
      </c>
      <c r="AF221">
        <v>1</v>
      </c>
    </row>
    <row r="222" spans="1:32" x14ac:dyDescent="0.3">
      <c r="A222" t="s">
        <v>26</v>
      </c>
      <c r="B222">
        <v>16</v>
      </c>
      <c r="C222">
        <v>0.33658310120705698</v>
      </c>
      <c r="D222">
        <v>0.24001857010213601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31</v>
      </c>
      <c r="P222">
        <v>32</v>
      </c>
      <c r="Q222">
        <v>12</v>
      </c>
      <c r="R222">
        <v>16</v>
      </c>
      <c r="S222">
        <v>1.1858058261714199</v>
      </c>
      <c r="T222">
        <v>1.5850013074045799</v>
      </c>
      <c r="U222">
        <v>0.98405613022083605</v>
      </c>
      <c r="V222">
        <v>1.08223480540075</v>
      </c>
      <c r="W222">
        <v>183.00043906224201</v>
      </c>
      <c r="X222">
        <v>184.310135522981</v>
      </c>
      <c r="Y222">
        <v>182.33853061096099</v>
      </c>
      <c r="Z222">
        <v>182.66063912533099</v>
      </c>
      <c r="AA222">
        <v>1</v>
      </c>
      <c r="AB222">
        <v>0</v>
      </c>
      <c r="AC222">
        <v>0</v>
      </c>
      <c r="AD222">
        <v>0</v>
      </c>
      <c r="AE222">
        <v>38</v>
      </c>
      <c r="AF222">
        <v>3</v>
      </c>
    </row>
    <row r="223" spans="1:32" x14ac:dyDescent="0.3">
      <c r="A223" t="s">
        <v>30</v>
      </c>
      <c r="B223">
        <v>20</v>
      </c>
      <c r="C223">
        <v>7.6601671309192196E-2</v>
      </c>
      <c r="D223">
        <v>6.9637883008356605E-2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0.11550000000000001</v>
      </c>
      <c r="O223">
        <v>33</v>
      </c>
      <c r="P223">
        <v>32</v>
      </c>
      <c r="Q223">
        <v>20</v>
      </c>
      <c r="R223">
        <v>16</v>
      </c>
      <c r="S223">
        <v>1.8073556344474</v>
      </c>
      <c r="T223">
        <v>1.5876813093109601</v>
      </c>
      <c r="U223">
        <v>1.48466663438573</v>
      </c>
      <c r="V223">
        <v>0.78288819777123997</v>
      </c>
      <c r="W223">
        <v>185.03964446997199</v>
      </c>
      <c r="X223">
        <v>184.31892818015399</v>
      </c>
      <c r="Y223">
        <v>183.98095352488801</v>
      </c>
      <c r="Z223">
        <v>181.67853083258299</v>
      </c>
      <c r="AA223">
        <v>1</v>
      </c>
      <c r="AB223">
        <v>0</v>
      </c>
      <c r="AC223">
        <v>0</v>
      </c>
      <c r="AD223">
        <v>0</v>
      </c>
      <c r="AE223">
        <v>14</v>
      </c>
      <c r="AF223">
        <v>3</v>
      </c>
    </row>
    <row r="224" spans="1:32" x14ac:dyDescent="0.3">
      <c r="A224" t="s">
        <v>124</v>
      </c>
      <c r="B224">
        <v>24</v>
      </c>
      <c r="C224">
        <v>7.7994428969359306E-2</v>
      </c>
      <c r="D224">
        <v>0.33658310120705698</v>
      </c>
      <c r="E224">
        <v>0</v>
      </c>
      <c r="F224">
        <v>0</v>
      </c>
      <c r="G224">
        <v>0</v>
      </c>
      <c r="H224">
        <v>1</v>
      </c>
      <c r="I224">
        <v>0</v>
      </c>
      <c r="J224">
        <v>1</v>
      </c>
      <c r="K224">
        <v>0</v>
      </c>
      <c r="L224">
        <v>0</v>
      </c>
      <c r="M224">
        <v>0.87150000000000005</v>
      </c>
      <c r="N224">
        <v>0</v>
      </c>
      <c r="O224">
        <v>19</v>
      </c>
      <c r="P224">
        <v>37</v>
      </c>
      <c r="Q224">
        <v>17</v>
      </c>
      <c r="R224">
        <v>14</v>
      </c>
      <c r="S224">
        <v>1.6294050586726301</v>
      </c>
      <c r="T224">
        <v>1.8383293786799899</v>
      </c>
      <c r="U224">
        <v>1.5368777304486001</v>
      </c>
      <c r="V224">
        <v>0.93873543150711702</v>
      </c>
      <c r="W224">
        <v>184.455817121629</v>
      </c>
      <c r="X224">
        <v>185.14126436574799</v>
      </c>
      <c r="Y224">
        <v>184.15224977181299</v>
      </c>
      <c r="Z224">
        <v>182.18984065455101</v>
      </c>
      <c r="AA224">
        <v>1</v>
      </c>
      <c r="AB224">
        <v>0</v>
      </c>
      <c r="AC224">
        <v>0</v>
      </c>
      <c r="AD224">
        <v>0</v>
      </c>
      <c r="AE224">
        <v>2</v>
      </c>
      <c r="AF224">
        <v>3</v>
      </c>
    </row>
    <row r="225" spans="1:32" x14ac:dyDescent="0.3">
      <c r="A225" t="s">
        <v>37</v>
      </c>
      <c r="B225">
        <v>28</v>
      </c>
      <c r="C225">
        <v>0.16573816155988899</v>
      </c>
      <c r="D225">
        <v>7.6601671309192196E-2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36</v>
      </c>
      <c r="P225">
        <v>26</v>
      </c>
      <c r="Q225">
        <v>21</v>
      </c>
      <c r="R225">
        <v>19</v>
      </c>
      <c r="S225">
        <v>1.3941054796604699</v>
      </c>
      <c r="T225">
        <v>1.3218717495663099</v>
      </c>
      <c r="U225">
        <v>1.1843125230881799</v>
      </c>
      <c r="V225">
        <v>0.79105369734494602</v>
      </c>
      <c r="W225">
        <v>183.683836875526</v>
      </c>
      <c r="X225">
        <v>183.446849572068</v>
      </c>
      <c r="Y225">
        <v>182.99553977391099</v>
      </c>
      <c r="Z225">
        <v>181.70532052934701</v>
      </c>
      <c r="AA225">
        <v>1</v>
      </c>
      <c r="AB225">
        <v>0</v>
      </c>
      <c r="AC225">
        <v>0</v>
      </c>
      <c r="AD225">
        <v>0</v>
      </c>
      <c r="AE225">
        <v>15</v>
      </c>
      <c r="AF225">
        <v>3</v>
      </c>
    </row>
    <row r="226" spans="1:32" x14ac:dyDescent="0.3">
      <c r="A226" t="s">
        <v>49</v>
      </c>
      <c r="B226">
        <v>36</v>
      </c>
      <c r="C226">
        <v>6.9637883008356605E-2</v>
      </c>
      <c r="D226">
        <v>3.3426183844011102E-2</v>
      </c>
      <c r="E226">
        <v>0</v>
      </c>
      <c r="F226">
        <v>0</v>
      </c>
      <c r="G226">
        <v>0</v>
      </c>
      <c r="H226">
        <v>1</v>
      </c>
      <c r="I226">
        <v>0</v>
      </c>
      <c r="J226">
        <v>0</v>
      </c>
      <c r="K226">
        <v>1</v>
      </c>
      <c r="L226">
        <v>0</v>
      </c>
      <c r="M226">
        <v>0.60550000000000004</v>
      </c>
      <c r="N226">
        <v>0</v>
      </c>
      <c r="O226">
        <v>25</v>
      </c>
      <c r="P226">
        <v>30</v>
      </c>
      <c r="Q226">
        <v>22</v>
      </c>
      <c r="R226">
        <v>17</v>
      </c>
      <c r="S226">
        <v>1.9868774291325899</v>
      </c>
      <c r="T226">
        <v>1.73928568149942</v>
      </c>
      <c r="U226">
        <v>1.6189689837985599</v>
      </c>
      <c r="V226">
        <v>1.55371550596091</v>
      </c>
      <c r="W226">
        <v>185.62862673599901</v>
      </c>
      <c r="X226">
        <v>184.816317852688</v>
      </c>
      <c r="Y226">
        <v>184.42157803083501</v>
      </c>
      <c r="Z226">
        <v>184.207491817457</v>
      </c>
      <c r="AA226">
        <v>1</v>
      </c>
      <c r="AB226">
        <v>0</v>
      </c>
      <c r="AC226">
        <v>0</v>
      </c>
      <c r="AD226">
        <v>0</v>
      </c>
      <c r="AE226">
        <v>2</v>
      </c>
      <c r="AF226">
        <v>3</v>
      </c>
    </row>
    <row r="227" spans="1:32" x14ac:dyDescent="0.3">
      <c r="A227" t="s">
        <v>53</v>
      </c>
      <c r="B227">
        <v>40</v>
      </c>
      <c r="C227">
        <v>0.33658310120705698</v>
      </c>
      <c r="D227">
        <v>0.24001857010213601</v>
      </c>
      <c r="E227">
        <v>0</v>
      </c>
      <c r="F227">
        <v>1</v>
      </c>
      <c r="G227">
        <v>1</v>
      </c>
      <c r="H227">
        <v>0</v>
      </c>
      <c r="I227">
        <v>0</v>
      </c>
      <c r="J227">
        <v>0</v>
      </c>
      <c r="K227">
        <v>1</v>
      </c>
      <c r="L227">
        <v>0</v>
      </c>
      <c r="M227">
        <v>0.13300000000000001</v>
      </c>
      <c r="N227">
        <v>0</v>
      </c>
      <c r="O227">
        <v>36</v>
      </c>
      <c r="P227">
        <v>24</v>
      </c>
      <c r="Q227">
        <v>16</v>
      </c>
      <c r="R227">
        <v>18</v>
      </c>
      <c r="S227">
        <v>1.6083595400789299</v>
      </c>
      <c r="T227">
        <v>1.43112524802424</v>
      </c>
      <c r="U227">
        <v>1.0112719800643799</v>
      </c>
      <c r="V227">
        <v>1.11915530747697</v>
      </c>
      <c r="W227">
        <v>184.38677014461601</v>
      </c>
      <c r="X227">
        <v>183.80529280847901</v>
      </c>
      <c r="Y227">
        <v>182.42782145690401</v>
      </c>
      <c r="Z227">
        <v>182.78176938148599</v>
      </c>
      <c r="AA227">
        <v>1</v>
      </c>
      <c r="AB227">
        <v>0</v>
      </c>
      <c r="AC227">
        <v>0</v>
      </c>
      <c r="AD227">
        <v>0</v>
      </c>
      <c r="AE227">
        <v>80</v>
      </c>
      <c r="AF227">
        <v>3</v>
      </c>
    </row>
    <row r="228" spans="1:32" x14ac:dyDescent="0.3">
      <c r="A228" t="s">
        <v>57</v>
      </c>
      <c r="B228">
        <v>44</v>
      </c>
      <c r="C228">
        <v>7.6601671309192196E-2</v>
      </c>
      <c r="D228">
        <v>6.9637883008356605E-2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0.85399999999999998</v>
      </c>
      <c r="O228">
        <v>31</v>
      </c>
      <c r="P228">
        <v>32</v>
      </c>
      <c r="Q228">
        <v>22</v>
      </c>
      <c r="R228">
        <v>32</v>
      </c>
      <c r="S228">
        <v>1.0620636473106999</v>
      </c>
      <c r="T228">
        <v>0.58658599090475205</v>
      </c>
      <c r="U228">
        <v>0.76034752738834899</v>
      </c>
      <c r="V228">
        <v>0.58658599090475205</v>
      </c>
      <c r="W228">
        <v>182.59446078514</v>
      </c>
      <c r="X228">
        <v>181.03449472081601</v>
      </c>
      <c r="Y228">
        <v>181.60457850193001</v>
      </c>
      <c r="Z228">
        <v>181.03449472081601</v>
      </c>
      <c r="AA228">
        <v>1</v>
      </c>
      <c r="AB228">
        <v>0</v>
      </c>
      <c r="AC228">
        <v>0</v>
      </c>
      <c r="AD228">
        <v>0</v>
      </c>
      <c r="AE228">
        <v>16</v>
      </c>
      <c r="AF228">
        <v>3</v>
      </c>
    </row>
    <row r="229" spans="1:32" x14ac:dyDescent="0.3">
      <c r="A229" t="s">
        <v>61</v>
      </c>
      <c r="B229">
        <v>48</v>
      </c>
      <c r="C229">
        <v>7.7994428969359306E-2</v>
      </c>
      <c r="D229">
        <v>0.33658310120705698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0</v>
      </c>
      <c r="O229">
        <v>35</v>
      </c>
      <c r="P229">
        <v>40</v>
      </c>
      <c r="Q229">
        <v>26</v>
      </c>
      <c r="R229">
        <v>15</v>
      </c>
      <c r="S229">
        <v>0.93021896797324799</v>
      </c>
      <c r="T229">
        <v>1.29987295518982</v>
      </c>
      <c r="U229">
        <v>0.59566146465738401</v>
      </c>
      <c r="V229">
        <v>0.57488517829128705</v>
      </c>
      <c r="W229">
        <v>182.16189950122501</v>
      </c>
      <c r="X229">
        <v>183.37467504983499</v>
      </c>
      <c r="Y229">
        <v>181.06426989716999</v>
      </c>
      <c r="Z229">
        <v>180.99610622799</v>
      </c>
      <c r="AA229">
        <v>1</v>
      </c>
      <c r="AB229">
        <v>0</v>
      </c>
      <c r="AC229">
        <v>0</v>
      </c>
      <c r="AD229">
        <v>0</v>
      </c>
      <c r="AE229">
        <v>5</v>
      </c>
      <c r="AF229">
        <v>3</v>
      </c>
    </row>
    <row r="230" spans="1:32" x14ac:dyDescent="0.3">
      <c r="A230" t="s">
        <v>65</v>
      </c>
      <c r="B230">
        <v>52</v>
      </c>
      <c r="C230">
        <v>0.16573816155988899</v>
      </c>
      <c r="D230">
        <v>7.6601671309192196E-2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32</v>
      </c>
      <c r="P230">
        <v>37</v>
      </c>
      <c r="Q230">
        <v>12</v>
      </c>
      <c r="R230">
        <v>12</v>
      </c>
      <c r="S230">
        <v>1.06173866744552</v>
      </c>
      <c r="T230">
        <v>0.57578415333256505</v>
      </c>
      <c r="U230">
        <v>0.35813523498652899</v>
      </c>
      <c r="V230">
        <v>0.11128936144064699</v>
      </c>
      <c r="W230">
        <v>182.59339457823299</v>
      </c>
      <c r="X230">
        <v>180.99905562116999</v>
      </c>
      <c r="Y230">
        <v>180.284984366754</v>
      </c>
      <c r="Z230">
        <v>179.47512257690499</v>
      </c>
      <c r="AA230">
        <v>1</v>
      </c>
      <c r="AB230">
        <v>0</v>
      </c>
      <c r="AC230">
        <v>0</v>
      </c>
      <c r="AD230">
        <v>0</v>
      </c>
      <c r="AE230">
        <v>29</v>
      </c>
      <c r="AF230">
        <v>3</v>
      </c>
    </row>
    <row r="231" spans="1:32" x14ac:dyDescent="0.3">
      <c r="A231" t="s">
        <v>69</v>
      </c>
      <c r="B231">
        <v>56</v>
      </c>
      <c r="C231">
        <v>3.3426183844011102E-2</v>
      </c>
      <c r="D231">
        <v>7.7994428969359306E-2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9.8000000000000004E-2</v>
      </c>
      <c r="O231">
        <v>36</v>
      </c>
      <c r="P231">
        <v>42</v>
      </c>
      <c r="Q231">
        <v>26</v>
      </c>
      <c r="R231">
        <v>22</v>
      </c>
      <c r="S231">
        <v>1.6926197957990801</v>
      </c>
      <c r="T231">
        <v>1.5091467092427799</v>
      </c>
      <c r="U231">
        <v>1.1341123630931</v>
      </c>
      <c r="V231">
        <v>0.51257459234663305</v>
      </c>
      <c r="W231">
        <v>184.66321455314699</v>
      </c>
      <c r="X231">
        <v>184.061268731111</v>
      </c>
      <c r="Y231">
        <v>182.83084108626301</v>
      </c>
      <c r="Z231">
        <v>180.79167517174099</v>
      </c>
      <c r="AA231">
        <v>1</v>
      </c>
      <c r="AB231">
        <v>0</v>
      </c>
      <c r="AC231">
        <v>0</v>
      </c>
      <c r="AD231">
        <v>0</v>
      </c>
      <c r="AE231">
        <v>20</v>
      </c>
      <c r="AF231">
        <v>3</v>
      </c>
    </row>
    <row r="232" spans="1:32" x14ac:dyDescent="0.3">
      <c r="A232" t="s">
        <v>73</v>
      </c>
      <c r="B232">
        <v>60</v>
      </c>
      <c r="C232">
        <v>0.24001857010213601</v>
      </c>
      <c r="D232">
        <v>0.16573816155988899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33</v>
      </c>
      <c r="P232">
        <v>35</v>
      </c>
      <c r="Q232">
        <v>16</v>
      </c>
      <c r="R232">
        <v>16</v>
      </c>
      <c r="S232">
        <v>1.1883466475600799</v>
      </c>
      <c r="T232">
        <v>1.2361564819402799</v>
      </c>
      <c r="U232">
        <v>0.58203509718144897</v>
      </c>
      <c r="V232">
        <v>0.85802910466936699</v>
      </c>
      <c r="W232">
        <v>183.00877509041999</v>
      </c>
      <c r="X232">
        <v>183.16563150242899</v>
      </c>
      <c r="Y232">
        <v>181.01956396713101</v>
      </c>
      <c r="Z232">
        <v>181.925056117682</v>
      </c>
      <c r="AA232">
        <v>1</v>
      </c>
      <c r="AB232">
        <v>0</v>
      </c>
      <c r="AC232">
        <v>0</v>
      </c>
      <c r="AD232">
        <v>0</v>
      </c>
      <c r="AE232">
        <v>66</v>
      </c>
      <c r="AF232">
        <v>3</v>
      </c>
    </row>
    <row r="233" spans="1:32" x14ac:dyDescent="0.3">
      <c r="A233" t="s">
        <v>77</v>
      </c>
      <c r="B233">
        <v>64</v>
      </c>
      <c r="C233">
        <v>6.9637883008356605E-2</v>
      </c>
      <c r="D233">
        <v>3.3426183844011102E-2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9.8000000000000004E-2</v>
      </c>
      <c r="N233">
        <v>9.8000000000000004E-2</v>
      </c>
      <c r="O233">
        <v>43</v>
      </c>
      <c r="P233">
        <v>39</v>
      </c>
      <c r="Q233">
        <v>23</v>
      </c>
      <c r="R233">
        <v>28</v>
      </c>
      <c r="S233">
        <v>1.2032602694854699</v>
      </c>
      <c r="T233">
        <v>1.1584932227135101</v>
      </c>
      <c r="U233">
        <v>0.56777648311455298</v>
      </c>
      <c r="V233">
        <v>0.45952575933836398</v>
      </c>
      <c r="W233">
        <v>183.05770429621199</v>
      </c>
      <c r="X233">
        <v>182.91083078318101</v>
      </c>
      <c r="Y233">
        <v>180.972783737252</v>
      </c>
      <c r="Z233">
        <v>180.617630444024</v>
      </c>
      <c r="AA233">
        <v>1</v>
      </c>
      <c r="AB233">
        <v>0</v>
      </c>
      <c r="AC233">
        <v>0</v>
      </c>
      <c r="AD233">
        <v>0</v>
      </c>
      <c r="AE233">
        <v>32</v>
      </c>
      <c r="AF233">
        <v>3</v>
      </c>
    </row>
    <row r="234" spans="1:32" x14ac:dyDescent="0.3">
      <c r="A234" t="s">
        <v>83</v>
      </c>
      <c r="B234">
        <v>68</v>
      </c>
      <c r="C234">
        <v>3.3426183844011102E-2</v>
      </c>
      <c r="D234">
        <v>7.7994428969359306E-2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0</v>
      </c>
      <c r="O234">
        <v>33</v>
      </c>
      <c r="P234">
        <v>36</v>
      </c>
      <c r="Q234">
        <v>31</v>
      </c>
      <c r="R234">
        <v>25</v>
      </c>
      <c r="S234">
        <v>0.68029944636780904</v>
      </c>
      <c r="T234">
        <v>1.22505944147361</v>
      </c>
      <c r="U234">
        <v>0.63091678314781596</v>
      </c>
      <c r="V234">
        <v>0.48494930261406699</v>
      </c>
      <c r="W234">
        <v>181.341953564199</v>
      </c>
      <c r="X234">
        <v>183.12922388934899</v>
      </c>
      <c r="Y234">
        <v>181.179936952585</v>
      </c>
      <c r="Z234">
        <v>180.70104101907501</v>
      </c>
      <c r="AA234">
        <v>1</v>
      </c>
      <c r="AB234">
        <v>0</v>
      </c>
      <c r="AC234">
        <v>0</v>
      </c>
      <c r="AD234">
        <v>0</v>
      </c>
      <c r="AE234">
        <v>3</v>
      </c>
      <c r="AF234">
        <v>3</v>
      </c>
    </row>
    <row r="235" spans="1:32" x14ac:dyDescent="0.3">
      <c r="A235" t="s">
        <v>86</v>
      </c>
      <c r="B235">
        <v>72</v>
      </c>
      <c r="C235">
        <v>0.24001857010213601</v>
      </c>
      <c r="D235">
        <v>0.16573816155988899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0</v>
      </c>
      <c r="O235">
        <v>40</v>
      </c>
      <c r="P235">
        <v>38</v>
      </c>
      <c r="Q235">
        <v>14</v>
      </c>
      <c r="R235">
        <v>13</v>
      </c>
      <c r="S235">
        <v>0.75195174553062105</v>
      </c>
      <c r="T235">
        <v>1.4970894600139699</v>
      </c>
      <c r="U235">
        <v>0.53941180985958004</v>
      </c>
      <c r="V235">
        <v>0.59491034447152202</v>
      </c>
      <c r="W235">
        <v>181.577033285862</v>
      </c>
      <c r="X235">
        <v>184.02171082681801</v>
      </c>
      <c r="Y235">
        <v>180.87972378562901</v>
      </c>
      <c r="Z235">
        <v>181.06180559209801</v>
      </c>
      <c r="AA235">
        <v>1</v>
      </c>
      <c r="AB235">
        <v>0</v>
      </c>
      <c r="AC235">
        <v>0</v>
      </c>
      <c r="AD235">
        <v>0</v>
      </c>
      <c r="AE235">
        <v>25</v>
      </c>
      <c r="AF235">
        <v>3</v>
      </c>
    </row>
    <row r="236" spans="1:32" x14ac:dyDescent="0.3">
      <c r="A236" t="s">
        <v>89</v>
      </c>
      <c r="B236">
        <v>76</v>
      </c>
      <c r="C236">
        <v>6.9637883008356605E-2</v>
      </c>
      <c r="D236">
        <v>3.3426183844011102E-2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0.92</v>
      </c>
      <c r="N236">
        <v>0</v>
      </c>
      <c r="O236">
        <v>20</v>
      </c>
      <c r="P236">
        <v>21</v>
      </c>
      <c r="Q236">
        <v>20</v>
      </c>
      <c r="R236">
        <v>21</v>
      </c>
      <c r="S236">
        <v>0.68723374242888302</v>
      </c>
      <c r="T236">
        <v>0.80846811081342296</v>
      </c>
      <c r="U236">
        <v>0.68723374242888302</v>
      </c>
      <c r="V236">
        <v>0.80846811081342296</v>
      </c>
      <c r="W236">
        <v>181.36470387936001</v>
      </c>
      <c r="X236">
        <v>181.76245443180301</v>
      </c>
      <c r="Y236">
        <v>181.36470387936001</v>
      </c>
      <c r="Z236">
        <v>181.76245443180301</v>
      </c>
      <c r="AA236">
        <v>1</v>
      </c>
      <c r="AB236">
        <v>0</v>
      </c>
      <c r="AC236">
        <v>0</v>
      </c>
      <c r="AD236">
        <v>0</v>
      </c>
      <c r="AE236">
        <v>1</v>
      </c>
      <c r="AF236">
        <v>3</v>
      </c>
    </row>
    <row r="237" spans="1:32" x14ac:dyDescent="0.3">
      <c r="A237" t="s">
        <v>93</v>
      </c>
      <c r="B237">
        <v>80</v>
      </c>
      <c r="C237">
        <v>0.33658310120705698</v>
      </c>
      <c r="D237">
        <v>0.24001857010213601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0.48</v>
      </c>
      <c r="N237">
        <v>0</v>
      </c>
      <c r="O237">
        <v>40</v>
      </c>
      <c r="P237">
        <v>37</v>
      </c>
      <c r="Q237">
        <v>20</v>
      </c>
      <c r="R237">
        <v>19</v>
      </c>
      <c r="S237">
        <v>1.1192929825406199</v>
      </c>
      <c r="T237">
        <v>1.1470512507720401</v>
      </c>
      <c r="U237">
        <v>0.250825946625852</v>
      </c>
      <c r="V237">
        <v>0.40351440271744998</v>
      </c>
      <c r="W237">
        <v>182.782221071328</v>
      </c>
      <c r="X237">
        <v>182.87329150515799</v>
      </c>
      <c r="Y237">
        <v>179.932919772395</v>
      </c>
      <c r="Z237">
        <v>180.43386615064799</v>
      </c>
      <c r="AA237">
        <v>1</v>
      </c>
      <c r="AB237">
        <v>0</v>
      </c>
      <c r="AC237">
        <v>0</v>
      </c>
      <c r="AD237">
        <v>0</v>
      </c>
      <c r="AE237">
        <v>67</v>
      </c>
      <c r="AF237">
        <v>3</v>
      </c>
    </row>
    <row r="238" spans="1:32" x14ac:dyDescent="0.3">
      <c r="A238" t="s">
        <v>97</v>
      </c>
      <c r="B238">
        <v>84</v>
      </c>
      <c r="C238">
        <v>7.6601671309192196E-2</v>
      </c>
      <c r="D238">
        <v>6.9637883008356605E-2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32</v>
      </c>
      <c r="P238">
        <v>28</v>
      </c>
      <c r="Q238">
        <v>32</v>
      </c>
      <c r="R238">
        <v>23</v>
      </c>
      <c r="S238">
        <v>0.83403977160716503</v>
      </c>
      <c r="T238">
        <v>0.55330096755088898</v>
      </c>
      <c r="U238">
        <v>0.83403977160716503</v>
      </c>
      <c r="V238">
        <v>0.260034251418442</v>
      </c>
      <c r="W238">
        <v>181.84635095671601</v>
      </c>
      <c r="X238">
        <v>180.92529188828999</v>
      </c>
      <c r="Y238">
        <v>181.84635095671601</v>
      </c>
      <c r="Z238">
        <v>179.96313074612399</v>
      </c>
      <c r="AA238">
        <v>1</v>
      </c>
      <c r="AB238">
        <v>0</v>
      </c>
      <c r="AC238">
        <v>0</v>
      </c>
      <c r="AD238">
        <v>0</v>
      </c>
      <c r="AE238">
        <v>1</v>
      </c>
      <c r="AF238">
        <v>3</v>
      </c>
    </row>
    <row r="239" spans="1:32" x14ac:dyDescent="0.3">
      <c r="A239" t="s">
        <v>105</v>
      </c>
      <c r="B239">
        <v>88</v>
      </c>
      <c r="C239">
        <v>0.16573816155988899</v>
      </c>
      <c r="D239">
        <v>7.6601671309192196E-2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36</v>
      </c>
      <c r="P239">
        <v>29</v>
      </c>
      <c r="Q239">
        <v>15</v>
      </c>
      <c r="R239">
        <v>23</v>
      </c>
      <c r="S239">
        <v>0.879515979129883</v>
      </c>
      <c r="T239">
        <v>0.92974533506203205</v>
      </c>
      <c r="U239">
        <v>0.53439333418861801</v>
      </c>
      <c r="V239">
        <v>0.82613198219377604</v>
      </c>
      <c r="W239">
        <v>181.99555111263101</v>
      </c>
      <c r="X239">
        <v>182.16034558747401</v>
      </c>
      <c r="Y239">
        <v>180.863258970435</v>
      </c>
      <c r="Z239">
        <v>181.82040676572799</v>
      </c>
      <c r="AA239">
        <v>1</v>
      </c>
      <c r="AB239">
        <v>0</v>
      </c>
      <c r="AC239">
        <v>0</v>
      </c>
      <c r="AD239">
        <v>0</v>
      </c>
      <c r="AE239">
        <v>23</v>
      </c>
      <c r="AF239">
        <v>3</v>
      </c>
    </row>
    <row r="240" spans="1:32" x14ac:dyDescent="0.3">
      <c r="A240" t="s">
        <v>12</v>
      </c>
      <c r="B240">
        <v>92</v>
      </c>
      <c r="C240">
        <v>0.36603773584905702</v>
      </c>
      <c r="D240">
        <v>0.25622641509434002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32</v>
      </c>
      <c r="P240">
        <v>20</v>
      </c>
      <c r="Q240">
        <v>17</v>
      </c>
      <c r="R240">
        <v>17</v>
      </c>
      <c r="S240">
        <v>1.40950891209219</v>
      </c>
      <c r="T240">
        <v>1.76330879713842</v>
      </c>
      <c r="U240">
        <v>0.86441035012684198</v>
      </c>
      <c r="V240">
        <v>1.4960001361144599</v>
      </c>
      <c r="W240">
        <v>181.51437307116899</v>
      </c>
      <c r="X240">
        <v>182.675133848879</v>
      </c>
      <c r="Y240">
        <v>179.72599196235799</v>
      </c>
      <c r="Z240">
        <v>181.79813692950901</v>
      </c>
      <c r="AA240">
        <v>0</v>
      </c>
      <c r="AB240">
        <v>1</v>
      </c>
      <c r="AC240">
        <v>0</v>
      </c>
      <c r="AD240">
        <v>0</v>
      </c>
      <c r="AE240">
        <v>77</v>
      </c>
      <c r="AF240">
        <v>3</v>
      </c>
    </row>
    <row r="241" spans="1:32" x14ac:dyDescent="0.3">
      <c r="A241" t="s">
        <v>16</v>
      </c>
      <c r="B241">
        <v>96</v>
      </c>
      <c r="C241">
        <v>6.2641509433962295E-2</v>
      </c>
      <c r="D241">
        <v>5.7735849056603797E-2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0.34649999999999997</v>
      </c>
      <c r="N241">
        <v>0</v>
      </c>
      <c r="O241">
        <v>30</v>
      </c>
      <c r="P241">
        <v>34</v>
      </c>
      <c r="Q241">
        <v>20</v>
      </c>
      <c r="R241">
        <v>20</v>
      </c>
      <c r="S241">
        <v>1.49992622090348</v>
      </c>
      <c r="T241">
        <v>1.63501635663776</v>
      </c>
      <c r="U241">
        <v>0.74936375087622897</v>
      </c>
      <c r="V241">
        <v>0.90689656342082403</v>
      </c>
      <c r="W241">
        <v>181.81101778511601</v>
      </c>
      <c r="X241">
        <v>182.25422689185601</v>
      </c>
      <c r="Y241">
        <v>179.348542489751</v>
      </c>
      <c r="Z241">
        <v>179.86538242592101</v>
      </c>
      <c r="AA241">
        <v>0</v>
      </c>
      <c r="AB241">
        <v>1</v>
      </c>
      <c r="AC241">
        <v>0</v>
      </c>
      <c r="AD241">
        <v>0</v>
      </c>
      <c r="AE241">
        <v>3</v>
      </c>
      <c r="AF241">
        <v>3</v>
      </c>
    </row>
    <row r="242" spans="1:32" x14ac:dyDescent="0.3">
      <c r="A242" t="s">
        <v>26</v>
      </c>
      <c r="B242">
        <v>104</v>
      </c>
      <c r="C242">
        <v>0.36603773584905702</v>
      </c>
      <c r="D242">
        <v>0.25622641509434002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28</v>
      </c>
      <c r="P242">
        <v>24</v>
      </c>
      <c r="Q242">
        <v>17</v>
      </c>
      <c r="R242">
        <v>20</v>
      </c>
      <c r="S242">
        <v>1.8804302852843799</v>
      </c>
      <c r="T242">
        <v>2.1409831883019401</v>
      </c>
      <c r="U242">
        <v>1.6384625625799101</v>
      </c>
      <c r="V242">
        <v>1.5721835434596101</v>
      </c>
      <c r="W242">
        <v>183.05939069975199</v>
      </c>
      <c r="X242">
        <v>183.914223058733</v>
      </c>
      <c r="Y242">
        <v>182.265533341798</v>
      </c>
      <c r="Z242">
        <v>182.04808249166501</v>
      </c>
      <c r="AA242">
        <v>0</v>
      </c>
      <c r="AB242">
        <v>1</v>
      </c>
      <c r="AC242">
        <v>0</v>
      </c>
      <c r="AD242">
        <v>0</v>
      </c>
      <c r="AE242">
        <v>46</v>
      </c>
      <c r="AF242">
        <v>3</v>
      </c>
    </row>
    <row r="243" spans="1:32" x14ac:dyDescent="0.3">
      <c r="A243" t="s">
        <v>32</v>
      </c>
      <c r="B243">
        <v>108</v>
      </c>
      <c r="C243">
        <v>0.25622641509434002</v>
      </c>
      <c r="D243">
        <v>0.13018867924528299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0.27650000000000002</v>
      </c>
      <c r="N243">
        <v>0</v>
      </c>
      <c r="O243">
        <v>29</v>
      </c>
      <c r="P243">
        <v>32</v>
      </c>
      <c r="Q243">
        <v>20</v>
      </c>
      <c r="R243">
        <v>22</v>
      </c>
      <c r="S243">
        <v>1.87717863666728</v>
      </c>
      <c r="T243">
        <v>2.1678142544521699</v>
      </c>
      <c r="U243">
        <v>1.70336886535428</v>
      </c>
      <c r="V243">
        <v>1.6138895308846599</v>
      </c>
      <c r="W243">
        <v>183.04872256124401</v>
      </c>
      <c r="X243">
        <v>184.002251490985</v>
      </c>
      <c r="Y243">
        <v>182.478480529378</v>
      </c>
      <c r="Z243">
        <v>182.18491315906999</v>
      </c>
      <c r="AA243">
        <v>0</v>
      </c>
      <c r="AB243">
        <v>1</v>
      </c>
      <c r="AC243">
        <v>0</v>
      </c>
      <c r="AD243">
        <v>0</v>
      </c>
      <c r="AE243">
        <v>19</v>
      </c>
      <c r="AF243">
        <v>3</v>
      </c>
    </row>
    <row r="244" spans="1:32" x14ac:dyDescent="0.3">
      <c r="A244" t="s">
        <v>37</v>
      </c>
      <c r="B244">
        <v>112</v>
      </c>
      <c r="C244">
        <v>0.13018867924528299</v>
      </c>
      <c r="D244">
        <v>6.2641509433962295E-2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29</v>
      </c>
      <c r="P244">
        <v>28</v>
      </c>
      <c r="Q244">
        <v>19</v>
      </c>
      <c r="R244">
        <v>18</v>
      </c>
      <c r="S244">
        <v>2.0065873901789701</v>
      </c>
      <c r="T244">
        <v>1.6593247799001201</v>
      </c>
      <c r="U244">
        <v>1.49002709791621</v>
      </c>
      <c r="V244">
        <v>1.2857876050553501</v>
      </c>
      <c r="W244">
        <v>183.473291962529</v>
      </c>
      <c r="X244">
        <v>182.33397893668001</v>
      </c>
      <c r="Y244">
        <v>181.77854034749399</v>
      </c>
      <c r="Z244">
        <v>181.10846327117901</v>
      </c>
      <c r="AA244">
        <v>0</v>
      </c>
      <c r="AB244">
        <v>1</v>
      </c>
      <c r="AC244">
        <v>0</v>
      </c>
      <c r="AD244">
        <v>0</v>
      </c>
      <c r="AE244">
        <v>18</v>
      </c>
      <c r="AF244">
        <v>3</v>
      </c>
    </row>
    <row r="245" spans="1:32" x14ac:dyDescent="0.3">
      <c r="A245" t="s">
        <v>43</v>
      </c>
      <c r="B245">
        <v>116</v>
      </c>
      <c r="C245">
        <v>6.2641509433962295E-2</v>
      </c>
      <c r="D245">
        <v>5.7735849056603797E-2</v>
      </c>
      <c r="E245">
        <v>0</v>
      </c>
      <c r="F245">
        <v>0</v>
      </c>
      <c r="G245">
        <v>1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0.15049999999999999</v>
      </c>
      <c r="O245">
        <v>34</v>
      </c>
      <c r="P245">
        <v>26</v>
      </c>
      <c r="Q245">
        <v>22</v>
      </c>
      <c r="R245">
        <v>26</v>
      </c>
      <c r="S245">
        <v>2.4697822792206998</v>
      </c>
      <c r="T245">
        <v>2.4468295492590899</v>
      </c>
      <c r="U245">
        <v>2.2950728559031801</v>
      </c>
      <c r="V245">
        <v>2.4468295492590899</v>
      </c>
      <c r="W245">
        <v>184.99296023366401</v>
      </c>
      <c r="X245">
        <v>184.917656001506</v>
      </c>
      <c r="Y245">
        <v>184.41976658760899</v>
      </c>
      <c r="Z245">
        <v>184.917656001506</v>
      </c>
      <c r="AA245">
        <v>0</v>
      </c>
      <c r="AB245">
        <v>1</v>
      </c>
      <c r="AC245">
        <v>0</v>
      </c>
      <c r="AD245">
        <v>0</v>
      </c>
      <c r="AE245">
        <v>19</v>
      </c>
      <c r="AF245">
        <v>3</v>
      </c>
    </row>
    <row r="246" spans="1:32" x14ac:dyDescent="0.3">
      <c r="A246" t="s">
        <v>47</v>
      </c>
      <c r="B246">
        <v>120</v>
      </c>
      <c r="C246">
        <v>8.9433962264150901E-2</v>
      </c>
      <c r="D246">
        <v>0.36603773584905702</v>
      </c>
      <c r="E246">
        <v>0</v>
      </c>
      <c r="F246">
        <v>0</v>
      </c>
      <c r="G246">
        <v>0</v>
      </c>
      <c r="H246">
        <v>0</v>
      </c>
      <c r="I246">
        <v>1</v>
      </c>
      <c r="J246">
        <v>0</v>
      </c>
      <c r="K246">
        <v>1</v>
      </c>
      <c r="L246">
        <v>0</v>
      </c>
      <c r="M246">
        <v>0.17849999999999999</v>
      </c>
      <c r="N246">
        <v>1.351</v>
      </c>
      <c r="O246">
        <v>26</v>
      </c>
      <c r="P246">
        <v>16</v>
      </c>
      <c r="Q246">
        <v>25</v>
      </c>
      <c r="R246">
        <v>14</v>
      </c>
      <c r="S246">
        <v>2.4198821666573598</v>
      </c>
      <c r="T246">
        <v>1.60148084240161</v>
      </c>
      <c r="U246">
        <v>2.3838481745731102</v>
      </c>
      <c r="V246">
        <v>1.25635487279335</v>
      </c>
      <c r="W246">
        <v>184.82924595360001</v>
      </c>
      <c r="X246">
        <v>182.14420223885</v>
      </c>
      <c r="Y246">
        <v>184.71102419479399</v>
      </c>
      <c r="Z246">
        <v>181.011899188955</v>
      </c>
      <c r="AA246">
        <v>0</v>
      </c>
      <c r="AB246">
        <v>1</v>
      </c>
      <c r="AC246">
        <v>0</v>
      </c>
      <c r="AD246">
        <v>0</v>
      </c>
      <c r="AE246">
        <v>2</v>
      </c>
      <c r="AF246">
        <v>3</v>
      </c>
    </row>
    <row r="247" spans="1:32" x14ac:dyDescent="0.3">
      <c r="A247" t="s">
        <v>53</v>
      </c>
      <c r="B247">
        <v>124</v>
      </c>
      <c r="C247">
        <v>0.36603773584905702</v>
      </c>
      <c r="D247">
        <v>0.25622641509434002</v>
      </c>
      <c r="E247">
        <v>0</v>
      </c>
      <c r="F247">
        <v>1</v>
      </c>
      <c r="G247">
        <v>1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0.13300000000000001</v>
      </c>
      <c r="N247">
        <v>0</v>
      </c>
      <c r="O247">
        <v>32</v>
      </c>
      <c r="P247">
        <v>22</v>
      </c>
      <c r="Q247">
        <v>22</v>
      </c>
      <c r="R247">
        <v>18</v>
      </c>
      <c r="S247">
        <v>2.04615959853292</v>
      </c>
      <c r="T247">
        <v>2.0928678593900298</v>
      </c>
      <c r="U247">
        <v>1.5841169458359501</v>
      </c>
      <c r="V247">
        <v>1.7330159103526499</v>
      </c>
      <c r="W247">
        <v>183.60312204243101</v>
      </c>
      <c r="X247">
        <v>183.75636436807801</v>
      </c>
      <c r="Y247">
        <v>182.08723407426501</v>
      </c>
      <c r="Z247">
        <v>182.57574773737699</v>
      </c>
      <c r="AA247">
        <v>0</v>
      </c>
      <c r="AB247">
        <v>1</v>
      </c>
      <c r="AC247">
        <v>0</v>
      </c>
      <c r="AD247">
        <v>0</v>
      </c>
      <c r="AE247">
        <v>107</v>
      </c>
      <c r="AF247">
        <v>3</v>
      </c>
    </row>
    <row r="248" spans="1:32" x14ac:dyDescent="0.3">
      <c r="A248" t="s">
        <v>57</v>
      </c>
      <c r="B248">
        <v>128</v>
      </c>
      <c r="C248">
        <v>6.2641509433962295E-2</v>
      </c>
      <c r="D248">
        <v>5.7735849056603797E-2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0.85399999999999998</v>
      </c>
      <c r="O248">
        <v>31</v>
      </c>
      <c r="P248">
        <v>29</v>
      </c>
      <c r="Q248">
        <v>20</v>
      </c>
      <c r="R248">
        <v>21</v>
      </c>
      <c r="S248">
        <v>1.5516246145810499</v>
      </c>
      <c r="T248">
        <v>1.8408368964894899</v>
      </c>
      <c r="U248">
        <v>1.4230120162375799</v>
      </c>
      <c r="V248">
        <v>1.23506407276555</v>
      </c>
      <c r="W248">
        <v>181.980631937602</v>
      </c>
      <c r="X248">
        <v>182.92949113021501</v>
      </c>
      <c r="Y248">
        <v>181.558674593955</v>
      </c>
      <c r="Z248">
        <v>180.94204748282701</v>
      </c>
      <c r="AA248">
        <v>0</v>
      </c>
      <c r="AB248">
        <v>1</v>
      </c>
      <c r="AC248">
        <v>0</v>
      </c>
      <c r="AD248">
        <v>0</v>
      </c>
      <c r="AE248">
        <v>18</v>
      </c>
      <c r="AF248">
        <v>3</v>
      </c>
    </row>
    <row r="249" spans="1:32" x14ac:dyDescent="0.3">
      <c r="A249" t="s">
        <v>61</v>
      </c>
      <c r="B249">
        <v>132</v>
      </c>
      <c r="C249">
        <v>8.9433962264150901E-2</v>
      </c>
      <c r="D249">
        <v>0.36603773584905702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36</v>
      </c>
      <c r="P249">
        <v>34</v>
      </c>
      <c r="Q249">
        <v>29</v>
      </c>
      <c r="R249">
        <v>25</v>
      </c>
      <c r="S249">
        <v>1.7069819973946301</v>
      </c>
      <c r="T249">
        <v>1.90852537682927</v>
      </c>
      <c r="U249">
        <v>1.2154496858302499</v>
      </c>
      <c r="V249">
        <v>1.30968579142554</v>
      </c>
      <c r="W249">
        <v>182.49033463712101</v>
      </c>
      <c r="X249">
        <v>183.15156619694599</v>
      </c>
      <c r="Y249">
        <v>180.87769581965301</v>
      </c>
      <c r="Z249">
        <v>181.186869394441</v>
      </c>
      <c r="AA249">
        <v>0</v>
      </c>
      <c r="AB249">
        <v>1</v>
      </c>
      <c r="AC249">
        <v>0</v>
      </c>
      <c r="AD249">
        <v>0</v>
      </c>
      <c r="AE249">
        <v>9</v>
      </c>
      <c r="AF249">
        <v>3</v>
      </c>
    </row>
    <row r="250" spans="1:32" x14ac:dyDescent="0.3">
      <c r="A250" t="s">
        <v>65</v>
      </c>
      <c r="B250">
        <v>136</v>
      </c>
      <c r="C250">
        <v>0.13018867924528299</v>
      </c>
      <c r="D250">
        <v>6.2641509433962295E-2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0</v>
      </c>
      <c r="O250">
        <v>33</v>
      </c>
      <c r="P250">
        <v>26</v>
      </c>
      <c r="Q250">
        <v>19</v>
      </c>
      <c r="R250">
        <v>20</v>
      </c>
      <c r="S250">
        <v>1.63772443865734</v>
      </c>
      <c r="T250">
        <v>1.29629681457192</v>
      </c>
      <c r="U250">
        <v>1.0455657299715</v>
      </c>
      <c r="V250">
        <v>0.78728605184301004</v>
      </c>
      <c r="W250">
        <v>182.26311167538501</v>
      </c>
      <c r="X250">
        <v>181.142942305026</v>
      </c>
      <c r="Y250">
        <v>180.32033375974899</v>
      </c>
      <c r="Z250">
        <v>179.47295948767399</v>
      </c>
      <c r="AA250">
        <v>0</v>
      </c>
      <c r="AB250">
        <v>1</v>
      </c>
      <c r="AC250">
        <v>0</v>
      </c>
      <c r="AD250">
        <v>0</v>
      </c>
      <c r="AE250">
        <v>28</v>
      </c>
      <c r="AF250">
        <v>3</v>
      </c>
    </row>
    <row r="251" spans="1:32" x14ac:dyDescent="0.3">
      <c r="A251" t="s">
        <v>69</v>
      </c>
      <c r="B251">
        <v>140</v>
      </c>
      <c r="C251">
        <v>3.77358490566038E-2</v>
      </c>
      <c r="D251">
        <v>8.9433962264150901E-2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9.8000000000000004E-2</v>
      </c>
      <c r="O251">
        <v>34</v>
      </c>
      <c r="P251">
        <v>36</v>
      </c>
      <c r="Q251">
        <v>26</v>
      </c>
      <c r="R251">
        <v>23</v>
      </c>
      <c r="S251">
        <v>2.2220043662086901</v>
      </c>
      <c r="T251">
        <v>2.1479445682005101</v>
      </c>
      <c r="U251">
        <v>1.5506455279924301</v>
      </c>
      <c r="V251">
        <v>1.12206144366585</v>
      </c>
      <c r="W251">
        <v>184.18004057155099</v>
      </c>
      <c r="X251">
        <v>183.937062231629</v>
      </c>
      <c r="Y251">
        <v>181.97741971126101</v>
      </c>
      <c r="Z251">
        <v>180.57130394903501</v>
      </c>
      <c r="AA251">
        <v>0</v>
      </c>
      <c r="AB251">
        <v>1</v>
      </c>
      <c r="AC251">
        <v>0</v>
      </c>
      <c r="AD251">
        <v>0</v>
      </c>
      <c r="AE251">
        <v>18</v>
      </c>
      <c r="AF251">
        <v>3</v>
      </c>
    </row>
    <row r="252" spans="1:32" x14ac:dyDescent="0.3">
      <c r="A252" t="s">
        <v>73</v>
      </c>
      <c r="B252">
        <v>144</v>
      </c>
      <c r="C252">
        <v>0.25622641509434002</v>
      </c>
      <c r="D252">
        <v>0.13018867924528299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34</v>
      </c>
      <c r="P252">
        <v>31</v>
      </c>
      <c r="Q252">
        <v>18</v>
      </c>
      <c r="R252">
        <v>17</v>
      </c>
      <c r="S252">
        <v>1.8762405967389599</v>
      </c>
      <c r="T252">
        <v>1.9095660897848401</v>
      </c>
      <c r="U252">
        <v>1.3399017136498399</v>
      </c>
      <c r="V252">
        <v>1.59039135376651</v>
      </c>
      <c r="W252">
        <v>183.04564500242401</v>
      </c>
      <c r="X252">
        <v>183.15498060953001</v>
      </c>
      <c r="Y252">
        <v>181.28600299753899</v>
      </c>
      <c r="Z252">
        <v>182.10781940212101</v>
      </c>
      <c r="AA252">
        <v>0</v>
      </c>
      <c r="AB252">
        <v>1</v>
      </c>
      <c r="AC252">
        <v>0</v>
      </c>
      <c r="AD252">
        <v>0</v>
      </c>
      <c r="AE252">
        <v>56</v>
      </c>
      <c r="AF252">
        <v>3</v>
      </c>
    </row>
    <row r="253" spans="1:32" x14ac:dyDescent="0.3">
      <c r="A253" t="s">
        <v>77</v>
      </c>
      <c r="B253">
        <v>148</v>
      </c>
      <c r="C253">
        <v>5.7735849056603797E-2</v>
      </c>
      <c r="D253">
        <v>3.77358490566038E-2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9.8000000000000004E-2</v>
      </c>
      <c r="N253">
        <v>9.8000000000000004E-2</v>
      </c>
      <c r="O253">
        <v>39</v>
      </c>
      <c r="P253">
        <v>36</v>
      </c>
      <c r="Q253">
        <v>22</v>
      </c>
      <c r="R253">
        <v>26</v>
      </c>
      <c r="S253">
        <v>1.90493936818501</v>
      </c>
      <c r="T253">
        <v>1.8110574129846</v>
      </c>
      <c r="U253">
        <v>1.0465038446369599</v>
      </c>
      <c r="V253">
        <v>0.91339228934695804</v>
      </c>
      <c r="W253">
        <v>183.13980107672199</v>
      </c>
      <c r="X253">
        <v>182.831789412679</v>
      </c>
      <c r="Y253">
        <v>180.32341156377001</v>
      </c>
      <c r="Z253">
        <v>179.886693862687</v>
      </c>
      <c r="AA253">
        <v>0</v>
      </c>
      <c r="AB253">
        <v>1</v>
      </c>
      <c r="AC253">
        <v>0</v>
      </c>
      <c r="AD253">
        <v>0</v>
      </c>
      <c r="AE253">
        <v>24</v>
      </c>
      <c r="AF253">
        <v>3</v>
      </c>
    </row>
    <row r="254" spans="1:32" x14ac:dyDescent="0.3">
      <c r="A254" t="s">
        <v>81</v>
      </c>
      <c r="B254">
        <v>152</v>
      </c>
      <c r="C254">
        <v>0.36603773584905702</v>
      </c>
      <c r="D254">
        <v>0.25622641509434002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1.0500000000000001E-2</v>
      </c>
      <c r="N254">
        <v>0</v>
      </c>
      <c r="O254">
        <v>34</v>
      </c>
      <c r="P254">
        <v>34</v>
      </c>
      <c r="Q254">
        <v>23</v>
      </c>
      <c r="R254">
        <v>23</v>
      </c>
      <c r="S254">
        <v>1.5045641895302999</v>
      </c>
      <c r="T254">
        <v>1.7933164699734601</v>
      </c>
      <c r="U254">
        <v>1.15657945388038</v>
      </c>
      <c r="V254">
        <v>1.1685366887267601</v>
      </c>
      <c r="W254">
        <v>181.826234217619</v>
      </c>
      <c r="X254">
        <v>182.773584219073</v>
      </c>
      <c r="Y254">
        <v>180.68455201404299</v>
      </c>
      <c r="Z254">
        <v>180.72378178716099</v>
      </c>
      <c r="AA254">
        <v>0</v>
      </c>
      <c r="AB254">
        <v>1</v>
      </c>
      <c r="AC254">
        <v>0</v>
      </c>
      <c r="AD254">
        <v>0</v>
      </c>
      <c r="AE254">
        <v>71</v>
      </c>
      <c r="AF254">
        <v>3</v>
      </c>
    </row>
    <row r="255" spans="1:32" x14ac:dyDescent="0.3">
      <c r="A255" t="s">
        <v>84</v>
      </c>
      <c r="B255">
        <v>156</v>
      </c>
      <c r="C255">
        <v>6.2641509433962295E-2</v>
      </c>
      <c r="D255">
        <v>5.7735849056603797E-2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0.80149999999999999</v>
      </c>
      <c r="O255">
        <v>33</v>
      </c>
      <c r="P255">
        <v>35</v>
      </c>
      <c r="Q255">
        <v>23</v>
      </c>
      <c r="R255">
        <v>23</v>
      </c>
      <c r="S255">
        <v>1.83550449449894</v>
      </c>
      <c r="T255">
        <v>1.7081152419663701</v>
      </c>
      <c r="U255">
        <v>0.93447577691827099</v>
      </c>
      <c r="V255">
        <v>0.78143879344273104</v>
      </c>
      <c r="W255">
        <v>182.91199637302799</v>
      </c>
      <c r="X255">
        <v>182.494052631123</v>
      </c>
      <c r="Y255">
        <v>179.955865409837</v>
      </c>
      <c r="Z255">
        <v>179.45377556903799</v>
      </c>
      <c r="AA255">
        <v>0</v>
      </c>
      <c r="AB255">
        <v>1</v>
      </c>
      <c r="AC255">
        <v>0</v>
      </c>
      <c r="AD255">
        <v>0</v>
      </c>
      <c r="AE255">
        <v>16</v>
      </c>
      <c r="AF255">
        <v>3</v>
      </c>
    </row>
    <row r="256" spans="1:32" x14ac:dyDescent="0.3">
      <c r="A256" t="s">
        <v>88</v>
      </c>
      <c r="B256">
        <v>160</v>
      </c>
      <c r="C256">
        <v>8.9433962264150901E-2</v>
      </c>
      <c r="D256">
        <v>0.36603773584905702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33</v>
      </c>
      <c r="P256">
        <v>32</v>
      </c>
      <c r="Q256">
        <v>28</v>
      </c>
      <c r="R256">
        <v>22</v>
      </c>
      <c r="S256">
        <v>1.7937206701340001</v>
      </c>
      <c r="T256">
        <v>1.50617809966368</v>
      </c>
      <c r="U256">
        <v>1.1147626715771799</v>
      </c>
      <c r="V256">
        <v>0.84783024476023905</v>
      </c>
      <c r="W256">
        <v>182.774910335085</v>
      </c>
      <c r="X256">
        <v>181.83152919837201</v>
      </c>
      <c r="Y256">
        <v>180.547357846382</v>
      </c>
      <c r="Z256">
        <v>179.67159529120801</v>
      </c>
      <c r="AA256">
        <v>0</v>
      </c>
      <c r="AB256">
        <v>1</v>
      </c>
      <c r="AC256">
        <v>0</v>
      </c>
      <c r="AD256">
        <v>0</v>
      </c>
      <c r="AE256">
        <v>15</v>
      </c>
      <c r="AF256">
        <v>3</v>
      </c>
    </row>
    <row r="257" spans="1:32" x14ac:dyDescent="0.3">
      <c r="A257" t="s">
        <v>93</v>
      </c>
      <c r="B257">
        <v>164</v>
      </c>
      <c r="C257">
        <v>0.36603773584905702</v>
      </c>
      <c r="D257">
        <v>0.25622641509434002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0.48</v>
      </c>
      <c r="N257">
        <v>0</v>
      </c>
      <c r="O257">
        <v>38</v>
      </c>
      <c r="P257">
        <v>36</v>
      </c>
      <c r="Q257">
        <v>21</v>
      </c>
      <c r="R257">
        <v>22</v>
      </c>
      <c r="S257">
        <v>1.7919532248707599</v>
      </c>
      <c r="T257">
        <v>1.7825215833769801</v>
      </c>
      <c r="U257">
        <v>0.89208227275281504</v>
      </c>
      <c r="V257">
        <v>1.05732418745759</v>
      </c>
      <c r="W257">
        <v>182.76911163015299</v>
      </c>
      <c r="X257">
        <v>182.73816792446499</v>
      </c>
      <c r="Y257">
        <v>179.816779110081</v>
      </c>
      <c r="Z257">
        <v>180.35891137617301</v>
      </c>
      <c r="AA257">
        <v>0</v>
      </c>
      <c r="AB257">
        <v>1</v>
      </c>
      <c r="AC257">
        <v>0</v>
      </c>
      <c r="AD257">
        <v>0</v>
      </c>
      <c r="AE257">
        <v>116</v>
      </c>
      <c r="AF257">
        <v>3</v>
      </c>
    </row>
    <row r="258" spans="1:32" x14ac:dyDescent="0.3">
      <c r="A258" t="s">
        <v>97</v>
      </c>
      <c r="B258">
        <v>168</v>
      </c>
      <c r="C258">
        <v>6.2641509433962295E-2</v>
      </c>
      <c r="D258">
        <v>5.7735849056603797E-2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34</v>
      </c>
      <c r="P258">
        <v>35</v>
      </c>
      <c r="Q258">
        <v>30</v>
      </c>
      <c r="R258">
        <v>22</v>
      </c>
      <c r="S258">
        <v>1.6308713459951101</v>
      </c>
      <c r="T258">
        <v>2.0328545581945301</v>
      </c>
      <c r="U258">
        <v>1.1726445248731701</v>
      </c>
      <c r="V258">
        <v>1.05067540758448</v>
      </c>
      <c r="W258">
        <v>182.24062777557501</v>
      </c>
      <c r="X258">
        <v>183.559470335284</v>
      </c>
      <c r="Y258">
        <v>180.73725893987299</v>
      </c>
      <c r="Z258">
        <v>180.33709779391199</v>
      </c>
      <c r="AA258">
        <v>0</v>
      </c>
      <c r="AB258">
        <v>1</v>
      </c>
      <c r="AC258">
        <v>0</v>
      </c>
      <c r="AD258">
        <v>0</v>
      </c>
      <c r="AE258">
        <v>2</v>
      </c>
      <c r="AF258">
        <v>3</v>
      </c>
    </row>
    <row r="259" spans="1:32" x14ac:dyDescent="0.3">
      <c r="A259" t="s">
        <v>101</v>
      </c>
      <c r="B259">
        <v>172</v>
      </c>
      <c r="C259">
        <v>8.9433962264150901E-2</v>
      </c>
      <c r="D259">
        <v>0.36603773584905702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0.03</v>
      </c>
      <c r="N259">
        <v>0</v>
      </c>
      <c r="O259">
        <v>36</v>
      </c>
      <c r="P259">
        <v>27</v>
      </c>
      <c r="Q259">
        <v>24</v>
      </c>
      <c r="R259">
        <v>18</v>
      </c>
      <c r="S259">
        <v>1.9564827160509699</v>
      </c>
      <c r="T259">
        <v>0.86263919917524901</v>
      </c>
      <c r="U259">
        <v>0.83110439779644396</v>
      </c>
      <c r="V259">
        <v>0.51097217716941801</v>
      </c>
      <c r="W259">
        <v>183.308906548724</v>
      </c>
      <c r="X259">
        <v>179.720181099656</v>
      </c>
      <c r="Y259">
        <v>179.61672046521099</v>
      </c>
      <c r="Z259">
        <v>178.56641790409901</v>
      </c>
      <c r="AA259">
        <v>0</v>
      </c>
      <c r="AB259">
        <v>1</v>
      </c>
      <c r="AC259">
        <v>0</v>
      </c>
      <c r="AD259">
        <v>0</v>
      </c>
      <c r="AE259">
        <v>13</v>
      </c>
      <c r="AF259">
        <v>3</v>
      </c>
    </row>
    <row r="260" spans="1:32" x14ac:dyDescent="0.3">
      <c r="A260" t="s">
        <v>107</v>
      </c>
      <c r="B260">
        <v>176</v>
      </c>
      <c r="C260">
        <v>0.36603773584905702</v>
      </c>
      <c r="D260">
        <v>0.25622641509434002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</v>
      </c>
      <c r="N260">
        <v>0</v>
      </c>
      <c r="O260">
        <v>34</v>
      </c>
      <c r="P260">
        <v>33</v>
      </c>
      <c r="Q260">
        <v>19</v>
      </c>
      <c r="R260">
        <v>18</v>
      </c>
      <c r="S260">
        <v>1.9335679578392899</v>
      </c>
      <c r="T260">
        <v>1.5942674542686901</v>
      </c>
      <c r="U260">
        <v>1.38581959954274</v>
      </c>
      <c r="V260">
        <v>1.3587707796269799</v>
      </c>
      <c r="W260">
        <v>183.23372689579799</v>
      </c>
      <c r="X260">
        <v>182.12053626728601</v>
      </c>
      <c r="Y260">
        <v>181.43665222947101</v>
      </c>
      <c r="Z260">
        <v>181.34790938197801</v>
      </c>
      <c r="AA260">
        <v>0</v>
      </c>
      <c r="AB260">
        <v>1</v>
      </c>
      <c r="AC260">
        <v>0</v>
      </c>
      <c r="AD260">
        <v>0</v>
      </c>
      <c r="AE260">
        <v>53</v>
      </c>
      <c r="AF260">
        <v>3</v>
      </c>
    </row>
    <row r="261" spans="1:32" x14ac:dyDescent="0.3">
      <c r="A261" t="s">
        <v>111</v>
      </c>
      <c r="B261">
        <v>180</v>
      </c>
      <c r="C261">
        <v>6.2641509433962295E-2</v>
      </c>
      <c r="D261">
        <v>5.7735849056603797E-2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36</v>
      </c>
      <c r="P261">
        <v>30</v>
      </c>
      <c r="Q261">
        <v>21</v>
      </c>
      <c r="R261">
        <v>25</v>
      </c>
      <c r="S261">
        <v>1.3612157858629499</v>
      </c>
      <c r="T261">
        <v>1.55780568039307</v>
      </c>
      <c r="U261">
        <v>1.2368906039913401</v>
      </c>
      <c r="V261">
        <v>1.47096178920245</v>
      </c>
      <c r="W261">
        <v>181.35593105598099</v>
      </c>
      <c r="X261">
        <v>182.000911024912</v>
      </c>
      <c r="Y261">
        <v>180.948040039342</v>
      </c>
      <c r="Z261">
        <v>181.71599012205499</v>
      </c>
      <c r="AA261">
        <v>0</v>
      </c>
      <c r="AB261">
        <v>1</v>
      </c>
      <c r="AC261">
        <v>0</v>
      </c>
      <c r="AD261">
        <v>0</v>
      </c>
      <c r="AE261">
        <v>6</v>
      </c>
      <c r="AF261">
        <v>3</v>
      </c>
    </row>
    <row r="262" spans="1:32" x14ac:dyDescent="0.3">
      <c r="A262" t="s">
        <v>115</v>
      </c>
      <c r="B262">
        <v>184</v>
      </c>
      <c r="C262">
        <v>8.9433962264150901E-2</v>
      </c>
      <c r="D262">
        <v>0.36603773584905702</v>
      </c>
      <c r="E262">
        <v>1</v>
      </c>
      <c r="F262">
        <v>0</v>
      </c>
      <c r="G262">
        <v>1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38</v>
      </c>
      <c r="P262">
        <v>38</v>
      </c>
      <c r="Q262">
        <v>24</v>
      </c>
      <c r="R262">
        <v>14</v>
      </c>
      <c r="S262">
        <v>1.49734414679942</v>
      </c>
      <c r="T262">
        <v>1.45484260938882</v>
      </c>
      <c r="U262">
        <v>0.54281059989186498</v>
      </c>
      <c r="V262">
        <v>0.81726615001874903</v>
      </c>
      <c r="W262">
        <v>181.80254641338399</v>
      </c>
      <c r="X262">
        <v>181.66310567384801</v>
      </c>
      <c r="Y262">
        <v>178.67087467156099</v>
      </c>
      <c r="Z262">
        <v>179.57131938982499</v>
      </c>
      <c r="AA262">
        <v>0</v>
      </c>
      <c r="AB262">
        <v>1</v>
      </c>
      <c r="AC262">
        <v>0</v>
      </c>
      <c r="AD262">
        <v>0</v>
      </c>
      <c r="AE262">
        <v>75</v>
      </c>
      <c r="AF262">
        <v>3</v>
      </c>
    </row>
    <row r="263" spans="1:32" x14ac:dyDescent="0.3">
      <c r="A263" t="s">
        <v>119</v>
      </c>
      <c r="B263">
        <v>188</v>
      </c>
      <c r="C263">
        <v>0.13018867924528299</v>
      </c>
      <c r="D263">
        <v>6.2641509433962295E-2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0.68</v>
      </c>
      <c r="N263">
        <v>0.78</v>
      </c>
      <c r="O263">
        <v>25</v>
      </c>
      <c r="P263">
        <v>26</v>
      </c>
      <c r="Q263">
        <v>19</v>
      </c>
      <c r="R263">
        <v>23</v>
      </c>
      <c r="S263">
        <v>1.9491430538377701</v>
      </c>
      <c r="T263">
        <v>1.8145303246776601</v>
      </c>
      <c r="U263">
        <v>1.7133873781842099</v>
      </c>
      <c r="V263">
        <v>1.51930554692651</v>
      </c>
      <c r="W263">
        <v>183.28482629211899</v>
      </c>
      <c r="X263">
        <v>182.84318347991399</v>
      </c>
      <c r="Y263">
        <v>182.51134966595899</v>
      </c>
      <c r="Z263">
        <v>181.87459825107101</v>
      </c>
      <c r="AA263">
        <v>0</v>
      </c>
      <c r="AB263">
        <v>1</v>
      </c>
      <c r="AC263">
        <v>0</v>
      </c>
      <c r="AD263">
        <v>0</v>
      </c>
      <c r="AE263">
        <v>11</v>
      </c>
      <c r="AF263">
        <v>3</v>
      </c>
    </row>
    <row r="264" spans="1:32" x14ac:dyDescent="0.3">
      <c r="A264" t="s">
        <v>10</v>
      </c>
      <c r="B264">
        <v>192</v>
      </c>
      <c r="C264">
        <v>0.144602851323829</v>
      </c>
      <c r="D264">
        <v>6.1778682959945701E-2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29</v>
      </c>
      <c r="P264">
        <v>25</v>
      </c>
      <c r="Q264">
        <v>15</v>
      </c>
      <c r="R264">
        <v>16</v>
      </c>
      <c r="S264">
        <v>3.2795314772128399</v>
      </c>
      <c r="T264">
        <v>3.2944217054488498</v>
      </c>
      <c r="U264">
        <v>2.6702638721303802</v>
      </c>
      <c r="V264">
        <v>2.8214645115074002</v>
      </c>
      <c r="W264">
        <v>183.399617707391</v>
      </c>
      <c r="X264">
        <v>183.448470162234</v>
      </c>
      <c r="Y264">
        <v>181.400708241898</v>
      </c>
      <c r="Z264">
        <v>181.89677333171699</v>
      </c>
      <c r="AA264">
        <v>0</v>
      </c>
      <c r="AB264">
        <v>0</v>
      </c>
      <c r="AC264">
        <v>1</v>
      </c>
      <c r="AD264">
        <v>0</v>
      </c>
      <c r="AE264">
        <v>23</v>
      </c>
      <c r="AF264">
        <v>3</v>
      </c>
    </row>
    <row r="265" spans="1:32" x14ac:dyDescent="0.3">
      <c r="A265" t="s">
        <v>14</v>
      </c>
      <c r="B265">
        <v>196</v>
      </c>
      <c r="C265">
        <v>3.9646978954514599E-2</v>
      </c>
      <c r="D265">
        <v>9.6673455532926E-2</v>
      </c>
      <c r="E265">
        <v>0</v>
      </c>
      <c r="F265">
        <v>1</v>
      </c>
      <c r="G265">
        <v>1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0</v>
      </c>
      <c r="O265">
        <v>33</v>
      </c>
      <c r="P265">
        <v>33</v>
      </c>
      <c r="Q265">
        <v>20</v>
      </c>
      <c r="R265">
        <v>16</v>
      </c>
      <c r="S265">
        <v>2.96585649865944</v>
      </c>
      <c r="T265">
        <v>2.9545467058269002</v>
      </c>
      <c r="U265">
        <v>2.5588718966264299</v>
      </c>
      <c r="V265">
        <v>2.8358416729268501</v>
      </c>
      <c r="W265">
        <v>182.370500323686</v>
      </c>
      <c r="X265">
        <v>182.333394704157</v>
      </c>
      <c r="Y265">
        <v>181.03524900468</v>
      </c>
      <c r="Z265">
        <v>181.943942496479</v>
      </c>
      <c r="AA265">
        <v>0</v>
      </c>
      <c r="AB265">
        <v>0</v>
      </c>
      <c r="AC265">
        <v>1</v>
      </c>
      <c r="AD265">
        <v>0</v>
      </c>
      <c r="AE265">
        <v>13</v>
      </c>
      <c r="AF265">
        <v>3</v>
      </c>
    </row>
    <row r="266" spans="1:32" x14ac:dyDescent="0.3">
      <c r="A266" t="s">
        <v>18</v>
      </c>
      <c r="B266">
        <v>200</v>
      </c>
      <c r="C266">
        <v>0.273455532926001</v>
      </c>
      <c r="D266">
        <v>0.144602851323829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9.8000000000000004E-2</v>
      </c>
      <c r="O266">
        <v>35</v>
      </c>
      <c r="P266">
        <v>34</v>
      </c>
      <c r="Q266">
        <v>17</v>
      </c>
      <c r="R266">
        <v>16</v>
      </c>
      <c r="S266">
        <v>3.21157178905325</v>
      </c>
      <c r="T266">
        <v>3.4431616938824501</v>
      </c>
      <c r="U266">
        <v>2.3230500216619299</v>
      </c>
      <c r="V266">
        <v>2.3903412874947598</v>
      </c>
      <c r="W266">
        <v>183.17665285122499</v>
      </c>
      <c r="X266">
        <v>183.93646225027101</v>
      </c>
      <c r="Y266">
        <v>180.26155518918</v>
      </c>
      <c r="Z266">
        <v>180.48232705871001</v>
      </c>
      <c r="AA266">
        <v>0</v>
      </c>
      <c r="AB266">
        <v>0</v>
      </c>
      <c r="AC266">
        <v>1</v>
      </c>
      <c r="AD266">
        <v>0</v>
      </c>
      <c r="AE266">
        <v>141</v>
      </c>
      <c r="AF266">
        <v>3</v>
      </c>
    </row>
    <row r="267" spans="1:32" x14ac:dyDescent="0.3">
      <c r="A267" t="s">
        <v>22</v>
      </c>
      <c r="B267">
        <v>204</v>
      </c>
      <c r="C267">
        <v>6.5987780040733204E-2</v>
      </c>
      <c r="D267">
        <v>3.9646978954514599E-2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1.7500000000000002E-2</v>
      </c>
      <c r="N267">
        <v>1.379</v>
      </c>
      <c r="O267">
        <v>32</v>
      </c>
      <c r="P267">
        <v>17</v>
      </c>
      <c r="Q267">
        <v>23</v>
      </c>
      <c r="R267">
        <v>12</v>
      </c>
      <c r="S267">
        <v>3.2200779640211898</v>
      </c>
      <c r="T267">
        <v>3.3863490827643301</v>
      </c>
      <c r="U267">
        <v>2.9841385320878002</v>
      </c>
      <c r="V267">
        <v>3.1223785240568498</v>
      </c>
      <c r="W267">
        <v>183.20456024941299</v>
      </c>
      <c r="X267">
        <v>183.750069169174</v>
      </c>
      <c r="Y267">
        <v>182.43048074832001</v>
      </c>
      <c r="Z267">
        <v>182.884024029058</v>
      </c>
      <c r="AA267">
        <v>0</v>
      </c>
      <c r="AB267">
        <v>0</v>
      </c>
      <c r="AC267">
        <v>1</v>
      </c>
      <c r="AD267">
        <v>0</v>
      </c>
      <c r="AE267">
        <v>8</v>
      </c>
      <c r="AF267">
        <v>3</v>
      </c>
    </row>
    <row r="268" spans="1:32" x14ac:dyDescent="0.3">
      <c r="A268" t="s">
        <v>26</v>
      </c>
      <c r="B268">
        <v>208</v>
      </c>
      <c r="C268">
        <v>0.31785471826204997</v>
      </c>
      <c r="D268">
        <v>0.273455532926001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30</v>
      </c>
      <c r="P268">
        <v>29</v>
      </c>
      <c r="Q268">
        <v>9</v>
      </c>
      <c r="R268">
        <v>17</v>
      </c>
      <c r="S268">
        <v>3.1834264322903301</v>
      </c>
      <c r="T268">
        <v>3.3349968666776602</v>
      </c>
      <c r="U268">
        <v>2.8801177140020302</v>
      </c>
      <c r="V268">
        <v>2.5852282691199502</v>
      </c>
      <c r="W268">
        <v>183.084312441897</v>
      </c>
      <c r="X268">
        <v>183.58159076993999</v>
      </c>
      <c r="Y268">
        <v>182.08920509843199</v>
      </c>
      <c r="Z268">
        <v>181.12172004304401</v>
      </c>
      <c r="AA268">
        <v>0</v>
      </c>
      <c r="AB268">
        <v>0</v>
      </c>
      <c r="AC268">
        <v>1</v>
      </c>
      <c r="AD268">
        <v>0</v>
      </c>
      <c r="AE268">
        <v>139</v>
      </c>
      <c r="AF268">
        <v>3</v>
      </c>
    </row>
    <row r="269" spans="1:32" x14ac:dyDescent="0.3">
      <c r="A269" t="s">
        <v>30</v>
      </c>
      <c r="B269">
        <v>212</v>
      </c>
      <c r="C269">
        <v>6.1778682959945701E-2</v>
      </c>
      <c r="D269">
        <v>6.5987780040733204E-2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0.11550000000000001</v>
      </c>
      <c r="O269">
        <v>36</v>
      </c>
      <c r="P269">
        <v>33</v>
      </c>
      <c r="Q269">
        <v>25</v>
      </c>
      <c r="R269">
        <v>17</v>
      </c>
      <c r="S269">
        <v>3.38554170555512</v>
      </c>
      <c r="T269">
        <v>2.9936899035194098</v>
      </c>
      <c r="U269">
        <v>2.8467698328199802</v>
      </c>
      <c r="V269">
        <v>2.4469827444300001</v>
      </c>
      <c r="W269">
        <v>183.74742029381599</v>
      </c>
      <c r="X269">
        <v>182.46181726876401</v>
      </c>
      <c r="Y269">
        <v>181.979796039436</v>
      </c>
      <c r="Z269">
        <v>180.66815861033501</v>
      </c>
      <c r="AA269">
        <v>0</v>
      </c>
      <c r="AB269">
        <v>0</v>
      </c>
      <c r="AC269">
        <v>1</v>
      </c>
      <c r="AD269">
        <v>0</v>
      </c>
      <c r="AE269">
        <v>29</v>
      </c>
      <c r="AF269">
        <v>3</v>
      </c>
    </row>
    <row r="270" spans="1:32" x14ac:dyDescent="0.3">
      <c r="A270" t="s">
        <v>35</v>
      </c>
      <c r="B270">
        <v>216</v>
      </c>
      <c r="C270">
        <v>6.5987780040733204E-2</v>
      </c>
      <c r="D270">
        <v>3.9646978954514599E-2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0.47249999999999998</v>
      </c>
      <c r="O270">
        <v>30</v>
      </c>
      <c r="P270">
        <v>23</v>
      </c>
      <c r="Q270">
        <v>17</v>
      </c>
      <c r="R270">
        <v>23</v>
      </c>
      <c r="S270">
        <v>2.8620115023801498</v>
      </c>
      <c r="T270">
        <v>2.7213253413901</v>
      </c>
      <c r="U270">
        <v>2.4406481092402199</v>
      </c>
      <c r="V270">
        <v>2.6791574094638602</v>
      </c>
      <c r="W270">
        <v>182.02980151699501</v>
      </c>
      <c r="X270">
        <v>181.56823274734299</v>
      </c>
      <c r="Y270">
        <v>180.647375686484</v>
      </c>
      <c r="Z270">
        <v>181.429886513989</v>
      </c>
      <c r="AA270">
        <v>0</v>
      </c>
      <c r="AB270">
        <v>0</v>
      </c>
      <c r="AC270">
        <v>1</v>
      </c>
      <c r="AD270">
        <v>0</v>
      </c>
      <c r="AE270">
        <v>20</v>
      </c>
      <c r="AF270">
        <v>3</v>
      </c>
    </row>
    <row r="271" spans="1:32" x14ac:dyDescent="0.3">
      <c r="A271" t="s">
        <v>39</v>
      </c>
      <c r="B271">
        <v>220</v>
      </c>
      <c r="C271">
        <v>0.31785471826204997</v>
      </c>
      <c r="D271">
        <v>0.273455532926001</v>
      </c>
      <c r="E271">
        <v>0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1</v>
      </c>
      <c r="M271">
        <v>0.44450000000000001</v>
      </c>
      <c r="N271">
        <v>0</v>
      </c>
      <c r="O271">
        <v>37</v>
      </c>
      <c r="P271">
        <v>29</v>
      </c>
      <c r="Q271">
        <v>19</v>
      </c>
      <c r="R271">
        <v>12</v>
      </c>
      <c r="S271">
        <v>3.2642012556386302</v>
      </c>
      <c r="T271">
        <v>2.7631589238913699</v>
      </c>
      <c r="U271">
        <v>2.53619543291699</v>
      </c>
      <c r="V271">
        <v>2.3148129874602099</v>
      </c>
      <c r="W271">
        <v>183.34932170485101</v>
      </c>
      <c r="X271">
        <v>181.70548203376401</v>
      </c>
      <c r="Y271">
        <v>180.960851157864</v>
      </c>
      <c r="Z271">
        <v>180.23453079875401</v>
      </c>
      <c r="AA271">
        <v>0</v>
      </c>
      <c r="AB271">
        <v>0</v>
      </c>
      <c r="AC271">
        <v>1</v>
      </c>
      <c r="AD271">
        <v>0</v>
      </c>
      <c r="AE271">
        <v>34</v>
      </c>
      <c r="AF271">
        <v>3</v>
      </c>
    </row>
    <row r="272" spans="1:32" x14ac:dyDescent="0.3">
      <c r="A272" t="s">
        <v>43</v>
      </c>
      <c r="B272">
        <v>224</v>
      </c>
      <c r="C272">
        <v>6.1778682959945701E-2</v>
      </c>
      <c r="D272">
        <v>6.5987780040733204E-2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0.15049999999999999</v>
      </c>
      <c r="O272">
        <v>34</v>
      </c>
      <c r="P272">
        <v>30</v>
      </c>
      <c r="Q272">
        <v>21</v>
      </c>
      <c r="R272">
        <v>17</v>
      </c>
      <c r="S272">
        <v>3.4594961184167299</v>
      </c>
      <c r="T272">
        <v>3.5665805568402198</v>
      </c>
      <c r="U272">
        <v>3.2220109243389299</v>
      </c>
      <c r="V272">
        <v>3.2504465470725701</v>
      </c>
      <c r="W272">
        <v>183.99005288194499</v>
      </c>
      <c r="X272">
        <v>184.34137977966</v>
      </c>
      <c r="Y272">
        <v>183.21090198273899</v>
      </c>
      <c r="Z272">
        <v>183.30419470824299</v>
      </c>
      <c r="AA272">
        <v>0</v>
      </c>
      <c r="AB272">
        <v>0</v>
      </c>
      <c r="AC272">
        <v>1</v>
      </c>
      <c r="AD272">
        <v>0</v>
      </c>
      <c r="AE272">
        <v>32</v>
      </c>
      <c r="AF272">
        <v>3</v>
      </c>
    </row>
    <row r="273" spans="1:32" x14ac:dyDescent="0.3">
      <c r="A273" t="s">
        <v>47</v>
      </c>
      <c r="B273">
        <v>228</v>
      </c>
      <c r="C273">
        <v>9.6673455532926E-2</v>
      </c>
      <c r="D273">
        <v>0.31785471826204997</v>
      </c>
      <c r="E273">
        <v>0</v>
      </c>
      <c r="F273">
        <v>0</v>
      </c>
      <c r="G273">
        <v>0</v>
      </c>
      <c r="H273">
        <v>0</v>
      </c>
      <c r="I273">
        <v>1</v>
      </c>
      <c r="J273">
        <v>0</v>
      </c>
      <c r="K273">
        <v>1</v>
      </c>
      <c r="L273">
        <v>0</v>
      </c>
      <c r="M273">
        <v>0.17849999999999999</v>
      </c>
      <c r="N273">
        <v>1.351</v>
      </c>
      <c r="O273">
        <v>25</v>
      </c>
      <c r="P273">
        <v>17</v>
      </c>
      <c r="Q273">
        <v>21</v>
      </c>
      <c r="R273">
        <v>15</v>
      </c>
      <c r="S273">
        <v>3.3676135066968098</v>
      </c>
      <c r="T273">
        <v>2.6884648551503001</v>
      </c>
      <c r="U273">
        <v>3.3116294969325502</v>
      </c>
      <c r="V273">
        <v>2.21701753933114</v>
      </c>
      <c r="W273">
        <v>183.68860074375601</v>
      </c>
      <c r="X273">
        <v>181.460422753118</v>
      </c>
      <c r="Y273">
        <v>183.50492617103899</v>
      </c>
      <c r="Z273">
        <v>179.91367959098099</v>
      </c>
      <c r="AA273">
        <v>0</v>
      </c>
      <c r="AB273">
        <v>0</v>
      </c>
      <c r="AC273">
        <v>1</v>
      </c>
      <c r="AD273">
        <v>0</v>
      </c>
      <c r="AE273">
        <v>10</v>
      </c>
      <c r="AF273">
        <v>3</v>
      </c>
    </row>
    <row r="274" spans="1:32" x14ac:dyDescent="0.3">
      <c r="A274" t="s">
        <v>51</v>
      </c>
      <c r="B274">
        <v>232</v>
      </c>
      <c r="C274">
        <v>0.144602851323829</v>
      </c>
      <c r="D274">
        <v>6.1778682959945701E-2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0.38150000000000001</v>
      </c>
      <c r="O274">
        <v>35</v>
      </c>
      <c r="P274">
        <v>34</v>
      </c>
      <c r="Q274">
        <v>16</v>
      </c>
      <c r="R274">
        <v>17</v>
      </c>
      <c r="S274">
        <v>3.4080070681696801</v>
      </c>
      <c r="T274">
        <v>3.4393005032516299</v>
      </c>
      <c r="U274">
        <v>2.94136256459735</v>
      </c>
      <c r="V274">
        <v>3.03295606030929</v>
      </c>
      <c r="W274">
        <v>183.82112555173799</v>
      </c>
      <c r="X274">
        <v>183.923794302007</v>
      </c>
      <c r="Y274">
        <v>182.29013964762899</v>
      </c>
      <c r="Z274">
        <v>182.59064324248499</v>
      </c>
      <c r="AA274">
        <v>0</v>
      </c>
      <c r="AB274">
        <v>0</v>
      </c>
      <c r="AC274">
        <v>1</v>
      </c>
      <c r="AD274">
        <v>0</v>
      </c>
      <c r="AE274">
        <v>152</v>
      </c>
      <c r="AF274">
        <v>3</v>
      </c>
    </row>
    <row r="275" spans="1:32" x14ac:dyDescent="0.3">
      <c r="A275" t="s">
        <v>55</v>
      </c>
      <c r="B275">
        <v>236</v>
      </c>
      <c r="C275">
        <v>3.9646978954514599E-2</v>
      </c>
      <c r="D275">
        <v>9.6673455532926E-2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30</v>
      </c>
      <c r="P275">
        <v>37</v>
      </c>
      <c r="Q275">
        <v>21</v>
      </c>
      <c r="R275">
        <v>25</v>
      </c>
      <c r="S275">
        <v>2.71764799795409</v>
      </c>
      <c r="T275">
        <v>3.5494412620142399</v>
      </c>
      <c r="U275">
        <v>2.5071564861102802</v>
      </c>
      <c r="V275">
        <v>2.8258402483057101</v>
      </c>
      <c r="W275">
        <v>181.55616797229001</v>
      </c>
      <c r="X275">
        <v>184.285148497422</v>
      </c>
      <c r="Y275">
        <v>180.86557902267199</v>
      </c>
      <c r="Z275">
        <v>181.91112942357501</v>
      </c>
      <c r="AA275">
        <v>0</v>
      </c>
      <c r="AB275">
        <v>0</v>
      </c>
      <c r="AC275">
        <v>1</v>
      </c>
      <c r="AD275">
        <v>0</v>
      </c>
      <c r="AE275">
        <v>10</v>
      </c>
      <c r="AF275">
        <v>3</v>
      </c>
    </row>
    <row r="276" spans="1:32" x14ac:dyDescent="0.3">
      <c r="A276" t="s">
        <v>59</v>
      </c>
      <c r="B276">
        <v>240</v>
      </c>
      <c r="C276">
        <v>0.273455532926001</v>
      </c>
      <c r="D276">
        <v>0.144602851323829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1.5645</v>
      </c>
      <c r="O276">
        <v>39</v>
      </c>
      <c r="P276">
        <v>37</v>
      </c>
      <c r="Q276">
        <v>18</v>
      </c>
      <c r="R276">
        <v>22</v>
      </c>
      <c r="S276">
        <v>2.6149165324742398</v>
      </c>
      <c r="T276">
        <v>2.8344187843281099</v>
      </c>
      <c r="U276">
        <v>2.0083717502627199</v>
      </c>
      <c r="V276">
        <v>2.44560468705129</v>
      </c>
      <c r="W276">
        <v>181.21912248187101</v>
      </c>
      <c r="X276">
        <v>181.93927422679801</v>
      </c>
      <c r="Y276">
        <v>179.22914616227899</v>
      </c>
      <c r="Z276">
        <v>180.66363742470901</v>
      </c>
      <c r="AA276">
        <v>0</v>
      </c>
      <c r="AB276">
        <v>0</v>
      </c>
      <c r="AC276">
        <v>1</v>
      </c>
      <c r="AD276">
        <v>0</v>
      </c>
      <c r="AE276">
        <v>161</v>
      </c>
      <c r="AF276">
        <v>3</v>
      </c>
    </row>
    <row r="277" spans="1:32" x14ac:dyDescent="0.3">
      <c r="A277" t="s">
        <v>63</v>
      </c>
      <c r="B277">
        <v>244</v>
      </c>
      <c r="C277">
        <v>6.5987780040733204E-2</v>
      </c>
      <c r="D277">
        <v>3.9646978954514599E-2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0.42699999999999999</v>
      </c>
      <c r="N277">
        <v>7.0000000000000007E-2</v>
      </c>
      <c r="O277">
        <v>31</v>
      </c>
      <c r="P277">
        <v>30</v>
      </c>
      <c r="Q277">
        <v>21</v>
      </c>
      <c r="R277">
        <v>28</v>
      </c>
      <c r="S277">
        <v>3.0930010543036701</v>
      </c>
      <c r="T277">
        <v>3.10758751050354</v>
      </c>
      <c r="U277">
        <v>2.9808936165014401</v>
      </c>
      <c r="V277">
        <v>2.9508628750762602</v>
      </c>
      <c r="W277">
        <v>182.78764125427699</v>
      </c>
      <c r="X277">
        <v>182.835497081705</v>
      </c>
      <c r="Y277">
        <v>182.41983469980801</v>
      </c>
      <c r="Z277">
        <v>182.321308645263</v>
      </c>
      <c r="AA277">
        <v>0</v>
      </c>
      <c r="AB277">
        <v>0</v>
      </c>
      <c r="AC277">
        <v>1</v>
      </c>
      <c r="AD277">
        <v>0</v>
      </c>
      <c r="AE277">
        <v>23</v>
      </c>
      <c r="AF277">
        <v>3</v>
      </c>
    </row>
    <row r="278" spans="1:32" x14ac:dyDescent="0.3">
      <c r="A278" t="s">
        <v>67</v>
      </c>
      <c r="B278">
        <v>248</v>
      </c>
      <c r="C278">
        <v>0.31785471826204997</v>
      </c>
      <c r="D278">
        <v>0.273455532926001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4.5499999999999999E-2</v>
      </c>
      <c r="N278">
        <v>8.0500000000000002E-2</v>
      </c>
      <c r="O278">
        <v>37</v>
      </c>
      <c r="P278">
        <v>34</v>
      </c>
      <c r="Q278">
        <v>23</v>
      </c>
      <c r="R278">
        <v>20</v>
      </c>
      <c r="S278">
        <v>3.1521504947544998</v>
      </c>
      <c r="T278">
        <v>2.8282645737680898</v>
      </c>
      <c r="U278">
        <v>2.5392023603058602</v>
      </c>
      <c r="V278">
        <v>2.48789918807655</v>
      </c>
      <c r="W278">
        <v>182.98170109827601</v>
      </c>
      <c r="X278">
        <v>181.919083247271</v>
      </c>
      <c r="Y278">
        <v>180.97071640520301</v>
      </c>
      <c r="Z278">
        <v>180.80239891101201</v>
      </c>
      <c r="AA278">
        <v>0</v>
      </c>
      <c r="AB278">
        <v>0</v>
      </c>
      <c r="AC278">
        <v>1</v>
      </c>
      <c r="AD278">
        <v>0</v>
      </c>
      <c r="AE278">
        <v>205</v>
      </c>
      <c r="AF278">
        <v>3</v>
      </c>
    </row>
    <row r="279" spans="1:32" x14ac:dyDescent="0.3">
      <c r="A279" t="s">
        <v>71</v>
      </c>
      <c r="B279">
        <v>252</v>
      </c>
      <c r="C279">
        <v>6.1778682959945701E-2</v>
      </c>
      <c r="D279">
        <v>6.5987780040733204E-2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0</v>
      </c>
      <c r="O279">
        <v>33</v>
      </c>
      <c r="P279">
        <v>35</v>
      </c>
      <c r="Q279">
        <v>20</v>
      </c>
      <c r="R279">
        <v>23</v>
      </c>
      <c r="S279">
        <v>2.9486984154107798</v>
      </c>
      <c r="T279">
        <v>2.8728049890614402</v>
      </c>
      <c r="U279">
        <v>2.3374490822005498</v>
      </c>
      <c r="V279">
        <v>2.6095079448896699</v>
      </c>
      <c r="W279">
        <v>182.31420739964199</v>
      </c>
      <c r="X279">
        <v>182.065213218705</v>
      </c>
      <c r="Y279">
        <v>180.30879620144501</v>
      </c>
      <c r="Z279">
        <v>181.20137777194799</v>
      </c>
      <c r="AA279">
        <v>0</v>
      </c>
      <c r="AB279">
        <v>0</v>
      </c>
      <c r="AC279">
        <v>1</v>
      </c>
      <c r="AD279">
        <v>0</v>
      </c>
      <c r="AE279">
        <v>36</v>
      </c>
      <c r="AF279">
        <v>3</v>
      </c>
    </row>
    <row r="280" spans="1:32" x14ac:dyDescent="0.3">
      <c r="A280" t="s">
        <v>75</v>
      </c>
      <c r="B280">
        <v>256</v>
      </c>
      <c r="C280">
        <v>9.6673455532926E-2</v>
      </c>
      <c r="D280">
        <v>0.31785471826204997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1.0500000000000001E-2</v>
      </c>
      <c r="N280">
        <v>1.0500000000000001E-2</v>
      </c>
      <c r="O280">
        <v>34</v>
      </c>
      <c r="P280">
        <v>33</v>
      </c>
      <c r="Q280">
        <v>23</v>
      </c>
      <c r="R280">
        <v>20</v>
      </c>
      <c r="S280">
        <v>2.9862764790177998</v>
      </c>
      <c r="T280">
        <v>2.9203386055044298</v>
      </c>
      <c r="U280">
        <v>1.9752050568136501</v>
      </c>
      <c r="V280">
        <v>2.0465011733700398</v>
      </c>
      <c r="W280">
        <v>182.437495009901</v>
      </c>
      <c r="X280">
        <v>182.22116340388601</v>
      </c>
      <c r="Y280">
        <v>179.120331551226</v>
      </c>
      <c r="Z280">
        <v>179.35424269478401</v>
      </c>
      <c r="AA280">
        <v>0</v>
      </c>
      <c r="AB280">
        <v>0</v>
      </c>
      <c r="AC280">
        <v>1</v>
      </c>
      <c r="AD280">
        <v>0</v>
      </c>
      <c r="AE280">
        <v>13</v>
      </c>
      <c r="AF280">
        <v>3</v>
      </c>
    </row>
    <row r="281" spans="1:32" x14ac:dyDescent="0.3">
      <c r="A281" t="s">
        <v>79</v>
      </c>
      <c r="B281">
        <v>260</v>
      </c>
      <c r="C281">
        <v>0.144602851323829</v>
      </c>
      <c r="D281">
        <v>6.1778682959945701E-2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1</v>
      </c>
      <c r="L281">
        <v>0</v>
      </c>
      <c r="M281">
        <v>0.59499999999999997</v>
      </c>
      <c r="N281">
        <v>0</v>
      </c>
      <c r="O281">
        <v>39</v>
      </c>
      <c r="P281">
        <v>32</v>
      </c>
      <c r="Q281">
        <v>20</v>
      </c>
      <c r="R281">
        <v>23</v>
      </c>
      <c r="S281">
        <v>3.1440955930777101</v>
      </c>
      <c r="T281">
        <v>2.6207388963318099</v>
      </c>
      <c r="U281">
        <v>2.3865821231379898</v>
      </c>
      <c r="V281">
        <v>1.7741758769868201</v>
      </c>
      <c r="W281">
        <v>182.95527425550401</v>
      </c>
      <c r="X281">
        <v>181.23822472549799</v>
      </c>
      <c r="Y281">
        <v>180.469993842316</v>
      </c>
      <c r="Z281">
        <v>178.46078699798801</v>
      </c>
      <c r="AA281">
        <v>0</v>
      </c>
      <c r="AB281">
        <v>0</v>
      </c>
      <c r="AC281">
        <v>1</v>
      </c>
      <c r="AD281">
        <v>0</v>
      </c>
      <c r="AE281">
        <v>96</v>
      </c>
      <c r="AF281">
        <v>3</v>
      </c>
    </row>
    <row r="282" spans="1:32" x14ac:dyDescent="0.3">
      <c r="A282" t="s">
        <v>83</v>
      </c>
      <c r="B282">
        <v>264</v>
      </c>
      <c r="C282">
        <v>3.9646978954514599E-2</v>
      </c>
      <c r="D282">
        <v>9.6673455532926E-2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  <c r="O282">
        <v>39</v>
      </c>
      <c r="P282">
        <v>36</v>
      </c>
      <c r="Q282">
        <v>25</v>
      </c>
      <c r="R282">
        <v>25</v>
      </c>
      <c r="S282">
        <v>2.8382892570009401</v>
      </c>
      <c r="T282">
        <v>3.0236331761974098</v>
      </c>
      <c r="U282">
        <v>2.57771233848363</v>
      </c>
      <c r="V282">
        <v>2.4108405581824699</v>
      </c>
      <c r="W282">
        <v>181.951972627956</v>
      </c>
      <c r="X282">
        <v>182.560056352354</v>
      </c>
      <c r="Y282">
        <v>181.09706147796501</v>
      </c>
      <c r="Z282">
        <v>180.54958188380101</v>
      </c>
      <c r="AA282">
        <v>0</v>
      </c>
      <c r="AB282">
        <v>0</v>
      </c>
      <c r="AC282">
        <v>1</v>
      </c>
      <c r="AD282">
        <v>0</v>
      </c>
      <c r="AE282">
        <v>22</v>
      </c>
      <c r="AF282">
        <v>3</v>
      </c>
    </row>
    <row r="283" spans="1:32" x14ac:dyDescent="0.3">
      <c r="A283" t="s">
        <v>86</v>
      </c>
      <c r="B283">
        <v>268</v>
      </c>
      <c r="C283">
        <v>0.273455532926001</v>
      </c>
      <c r="D283">
        <v>0.144602851323829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36</v>
      </c>
      <c r="P283">
        <v>36</v>
      </c>
      <c r="Q283">
        <v>16</v>
      </c>
      <c r="R283">
        <v>20</v>
      </c>
      <c r="S283">
        <v>3.1397741928697398</v>
      </c>
      <c r="T283">
        <v>3.3349657401912798</v>
      </c>
      <c r="U283">
        <v>2.396361559442</v>
      </c>
      <c r="V283">
        <v>2.5560580066162402</v>
      </c>
      <c r="W283">
        <v>182.9410964333</v>
      </c>
      <c r="X283">
        <v>183.581488648922</v>
      </c>
      <c r="Y283">
        <v>180.50207860709301</v>
      </c>
      <c r="Z283">
        <v>181.02601708207399</v>
      </c>
      <c r="AA283">
        <v>0</v>
      </c>
      <c r="AB283">
        <v>0</v>
      </c>
      <c r="AC283">
        <v>1</v>
      </c>
      <c r="AD283">
        <v>0</v>
      </c>
      <c r="AE283">
        <v>172</v>
      </c>
      <c r="AF283">
        <v>3</v>
      </c>
    </row>
    <row r="284" spans="1:32" x14ac:dyDescent="0.3">
      <c r="A284" t="s">
        <v>91</v>
      </c>
      <c r="B284">
        <v>272</v>
      </c>
      <c r="C284">
        <v>0.144602851323829</v>
      </c>
      <c r="D284">
        <v>6.1778682959945701E-2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1</v>
      </c>
      <c r="L284">
        <v>0</v>
      </c>
      <c r="M284">
        <v>0</v>
      </c>
      <c r="N284">
        <v>0</v>
      </c>
      <c r="O284">
        <v>37</v>
      </c>
      <c r="P284">
        <v>37</v>
      </c>
      <c r="Q284">
        <v>21</v>
      </c>
      <c r="R284">
        <v>20</v>
      </c>
      <c r="S284">
        <v>2.95137179645827</v>
      </c>
      <c r="T284">
        <v>3.04321180857717</v>
      </c>
      <c r="U284">
        <v>2.1102183510966501</v>
      </c>
      <c r="V284">
        <v>2.2132802106938998</v>
      </c>
      <c r="W284">
        <v>182.32297833483699</v>
      </c>
      <c r="X284">
        <v>182.62429071055499</v>
      </c>
      <c r="Y284">
        <v>179.563288553467</v>
      </c>
      <c r="Z284">
        <v>179.90141801408799</v>
      </c>
      <c r="AA284">
        <v>0</v>
      </c>
      <c r="AB284">
        <v>0</v>
      </c>
      <c r="AC284">
        <v>1</v>
      </c>
      <c r="AD284">
        <v>0</v>
      </c>
      <c r="AE284">
        <v>76</v>
      </c>
      <c r="AF284">
        <v>3</v>
      </c>
    </row>
    <row r="285" spans="1:32" x14ac:dyDescent="0.3">
      <c r="A285" t="s">
        <v>95</v>
      </c>
      <c r="B285">
        <v>276</v>
      </c>
      <c r="C285">
        <v>3.9646978954514599E-2</v>
      </c>
      <c r="D285">
        <v>9.6673455532926E-2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0.17</v>
      </c>
      <c r="N285">
        <v>0</v>
      </c>
      <c r="O285">
        <v>41</v>
      </c>
      <c r="P285">
        <v>42</v>
      </c>
      <c r="Q285">
        <v>23</v>
      </c>
      <c r="R285">
        <v>21</v>
      </c>
      <c r="S285">
        <v>3.1868377366175098</v>
      </c>
      <c r="T285">
        <v>3.0680796797693302</v>
      </c>
      <c r="U285">
        <v>2.02899065528042</v>
      </c>
      <c r="V285">
        <v>2.0526259079836802</v>
      </c>
      <c r="W285">
        <v>183.095504385228</v>
      </c>
      <c r="X285">
        <v>182.705878214466</v>
      </c>
      <c r="Y285">
        <v>179.29679348845301</v>
      </c>
      <c r="Z285">
        <v>179.37433696845</v>
      </c>
      <c r="AA285">
        <v>0</v>
      </c>
      <c r="AB285">
        <v>0</v>
      </c>
      <c r="AC285">
        <v>1</v>
      </c>
      <c r="AD285">
        <v>0</v>
      </c>
      <c r="AE285">
        <v>54</v>
      </c>
      <c r="AF285">
        <v>3</v>
      </c>
    </row>
    <row r="286" spans="1:32" x14ac:dyDescent="0.3">
      <c r="A286" t="s">
        <v>99</v>
      </c>
      <c r="B286">
        <v>280</v>
      </c>
      <c r="C286">
        <v>0.273455532926001</v>
      </c>
      <c r="D286">
        <v>0.144602851323829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1</v>
      </c>
      <c r="L286">
        <v>0</v>
      </c>
      <c r="M286">
        <v>0.65</v>
      </c>
      <c r="N286">
        <v>0.06</v>
      </c>
      <c r="O286">
        <v>40</v>
      </c>
      <c r="P286">
        <v>37</v>
      </c>
      <c r="Q286">
        <v>18</v>
      </c>
      <c r="R286">
        <v>22</v>
      </c>
      <c r="S286">
        <v>2.5724462250998501</v>
      </c>
      <c r="T286">
        <v>3.02182131651533</v>
      </c>
      <c r="U286">
        <v>2.04245257336152</v>
      </c>
      <c r="V286">
        <v>2.7202962146299998</v>
      </c>
      <c r="W286">
        <v>181.07978420308299</v>
      </c>
      <c r="X286">
        <v>182.554111930825</v>
      </c>
      <c r="Y286">
        <v>179.34095988635701</v>
      </c>
      <c r="Z286">
        <v>181.56485634721099</v>
      </c>
      <c r="AA286">
        <v>0</v>
      </c>
      <c r="AB286">
        <v>0</v>
      </c>
      <c r="AC286">
        <v>1</v>
      </c>
      <c r="AD286">
        <v>0</v>
      </c>
      <c r="AE286">
        <v>139</v>
      </c>
      <c r="AF286">
        <v>3</v>
      </c>
    </row>
    <row r="287" spans="1:32" x14ac:dyDescent="0.3">
      <c r="A287" t="s">
        <v>103</v>
      </c>
      <c r="B287">
        <v>284</v>
      </c>
      <c r="C287">
        <v>6.5987780040733204E-2</v>
      </c>
      <c r="D287">
        <v>3.9646978954514599E-2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1</v>
      </c>
      <c r="L287">
        <v>0</v>
      </c>
      <c r="M287">
        <v>1.59</v>
      </c>
      <c r="N287">
        <v>0</v>
      </c>
      <c r="O287">
        <v>34</v>
      </c>
      <c r="P287">
        <v>29</v>
      </c>
      <c r="Q287">
        <v>23</v>
      </c>
      <c r="R287">
        <v>26</v>
      </c>
      <c r="S287">
        <v>3.2658176236902299</v>
      </c>
      <c r="T287">
        <v>3.4183521132655201</v>
      </c>
      <c r="U287">
        <v>2.4572778467671701</v>
      </c>
      <c r="V287">
        <v>2.9742954630799798</v>
      </c>
      <c r="W287">
        <v>183.35462474964001</v>
      </c>
      <c r="X287">
        <v>183.85506598840399</v>
      </c>
      <c r="Y287">
        <v>180.70193519280599</v>
      </c>
      <c r="Z287">
        <v>182.39818721482899</v>
      </c>
      <c r="AA287">
        <v>0</v>
      </c>
      <c r="AB287">
        <v>0</v>
      </c>
      <c r="AC287">
        <v>1</v>
      </c>
      <c r="AD287">
        <v>0</v>
      </c>
      <c r="AE287">
        <v>25</v>
      </c>
      <c r="AF287">
        <v>3</v>
      </c>
    </row>
    <row r="288" spans="1:32" x14ac:dyDescent="0.3">
      <c r="A288" t="s">
        <v>107</v>
      </c>
      <c r="B288">
        <v>288</v>
      </c>
      <c r="C288">
        <v>0.31785471826204997</v>
      </c>
      <c r="D288">
        <v>0.273455532926001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36</v>
      </c>
      <c r="P288">
        <v>35</v>
      </c>
      <c r="Q288">
        <v>19</v>
      </c>
      <c r="R288">
        <v>17</v>
      </c>
      <c r="S288">
        <v>3.3783949803314002</v>
      </c>
      <c r="T288">
        <v>2.9688744484679401</v>
      </c>
      <c r="U288">
        <v>2.6768222335156602</v>
      </c>
      <c r="V288">
        <v>2.6865443469864001</v>
      </c>
      <c r="W288">
        <v>183.72397303258299</v>
      </c>
      <c r="X288">
        <v>182.38040173381901</v>
      </c>
      <c r="Y288">
        <v>181.42222517557599</v>
      </c>
      <c r="Z288">
        <v>181.45412187331499</v>
      </c>
      <c r="AA288">
        <v>0</v>
      </c>
      <c r="AB288">
        <v>0</v>
      </c>
      <c r="AC288">
        <v>1</v>
      </c>
      <c r="AD288">
        <v>0</v>
      </c>
      <c r="AE288">
        <v>198</v>
      </c>
      <c r="AF288">
        <v>3</v>
      </c>
    </row>
    <row r="289" spans="1:32" x14ac:dyDescent="0.3">
      <c r="A289" t="s">
        <v>111</v>
      </c>
      <c r="B289">
        <v>292</v>
      </c>
      <c r="C289">
        <v>6.1778682959945701E-2</v>
      </c>
      <c r="D289">
        <v>6.5987780040733204E-2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39</v>
      </c>
      <c r="P289">
        <v>42</v>
      </c>
      <c r="Q289">
        <v>21</v>
      </c>
      <c r="R289">
        <v>22</v>
      </c>
      <c r="S289">
        <v>3.2285230308995598</v>
      </c>
      <c r="T289">
        <v>2.8898811771351598</v>
      </c>
      <c r="U289">
        <v>2.5324843494864702</v>
      </c>
      <c r="V289">
        <v>2.6232131948681499</v>
      </c>
      <c r="W289">
        <v>183.23226716174401</v>
      </c>
      <c r="X289">
        <v>182.121237457793</v>
      </c>
      <c r="Y289">
        <v>180.948675687292</v>
      </c>
      <c r="Z289">
        <v>181.24634250284799</v>
      </c>
      <c r="AA289">
        <v>0</v>
      </c>
      <c r="AB289">
        <v>0</v>
      </c>
      <c r="AC289">
        <v>1</v>
      </c>
      <c r="AD289">
        <v>0</v>
      </c>
      <c r="AE289">
        <v>21</v>
      </c>
      <c r="AF289">
        <v>3</v>
      </c>
    </row>
    <row r="290" spans="1:32" x14ac:dyDescent="0.3">
      <c r="A290" t="s">
        <v>115</v>
      </c>
      <c r="B290">
        <v>296</v>
      </c>
      <c r="C290">
        <v>9.6673455532926E-2</v>
      </c>
      <c r="D290">
        <v>0.31785471826204997</v>
      </c>
      <c r="E290">
        <v>1</v>
      </c>
      <c r="F290">
        <v>0</v>
      </c>
      <c r="G290">
        <v>1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43</v>
      </c>
      <c r="P290">
        <v>44</v>
      </c>
      <c r="Q290">
        <v>17</v>
      </c>
      <c r="R290">
        <v>18</v>
      </c>
      <c r="S290">
        <v>2.7916910823877501</v>
      </c>
      <c r="T290">
        <v>2.9149156923419701</v>
      </c>
      <c r="U290">
        <v>1.8399879520046201</v>
      </c>
      <c r="V290">
        <v>2.0919060584220199</v>
      </c>
      <c r="W290">
        <v>181.79909147764999</v>
      </c>
      <c r="X290">
        <v>182.20337169403501</v>
      </c>
      <c r="Y290">
        <v>178.67670587928001</v>
      </c>
      <c r="Z290">
        <v>179.503208853091</v>
      </c>
      <c r="AA290">
        <v>0</v>
      </c>
      <c r="AB290">
        <v>0</v>
      </c>
      <c r="AC290">
        <v>1</v>
      </c>
      <c r="AD290">
        <v>0</v>
      </c>
      <c r="AE290">
        <v>196</v>
      </c>
      <c r="AF290">
        <v>3</v>
      </c>
    </row>
    <row r="291" spans="1:32" x14ac:dyDescent="0.3">
      <c r="A291" t="s">
        <v>119</v>
      </c>
      <c r="B291">
        <v>300</v>
      </c>
      <c r="C291">
        <v>0.144602851323829</v>
      </c>
      <c r="D291">
        <v>6.1778682959945701E-2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0.68</v>
      </c>
      <c r="N291">
        <v>0.78</v>
      </c>
      <c r="O291">
        <v>38</v>
      </c>
      <c r="P291">
        <v>26</v>
      </c>
      <c r="Q291">
        <v>17</v>
      </c>
      <c r="R291">
        <v>24</v>
      </c>
      <c r="S291">
        <v>3.17733137443863</v>
      </c>
      <c r="T291">
        <v>3.0488197407085398</v>
      </c>
      <c r="U291">
        <v>2.7104820658264401</v>
      </c>
      <c r="V291">
        <v>2.8229531405844401</v>
      </c>
      <c r="W291">
        <v>183.06431553293501</v>
      </c>
      <c r="X291">
        <v>182.64268943802</v>
      </c>
      <c r="Y291">
        <v>181.53265769628101</v>
      </c>
      <c r="Z291">
        <v>181.90165728538199</v>
      </c>
      <c r="AA291">
        <v>0</v>
      </c>
      <c r="AB291">
        <v>0</v>
      </c>
      <c r="AC291">
        <v>1</v>
      </c>
      <c r="AD291">
        <v>0</v>
      </c>
      <c r="AE291">
        <v>22</v>
      </c>
      <c r="AF291">
        <v>3</v>
      </c>
    </row>
    <row r="292" spans="1:32" x14ac:dyDescent="0.3">
      <c r="A292" s="26" t="s">
        <v>9</v>
      </c>
      <c r="B292">
        <v>304</v>
      </c>
      <c r="C292">
        <v>6.0994079581440201E-2</v>
      </c>
      <c r="D292">
        <v>6.0994079581440201E-2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25</v>
      </c>
      <c r="P292">
        <v>25</v>
      </c>
      <c r="Q292">
        <v>16</v>
      </c>
      <c r="R292">
        <v>16</v>
      </c>
      <c r="S292">
        <v>3.3138898043287202</v>
      </c>
      <c r="T292">
        <v>3.3138898043287202</v>
      </c>
      <c r="U292">
        <v>2.8571812924574198</v>
      </c>
      <c r="V292">
        <v>2.8571812924574198</v>
      </c>
      <c r="W292">
        <v>183.572341877719</v>
      </c>
      <c r="X292">
        <v>183.572341877719</v>
      </c>
      <c r="Y292">
        <v>182.07395437157899</v>
      </c>
      <c r="Z292">
        <v>182.07395437157899</v>
      </c>
      <c r="AA292">
        <v>0</v>
      </c>
      <c r="AB292">
        <v>0</v>
      </c>
      <c r="AC292">
        <v>0</v>
      </c>
      <c r="AD292">
        <v>1</v>
      </c>
      <c r="AE292">
        <v>4</v>
      </c>
      <c r="AF292">
        <v>3</v>
      </c>
    </row>
    <row r="293" spans="1:32" x14ac:dyDescent="0.3">
      <c r="A293" t="s">
        <v>13</v>
      </c>
      <c r="B293">
        <v>308</v>
      </c>
      <c r="C293">
        <v>9.7067327550598895E-2</v>
      </c>
      <c r="D293">
        <v>0.32190554867134802</v>
      </c>
      <c r="E293">
        <v>1</v>
      </c>
      <c r="F293">
        <v>0</v>
      </c>
      <c r="G293">
        <v>1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32</v>
      </c>
      <c r="P293">
        <v>35</v>
      </c>
      <c r="Q293">
        <v>16</v>
      </c>
      <c r="R293">
        <v>9</v>
      </c>
      <c r="S293">
        <v>2.9869687916580401</v>
      </c>
      <c r="T293">
        <v>2.7141767339608802</v>
      </c>
      <c r="U293">
        <v>2.8635976143222099</v>
      </c>
      <c r="V293">
        <v>2.1278792560472102</v>
      </c>
      <c r="W293">
        <v>182.49976637683099</v>
      </c>
      <c r="X293">
        <v>181.604779310895</v>
      </c>
      <c r="Y293">
        <v>182.095005296333</v>
      </c>
      <c r="Z293">
        <v>179.68123115501101</v>
      </c>
      <c r="AA293">
        <v>0</v>
      </c>
      <c r="AB293">
        <v>0</v>
      </c>
      <c r="AC293">
        <v>0</v>
      </c>
      <c r="AD293">
        <v>1</v>
      </c>
      <c r="AE293">
        <v>51</v>
      </c>
      <c r="AF293">
        <v>3</v>
      </c>
    </row>
    <row r="294" spans="1:32" x14ac:dyDescent="0.3">
      <c r="A294" t="s">
        <v>17</v>
      </c>
      <c r="B294">
        <v>312</v>
      </c>
      <c r="C294">
        <v>0.14209004543577</v>
      </c>
      <c r="D294">
        <v>6.0994079581440201E-2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9.8000000000000004E-2</v>
      </c>
      <c r="N294">
        <v>0.34649999999999997</v>
      </c>
      <c r="O294">
        <v>34</v>
      </c>
      <c r="P294">
        <v>31</v>
      </c>
      <c r="Q294">
        <v>16</v>
      </c>
      <c r="R294">
        <v>21</v>
      </c>
      <c r="S294">
        <v>3.4735812407406099</v>
      </c>
      <c r="T294">
        <v>3.3028932025522</v>
      </c>
      <c r="U294">
        <v>2.4215599341995002</v>
      </c>
      <c r="V294">
        <v>2.0114901384452999</v>
      </c>
      <c r="W294">
        <v>184.096263913191</v>
      </c>
      <c r="X294">
        <v>183.53626378790099</v>
      </c>
      <c r="Y294">
        <v>180.644750440287</v>
      </c>
      <c r="Z294">
        <v>179.29937709463701</v>
      </c>
      <c r="AA294">
        <v>0</v>
      </c>
      <c r="AB294">
        <v>0</v>
      </c>
      <c r="AC294">
        <v>0</v>
      </c>
      <c r="AD294">
        <v>1</v>
      </c>
      <c r="AE294">
        <v>69</v>
      </c>
      <c r="AF294">
        <v>3</v>
      </c>
    </row>
    <row r="295" spans="1:32" x14ac:dyDescent="0.3">
      <c r="A295" t="s">
        <v>21</v>
      </c>
      <c r="B295">
        <v>316</v>
      </c>
      <c r="C295">
        <v>4.0066088393225903E-2</v>
      </c>
      <c r="D295">
        <v>9.7067327550598895E-2</v>
      </c>
      <c r="E295">
        <v>0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1</v>
      </c>
      <c r="L295">
        <v>0</v>
      </c>
      <c r="M295">
        <v>1.379</v>
      </c>
      <c r="N295">
        <v>0.33950000000000002</v>
      </c>
      <c r="O295">
        <v>17</v>
      </c>
      <c r="P295">
        <v>14</v>
      </c>
      <c r="Q295">
        <v>12</v>
      </c>
      <c r="R295">
        <v>13</v>
      </c>
      <c r="S295">
        <v>3.4135681845418699</v>
      </c>
      <c r="T295">
        <v>2.80283619613233</v>
      </c>
      <c r="U295">
        <v>3.1532239441105099</v>
      </c>
      <c r="V295">
        <v>2.7727926758282901</v>
      </c>
      <c r="W295">
        <v>183.89937068419201</v>
      </c>
      <c r="X295">
        <v>181.895656811458</v>
      </c>
      <c r="Y295">
        <v>183.04522291374801</v>
      </c>
      <c r="Z295">
        <v>181.79708883145801</v>
      </c>
      <c r="AA295">
        <v>0</v>
      </c>
      <c r="AB295">
        <v>0</v>
      </c>
      <c r="AC295">
        <v>0</v>
      </c>
      <c r="AD295">
        <v>1</v>
      </c>
      <c r="AE295">
        <v>6</v>
      </c>
      <c r="AF295">
        <v>3</v>
      </c>
    </row>
    <row r="296" spans="1:32" x14ac:dyDescent="0.3">
      <c r="A296" t="s">
        <v>25</v>
      </c>
      <c r="B296">
        <v>320</v>
      </c>
      <c r="C296">
        <v>0.27110009637890697</v>
      </c>
      <c r="D296">
        <v>0.14209004543577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29</v>
      </c>
      <c r="P296">
        <v>29</v>
      </c>
      <c r="Q296">
        <v>17</v>
      </c>
      <c r="R296">
        <v>15</v>
      </c>
      <c r="S296">
        <v>3.3671785745120801</v>
      </c>
      <c r="T296">
        <v>3.27001571237088</v>
      </c>
      <c r="U296">
        <v>2.6169533778604102</v>
      </c>
      <c r="V296">
        <v>2.90390633167168</v>
      </c>
      <c r="W296">
        <v>183.74717380089299</v>
      </c>
      <c r="X296">
        <v>183.42839800646601</v>
      </c>
      <c r="Y296">
        <v>181.28580504547401</v>
      </c>
      <c r="Z296">
        <v>182.22725174433</v>
      </c>
      <c r="AA296">
        <v>0</v>
      </c>
      <c r="AB296">
        <v>0</v>
      </c>
      <c r="AC296">
        <v>0</v>
      </c>
      <c r="AD296">
        <v>1</v>
      </c>
      <c r="AE296">
        <v>49</v>
      </c>
      <c r="AF296">
        <v>3</v>
      </c>
    </row>
    <row r="297" spans="1:32" x14ac:dyDescent="0.3">
      <c r="A297" t="s">
        <v>29</v>
      </c>
      <c r="B297">
        <v>324</v>
      </c>
      <c r="C297">
        <v>6.6776813988709896E-2</v>
      </c>
      <c r="D297">
        <v>4.0066088393225903E-2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0.11550000000000001</v>
      </c>
      <c r="N297">
        <v>0.434</v>
      </c>
      <c r="O297">
        <v>32</v>
      </c>
      <c r="P297">
        <v>29</v>
      </c>
      <c r="Q297">
        <v>16</v>
      </c>
      <c r="R297">
        <v>17</v>
      </c>
      <c r="S297">
        <v>3.0262108148687998</v>
      </c>
      <c r="T297">
        <v>2.9960352592556898</v>
      </c>
      <c r="U297">
        <v>2.47866582581227</v>
      </c>
      <c r="V297">
        <v>2.2710694121370998</v>
      </c>
      <c r="W297">
        <v>182.62851317214199</v>
      </c>
      <c r="X297">
        <v>182.529512005432</v>
      </c>
      <c r="Y297">
        <v>180.832105727731</v>
      </c>
      <c r="Z297">
        <v>180.15101513168301</v>
      </c>
      <c r="AA297">
        <v>0</v>
      </c>
      <c r="AB297">
        <v>0</v>
      </c>
      <c r="AC297">
        <v>0</v>
      </c>
      <c r="AD297">
        <v>1</v>
      </c>
      <c r="AE297">
        <v>29</v>
      </c>
      <c r="AF297">
        <v>3</v>
      </c>
    </row>
    <row r="298" spans="1:32" x14ac:dyDescent="0.3">
      <c r="A298" t="s">
        <v>33</v>
      </c>
      <c r="B298">
        <v>328</v>
      </c>
      <c r="C298">
        <v>0.32190554867134802</v>
      </c>
      <c r="D298">
        <v>0.27110009637890697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0.27650000000000002</v>
      </c>
      <c r="O298">
        <v>38</v>
      </c>
      <c r="P298">
        <v>37</v>
      </c>
      <c r="Q298">
        <v>21</v>
      </c>
      <c r="R298">
        <v>21</v>
      </c>
      <c r="S298">
        <v>3.5803034379737899</v>
      </c>
      <c r="T298">
        <v>3.09283809548314</v>
      </c>
      <c r="U298">
        <v>2.8577846112931802</v>
      </c>
      <c r="V298">
        <v>2.84309104773864</v>
      </c>
      <c r="W298">
        <v>184.44640235555701</v>
      </c>
      <c r="X298">
        <v>182.847106612478</v>
      </c>
      <c r="Y298">
        <v>182.07593376408499</v>
      </c>
      <c r="Z298">
        <v>182.027726534576</v>
      </c>
      <c r="AA298">
        <v>0</v>
      </c>
      <c r="AB298">
        <v>0</v>
      </c>
      <c r="AC298">
        <v>0</v>
      </c>
      <c r="AD298">
        <v>1</v>
      </c>
      <c r="AE298">
        <v>201</v>
      </c>
      <c r="AF298">
        <v>3</v>
      </c>
    </row>
    <row r="299" spans="1:32" x14ac:dyDescent="0.3">
      <c r="A299" t="s">
        <v>38</v>
      </c>
      <c r="B299">
        <v>332</v>
      </c>
      <c r="C299">
        <v>0.27110009637890697</v>
      </c>
      <c r="D299">
        <v>0.14209004543577</v>
      </c>
      <c r="E299">
        <v>0</v>
      </c>
      <c r="F299">
        <v>0</v>
      </c>
      <c r="G299">
        <v>0</v>
      </c>
      <c r="H299">
        <v>0</v>
      </c>
      <c r="I299">
        <v>1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29</v>
      </c>
      <c r="P299">
        <v>34</v>
      </c>
      <c r="Q299">
        <v>12</v>
      </c>
      <c r="R299">
        <v>19</v>
      </c>
      <c r="S299">
        <v>2.7925979423073199</v>
      </c>
      <c r="T299">
        <v>3.2819546872238399</v>
      </c>
      <c r="U299">
        <v>2.3459295301659302</v>
      </c>
      <c r="V299">
        <v>2.6886504549980499</v>
      </c>
      <c r="W299">
        <v>181.86206673985299</v>
      </c>
      <c r="X299">
        <v>183.46756787146899</v>
      </c>
      <c r="Y299">
        <v>180.39661919345801</v>
      </c>
      <c r="Z299">
        <v>181.52103167650299</v>
      </c>
      <c r="AA299">
        <v>0</v>
      </c>
      <c r="AB299">
        <v>0</v>
      </c>
      <c r="AC299">
        <v>0</v>
      </c>
      <c r="AD299">
        <v>1</v>
      </c>
      <c r="AE299">
        <v>113</v>
      </c>
      <c r="AF299">
        <v>3</v>
      </c>
    </row>
    <row r="300" spans="1:32" x14ac:dyDescent="0.3">
      <c r="A300" t="s">
        <v>46</v>
      </c>
      <c r="B300">
        <v>340</v>
      </c>
      <c r="C300">
        <v>0.32190554867134802</v>
      </c>
      <c r="D300">
        <v>0.27110009637890697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1</v>
      </c>
      <c r="M300">
        <v>1.351</v>
      </c>
      <c r="N300">
        <v>0</v>
      </c>
      <c r="O300">
        <v>17</v>
      </c>
      <c r="P300">
        <v>28</v>
      </c>
      <c r="Q300">
        <v>14</v>
      </c>
      <c r="R300">
        <v>14</v>
      </c>
      <c r="S300">
        <v>2.7193452665566298</v>
      </c>
      <c r="T300">
        <v>2.67511141187348</v>
      </c>
      <c r="U300">
        <v>2.2487025378658299</v>
      </c>
      <c r="V300">
        <v>2.4230813889214602</v>
      </c>
      <c r="W300">
        <v>181.62173643883401</v>
      </c>
      <c r="X300">
        <v>181.476612243679</v>
      </c>
      <c r="Y300">
        <v>180.077632998247</v>
      </c>
      <c r="Z300">
        <v>180.64974208963699</v>
      </c>
      <c r="AA300">
        <v>0</v>
      </c>
      <c r="AB300">
        <v>0</v>
      </c>
      <c r="AC300">
        <v>0</v>
      </c>
      <c r="AD300">
        <v>1</v>
      </c>
      <c r="AE300">
        <v>13</v>
      </c>
      <c r="AF300">
        <v>3</v>
      </c>
    </row>
    <row r="301" spans="1:32" x14ac:dyDescent="0.3">
      <c r="A301" t="s">
        <v>50</v>
      </c>
      <c r="B301">
        <v>344</v>
      </c>
      <c r="C301">
        <v>6.0994079581440201E-2</v>
      </c>
      <c r="D301">
        <v>6.6776813988709896E-2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0.38150000000000001</v>
      </c>
      <c r="N301">
        <v>0.60550000000000004</v>
      </c>
      <c r="O301">
        <v>34</v>
      </c>
      <c r="P301">
        <v>32</v>
      </c>
      <c r="Q301">
        <v>17</v>
      </c>
      <c r="R301">
        <v>24</v>
      </c>
      <c r="S301">
        <v>3.4724997887116098</v>
      </c>
      <c r="T301">
        <v>3.4258276680225901</v>
      </c>
      <c r="U301">
        <v>3.0644223186603998</v>
      </c>
      <c r="V301">
        <v>3.1129905151449702</v>
      </c>
      <c r="W301">
        <v>184.09271584223001</v>
      </c>
      <c r="X301">
        <v>183.93959208668801</v>
      </c>
      <c r="Y301">
        <v>182.75387899822999</v>
      </c>
      <c r="Z301">
        <v>182.913223474885</v>
      </c>
      <c r="AA301">
        <v>0</v>
      </c>
      <c r="AB301">
        <v>0</v>
      </c>
      <c r="AC301">
        <v>0</v>
      </c>
      <c r="AD301">
        <v>1</v>
      </c>
      <c r="AE301">
        <v>39</v>
      </c>
      <c r="AF301">
        <v>3</v>
      </c>
    </row>
    <row r="302" spans="1:32" x14ac:dyDescent="0.3">
      <c r="A302" t="s">
        <v>54</v>
      </c>
      <c r="B302">
        <v>348</v>
      </c>
      <c r="C302">
        <v>9.7067327550598895E-2</v>
      </c>
      <c r="D302">
        <v>0.32190554867134802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0.13300000000000001</v>
      </c>
      <c r="O302">
        <v>37</v>
      </c>
      <c r="P302">
        <v>36</v>
      </c>
      <c r="Q302">
        <v>25</v>
      </c>
      <c r="R302">
        <v>17</v>
      </c>
      <c r="S302">
        <v>3.5795403580946998</v>
      </c>
      <c r="T302">
        <v>3.2709531642576102</v>
      </c>
      <c r="U302">
        <v>2.8584819889750199</v>
      </c>
      <c r="V302">
        <v>2.5540484960878702</v>
      </c>
      <c r="W302">
        <v>184.44389881264701</v>
      </c>
      <c r="X302">
        <v>183.43147363601599</v>
      </c>
      <c r="Y302">
        <v>182.07822174860601</v>
      </c>
      <c r="Z302">
        <v>181.079424199763</v>
      </c>
      <c r="AA302">
        <v>0</v>
      </c>
      <c r="AB302">
        <v>0</v>
      </c>
      <c r="AC302">
        <v>0</v>
      </c>
      <c r="AD302">
        <v>1</v>
      </c>
      <c r="AE302">
        <v>66</v>
      </c>
      <c r="AF302">
        <v>3</v>
      </c>
    </row>
    <row r="303" spans="1:32" x14ac:dyDescent="0.3">
      <c r="A303" t="s">
        <v>58</v>
      </c>
      <c r="B303">
        <v>352</v>
      </c>
      <c r="C303">
        <v>0.14209004543577</v>
      </c>
      <c r="D303">
        <v>6.0994079581440201E-2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1.5645</v>
      </c>
      <c r="N303">
        <v>0</v>
      </c>
      <c r="O303">
        <v>37</v>
      </c>
      <c r="P303">
        <v>30</v>
      </c>
      <c r="Q303">
        <v>21</v>
      </c>
      <c r="R303">
        <v>17</v>
      </c>
      <c r="S303">
        <v>2.8960080039462901</v>
      </c>
      <c r="T303">
        <v>2.7625156939890601</v>
      </c>
      <c r="U303">
        <v>2.48240187557494</v>
      </c>
      <c r="V303">
        <v>2.6574299244520501</v>
      </c>
      <c r="W303">
        <v>182.20133859562401</v>
      </c>
      <c r="X303">
        <v>181.76337169943901</v>
      </c>
      <c r="Y303">
        <v>180.844363108842</v>
      </c>
      <c r="Z303">
        <v>181.418602114344</v>
      </c>
      <c r="AA303">
        <v>0</v>
      </c>
      <c r="AB303">
        <v>0</v>
      </c>
      <c r="AC303">
        <v>0</v>
      </c>
      <c r="AD303">
        <v>1</v>
      </c>
      <c r="AE303">
        <v>82</v>
      </c>
      <c r="AF303">
        <v>3</v>
      </c>
    </row>
    <row r="304" spans="1:32" x14ac:dyDescent="0.3">
      <c r="A304" t="s">
        <v>62</v>
      </c>
      <c r="B304">
        <v>356</v>
      </c>
      <c r="C304">
        <v>4.0066088393225903E-2</v>
      </c>
      <c r="D304">
        <v>9.7067327550598895E-2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7.0000000000000007E-2</v>
      </c>
      <c r="N304">
        <v>0</v>
      </c>
      <c r="O304">
        <v>30</v>
      </c>
      <c r="P304">
        <v>38</v>
      </c>
      <c r="Q304">
        <v>29</v>
      </c>
      <c r="R304">
        <v>24</v>
      </c>
      <c r="S304">
        <v>3.13985784568598</v>
      </c>
      <c r="T304">
        <v>3.4800308881612199</v>
      </c>
      <c r="U304">
        <v>2.9860484256084301</v>
      </c>
      <c r="V304">
        <v>2.4881310713168898</v>
      </c>
      <c r="W304">
        <v>183.00137088479701</v>
      </c>
      <c r="X304">
        <v>184.117424173757</v>
      </c>
      <c r="Y304">
        <v>182.49674680317699</v>
      </c>
      <c r="Z304">
        <v>180.863159682798</v>
      </c>
      <c r="AA304">
        <v>0</v>
      </c>
      <c r="AB304">
        <v>0</v>
      </c>
      <c r="AC304">
        <v>0</v>
      </c>
      <c r="AD304">
        <v>1</v>
      </c>
      <c r="AE304">
        <v>2</v>
      </c>
      <c r="AF304">
        <v>3</v>
      </c>
    </row>
    <row r="305" spans="1:32" x14ac:dyDescent="0.3">
      <c r="A305" t="s">
        <v>66</v>
      </c>
      <c r="B305">
        <v>360</v>
      </c>
      <c r="C305">
        <v>0.27110009637890697</v>
      </c>
      <c r="D305">
        <v>0.14209004543577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8.0500000000000002E-2</v>
      </c>
      <c r="N305">
        <v>0</v>
      </c>
      <c r="O305">
        <v>33</v>
      </c>
      <c r="P305">
        <v>34</v>
      </c>
      <c r="Q305">
        <v>20</v>
      </c>
      <c r="R305">
        <v>15</v>
      </c>
      <c r="S305">
        <v>2.86183639898193</v>
      </c>
      <c r="T305">
        <v>2.9116029069496601</v>
      </c>
      <c r="U305">
        <v>2.5199894389395001</v>
      </c>
      <c r="V305">
        <v>2.34821595120478</v>
      </c>
      <c r="W305">
        <v>182.08922703078099</v>
      </c>
      <c r="X305">
        <v>182.25250297555701</v>
      </c>
      <c r="Y305">
        <v>180.967681886284</v>
      </c>
      <c r="Z305">
        <v>180.40412057481899</v>
      </c>
      <c r="AA305">
        <v>0</v>
      </c>
      <c r="AB305">
        <v>0</v>
      </c>
      <c r="AC305">
        <v>0</v>
      </c>
      <c r="AD305">
        <v>1</v>
      </c>
      <c r="AE305">
        <v>53</v>
      </c>
      <c r="AF305">
        <v>3</v>
      </c>
    </row>
    <row r="306" spans="1:32" x14ac:dyDescent="0.3">
      <c r="A306" t="s">
        <v>70</v>
      </c>
      <c r="B306">
        <v>364</v>
      </c>
      <c r="C306">
        <v>6.6776813988709896E-2</v>
      </c>
      <c r="D306">
        <v>4.0066088393225903E-2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</v>
      </c>
      <c r="O306">
        <v>36</v>
      </c>
      <c r="P306">
        <v>37</v>
      </c>
      <c r="Q306">
        <v>22</v>
      </c>
      <c r="R306">
        <v>24</v>
      </c>
      <c r="S306">
        <v>2.9008732421152601</v>
      </c>
      <c r="T306">
        <v>3.33719051888351</v>
      </c>
      <c r="U306">
        <v>2.6434905583845199</v>
      </c>
      <c r="V306">
        <v>2.5009391887233599</v>
      </c>
      <c r="W306">
        <v>182.21730066310801</v>
      </c>
      <c r="X306">
        <v>183.64878779161299</v>
      </c>
      <c r="Y306">
        <v>181.372869286038</v>
      </c>
      <c r="Z306">
        <v>180.90518106536501</v>
      </c>
      <c r="AA306">
        <v>0</v>
      </c>
      <c r="AB306">
        <v>0</v>
      </c>
      <c r="AC306">
        <v>0</v>
      </c>
      <c r="AD306">
        <v>1</v>
      </c>
      <c r="AE306">
        <v>44</v>
      </c>
      <c r="AF306">
        <v>3</v>
      </c>
    </row>
    <row r="307" spans="1:32" x14ac:dyDescent="0.3">
      <c r="A307" t="s">
        <v>74</v>
      </c>
      <c r="B307">
        <v>368</v>
      </c>
      <c r="C307">
        <v>0.32190554867134802</v>
      </c>
      <c r="D307">
        <v>0.27110009637890697</v>
      </c>
      <c r="E307">
        <v>0</v>
      </c>
      <c r="F307">
        <v>0</v>
      </c>
      <c r="G307">
        <v>0</v>
      </c>
      <c r="H307">
        <v>0</v>
      </c>
      <c r="I307">
        <v>1</v>
      </c>
      <c r="J307">
        <v>1</v>
      </c>
      <c r="K307">
        <v>0</v>
      </c>
      <c r="L307">
        <v>0</v>
      </c>
      <c r="M307">
        <v>1.0500000000000001E-2</v>
      </c>
      <c r="N307">
        <v>0</v>
      </c>
      <c r="O307">
        <v>33</v>
      </c>
      <c r="P307">
        <v>36</v>
      </c>
      <c r="Q307">
        <v>20</v>
      </c>
      <c r="R307">
        <v>17</v>
      </c>
      <c r="S307">
        <v>2.9548104257557202</v>
      </c>
      <c r="T307">
        <v>3.15159135159342</v>
      </c>
      <c r="U307">
        <v>2.0890290475775899</v>
      </c>
      <c r="V307">
        <v>2.54550346672367</v>
      </c>
      <c r="W307">
        <v>182.39425992701999</v>
      </c>
      <c r="X307">
        <v>183.039866639086</v>
      </c>
      <c r="Y307">
        <v>179.553769841134</v>
      </c>
      <c r="Z307">
        <v>181.05138932652099</v>
      </c>
      <c r="AA307">
        <v>0</v>
      </c>
      <c r="AB307">
        <v>0</v>
      </c>
      <c r="AC307">
        <v>0</v>
      </c>
      <c r="AD307">
        <v>1</v>
      </c>
      <c r="AE307">
        <v>72</v>
      </c>
      <c r="AF307">
        <v>3</v>
      </c>
    </row>
    <row r="308" spans="1:32" x14ac:dyDescent="0.3">
      <c r="A308" t="s">
        <v>78</v>
      </c>
      <c r="B308">
        <v>372</v>
      </c>
      <c r="C308">
        <v>6.0994079581440201E-2</v>
      </c>
      <c r="D308">
        <v>6.6776813988709896E-2</v>
      </c>
      <c r="E308">
        <v>0</v>
      </c>
      <c r="F308">
        <v>0</v>
      </c>
      <c r="G308">
        <v>0</v>
      </c>
      <c r="H308">
        <v>1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9.8000000000000004E-2</v>
      </c>
      <c r="O308">
        <v>32</v>
      </c>
      <c r="P308">
        <v>42</v>
      </c>
      <c r="Q308">
        <v>23</v>
      </c>
      <c r="R308">
        <v>22</v>
      </c>
      <c r="S308">
        <v>2.6643693170572398</v>
      </c>
      <c r="T308">
        <v>3.1292313971055998</v>
      </c>
      <c r="U308">
        <v>1.8217822633946701</v>
      </c>
      <c r="V308">
        <v>2.35252463415681</v>
      </c>
      <c r="W308">
        <v>181.44136915044999</v>
      </c>
      <c r="X308">
        <v>182.966507208352</v>
      </c>
      <c r="Y308">
        <v>178.67697592977299</v>
      </c>
      <c r="Z308">
        <v>180.418256673743</v>
      </c>
      <c r="AA308">
        <v>0</v>
      </c>
      <c r="AB308">
        <v>0</v>
      </c>
      <c r="AC308">
        <v>0</v>
      </c>
      <c r="AD308">
        <v>1</v>
      </c>
      <c r="AE308">
        <v>12</v>
      </c>
      <c r="AF308">
        <v>3</v>
      </c>
    </row>
    <row r="309" spans="1:32" x14ac:dyDescent="0.3">
      <c r="A309" t="s">
        <v>82</v>
      </c>
      <c r="B309">
        <v>376</v>
      </c>
      <c r="C309">
        <v>9.7067327550598895E-2</v>
      </c>
      <c r="D309">
        <v>0.32190554867134802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1.0500000000000001E-2</v>
      </c>
      <c r="O309">
        <v>36</v>
      </c>
      <c r="P309">
        <v>35</v>
      </c>
      <c r="Q309">
        <v>25</v>
      </c>
      <c r="R309">
        <v>16</v>
      </c>
      <c r="S309">
        <v>3.07297139599171</v>
      </c>
      <c r="T309">
        <v>2.9225071261839601</v>
      </c>
      <c r="U309">
        <v>2.4531760727929099</v>
      </c>
      <c r="V309">
        <v>2.4730295551910002</v>
      </c>
      <c r="W309">
        <v>182.78192715220399</v>
      </c>
      <c r="X309">
        <v>182.28827797304399</v>
      </c>
      <c r="Y309">
        <v>180.748477929111</v>
      </c>
      <c r="Z309">
        <v>180.81361402621701</v>
      </c>
      <c r="AA309">
        <v>0</v>
      </c>
      <c r="AB309">
        <v>0</v>
      </c>
      <c r="AC309">
        <v>0</v>
      </c>
      <c r="AD309">
        <v>1</v>
      </c>
      <c r="AE309">
        <v>57</v>
      </c>
      <c r="AF309">
        <v>3</v>
      </c>
    </row>
    <row r="310" spans="1:32" x14ac:dyDescent="0.3">
      <c r="A310" t="s">
        <v>85</v>
      </c>
      <c r="B310">
        <v>380</v>
      </c>
      <c r="C310">
        <v>0.14209004543577</v>
      </c>
      <c r="D310">
        <v>6.0994079581440201E-2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38</v>
      </c>
      <c r="P310">
        <v>35</v>
      </c>
      <c r="Q310">
        <v>20</v>
      </c>
      <c r="R310">
        <v>18</v>
      </c>
      <c r="S310">
        <v>3.3746451013868102</v>
      </c>
      <c r="T310">
        <v>3.18460900659742</v>
      </c>
      <c r="U310">
        <v>2.5978393725443398</v>
      </c>
      <c r="V310">
        <v>2.2661937722477901</v>
      </c>
      <c r="W310">
        <v>183.77167028014</v>
      </c>
      <c r="X310">
        <v>183.14819227886301</v>
      </c>
      <c r="Y310">
        <v>181.22309505427901</v>
      </c>
      <c r="Z310">
        <v>180.135018937821</v>
      </c>
      <c r="AA310">
        <v>0</v>
      </c>
      <c r="AB310">
        <v>0</v>
      </c>
      <c r="AC310">
        <v>0</v>
      </c>
      <c r="AD310">
        <v>1</v>
      </c>
      <c r="AE310">
        <v>71</v>
      </c>
      <c r="AF310">
        <v>3</v>
      </c>
    </row>
    <row r="311" spans="1:32" x14ac:dyDescent="0.3">
      <c r="A311" t="s">
        <v>90</v>
      </c>
      <c r="B311">
        <v>384</v>
      </c>
      <c r="C311">
        <v>6.0994079581440201E-2</v>
      </c>
      <c r="D311">
        <v>6.6776813988709896E-2</v>
      </c>
      <c r="E311">
        <v>0</v>
      </c>
      <c r="F311">
        <v>0</v>
      </c>
      <c r="G311">
        <v>0</v>
      </c>
      <c r="H311">
        <v>1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0.92</v>
      </c>
      <c r="O311">
        <v>36</v>
      </c>
      <c r="P311">
        <v>36</v>
      </c>
      <c r="Q311">
        <v>19</v>
      </c>
      <c r="R311">
        <v>21</v>
      </c>
      <c r="S311">
        <v>3.0770049069274301</v>
      </c>
      <c r="T311">
        <v>3.4134513736994498</v>
      </c>
      <c r="U311">
        <v>2.26033441980403</v>
      </c>
      <c r="V311">
        <v>2.7274054233023302</v>
      </c>
      <c r="W311">
        <v>182.79516045579899</v>
      </c>
      <c r="X311">
        <v>183.89898744652101</v>
      </c>
      <c r="Y311">
        <v>180.11579534056401</v>
      </c>
      <c r="Z311">
        <v>181.64818052264499</v>
      </c>
      <c r="AA311">
        <v>0</v>
      </c>
      <c r="AB311">
        <v>0</v>
      </c>
      <c r="AC311">
        <v>0</v>
      </c>
      <c r="AD311">
        <v>1</v>
      </c>
      <c r="AE311">
        <v>51</v>
      </c>
      <c r="AF311">
        <v>3</v>
      </c>
    </row>
    <row r="312" spans="1:32" x14ac:dyDescent="0.3">
      <c r="A312" t="s">
        <v>94</v>
      </c>
      <c r="B312">
        <v>388</v>
      </c>
      <c r="C312">
        <v>9.7067327550598895E-2</v>
      </c>
      <c r="D312">
        <v>0.32190554867134802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0.48</v>
      </c>
      <c r="O312">
        <v>43</v>
      </c>
      <c r="P312">
        <v>42</v>
      </c>
      <c r="Q312">
        <v>21</v>
      </c>
      <c r="R312">
        <v>21</v>
      </c>
      <c r="S312">
        <v>3.107502596117</v>
      </c>
      <c r="T312">
        <v>3.1243299815364698</v>
      </c>
      <c r="U312">
        <v>2.0988623128691399</v>
      </c>
      <c r="V312">
        <v>2.1959621091833101</v>
      </c>
      <c r="W312">
        <v>182.895218491197</v>
      </c>
      <c r="X312">
        <v>182.95042644860999</v>
      </c>
      <c r="Y312">
        <v>179.58603121020101</v>
      </c>
      <c r="Z312">
        <v>179.90460009574599</v>
      </c>
      <c r="AA312">
        <v>0</v>
      </c>
      <c r="AB312">
        <v>0</v>
      </c>
      <c r="AC312">
        <v>0</v>
      </c>
      <c r="AD312">
        <v>1</v>
      </c>
      <c r="AE312">
        <v>58</v>
      </c>
      <c r="AF312">
        <v>3</v>
      </c>
    </row>
    <row r="313" spans="1:32" x14ac:dyDescent="0.3">
      <c r="A313" t="s">
        <v>98</v>
      </c>
      <c r="B313">
        <v>392</v>
      </c>
      <c r="C313">
        <v>0.14209004543577</v>
      </c>
      <c r="D313">
        <v>6.0994079581440201E-2</v>
      </c>
      <c r="E313">
        <v>0</v>
      </c>
      <c r="F313">
        <v>0</v>
      </c>
      <c r="G313">
        <v>0</v>
      </c>
      <c r="H313">
        <v>1</v>
      </c>
      <c r="I313">
        <v>0</v>
      </c>
      <c r="J313">
        <v>1</v>
      </c>
      <c r="K313">
        <v>0</v>
      </c>
      <c r="L313">
        <v>0</v>
      </c>
      <c r="M313">
        <v>0.06</v>
      </c>
      <c r="N313">
        <v>0</v>
      </c>
      <c r="O313">
        <v>37</v>
      </c>
      <c r="P313">
        <v>37</v>
      </c>
      <c r="Q313">
        <v>22</v>
      </c>
      <c r="R313">
        <v>24</v>
      </c>
      <c r="S313">
        <v>3.0746669200310301</v>
      </c>
      <c r="T313">
        <v>3.3589616578697501</v>
      </c>
      <c r="U313">
        <v>2.76231893385257</v>
      </c>
      <c r="V313">
        <v>2.3231345282795202</v>
      </c>
      <c r="W313">
        <v>182.78748989511499</v>
      </c>
      <c r="X313">
        <v>183.720215412958</v>
      </c>
      <c r="Y313">
        <v>181.76272616093399</v>
      </c>
      <c r="Z313">
        <v>180.321832441862</v>
      </c>
      <c r="AA313">
        <v>0</v>
      </c>
      <c r="AB313">
        <v>0</v>
      </c>
      <c r="AC313">
        <v>0</v>
      </c>
      <c r="AD313">
        <v>1</v>
      </c>
      <c r="AE313">
        <v>14</v>
      </c>
      <c r="AF313">
        <v>3</v>
      </c>
    </row>
    <row r="314" spans="1:32" x14ac:dyDescent="0.3">
      <c r="A314" t="s">
        <v>106</v>
      </c>
      <c r="B314">
        <v>400</v>
      </c>
      <c r="C314">
        <v>0.27110009637890697</v>
      </c>
      <c r="D314">
        <v>0.14209004543577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35</v>
      </c>
      <c r="P314">
        <v>37</v>
      </c>
      <c r="Q314">
        <v>17</v>
      </c>
      <c r="R314">
        <v>17</v>
      </c>
      <c r="S314">
        <v>2.9285489300107499</v>
      </c>
      <c r="T314">
        <v>2.7899076627286301</v>
      </c>
      <c r="U314">
        <v>2.66103720796331</v>
      </c>
      <c r="V314">
        <v>2.5444777960045899</v>
      </c>
      <c r="W314">
        <v>182.30810016407699</v>
      </c>
      <c r="X314">
        <v>181.85324036328299</v>
      </c>
      <c r="Y314">
        <v>181.43043703399999</v>
      </c>
      <c r="Z314">
        <v>181.04802426510699</v>
      </c>
      <c r="AA314">
        <v>0</v>
      </c>
      <c r="AB314">
        <v>0</v>
      </c>
      <c r="AC314">
        <v>0</v>
      </c>
      <c r="AD314">
        <v>1</v>
      </c>
      <c r="AE314">
        <v>143</v>
      </c>
      <c r="AF314">
        <v>3</v>
      </c>
    </row>
    <row r="315" spans="1:32" x14ac:dyDescent="0.3">
      <c r="A315" t="s">
        <v>110</v>
      </c>
      <c r="B315">
        <v>404</v>
      </c>
      <c r="C315">
        <v>6.6776813988709896E-2</v>
      </c>
      <c r="D315">
        <v>4.0066088393225903E-2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41</v>
      </c>
      <c r="P315">
        <v>41</v>
      </c>
      <c r="Q315">
        <v>22</v>
      </c>
      <c r="R315">
        <v>19</v>
      </c>
      <c r="S315">
        <v>2.8894556535309301</v>
      </c>
      <c r="T315">
        <v>3.01213519800582</v>
      </c>
      <c r="U315">
        <v>2.6223230768571799</v>
      </c>
      <c r="V315">
        <v>2.2077857991169201</v>
      </c>
      <c r="W315">
        <v>182.17984138297501</v>
      </c>
      <c r="X315">
        <v>182.582333326791</v>
      </c>
      <c r="Y315">
        <v>181.303422168167</v>
      </c>
      <c r="Z315">
        <v>179.94339172938601</v>
      </c>
      <c r="AA315">
        <v>0</v>
      </c>
      <c r="AB315">
        <v>0</v>
      </c>
      <c r="AC315">
        <v>0</v>
      </c>
      <c r="AD315">
        <v>1</v>
      </c>
      <c r="AE315">
        <v>43</v>
      </c>
      <c r="AF315">
        <v>3</v>
      </c>
    </row>
    <row r="316" spans="1:32" x14ac:dyDescent="0.3">
      <c r="A316" t="s">
        <v>114</v>
      </c>
      <c r="B316">
        <v>408</v>
      </c>
      <c r="C316">
        <v>0.32190554867134802</v>
      </c>
      <c r="D316">
        <v>0.27110009637890697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42</v>
      </c>
      <c r="P316">
        <v>40</v>
      </c>
      <c r="Q316">
        <v>18</v>
      </c>
      <c r="R316">
        <v>16</v>
      </c>
      <c r="S316">
        <v>2.88931643913322</v>
      </c>
      <c r="T316">
        <v>2.7995778075892899</v>
      </c>
      <c r="U316">
        <v>2.0859291551005099</v>
      </c>
      <c r="V316">
        <v>2.2161309791474801</v>
      </c>
      <c r="W316">
        <v>182.17938464282599</v>
      </c>
      <c r="X316">
        <v>181.884966560332</v>
      </c>
      <c r="Y316">
        <v>179.543599590225</v>
      </c>
      <c r="Z316">
        <v>179.970770928962</v>
      </c>
      <c r="AA316">
        <v>0</v>
      </c>
      <c r="AB316">
        <v>0</v>
      </c>
      <c r="AC316">
        <v>0</v>
      </c>
      <c r="AD316">
        <v>1</v>
      </c>
      <c r="AE316">
        <v>203</v>
      </c>
      <c r="AF316">
        <v>3</v>
      </c>
    </row>
    <row r="317" spans="1:32" x14ac:dyDescent="0.3">
      <c r="A317" t="s">
        <v>118</v>
      </c>
      <c r="B317">
        <v>412</v>
      </c>
      <c r="C317">
        <v>6.0994079581440201E-2</v>
      </c>
      <c r="D317">
        <v>6.6776813988709896E-2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0.78</v>
      </c>
      <c r="N317">
        <v>0</v>
      </c>
      <c r="O317">
        <v>27</v>
      </c>
      <c r="P317">
        <v>39</v>
      </c>
      <c r="Q317">
        <v>24</v>
      </c>
      <c r="R317">
        <v>22</v>
      </c>
      <c r="S317">
        <v>2.9675731681712301</v>
      </c>
      <c r="T317">
        <v>3.3074010264487201</v>
      </c>
      <c r="U317">
        <v>2.80688720553725</v>
      </c>
      <c r="V317">
        <v>2.4574281061104002</v>
      </c>
      <c r="W317">
        <v>182.436132441507</v>
      </c>
      <c r="X317">
        <v>183.55105323638</v>
      </c>
      <c r="Y317">
        <v>181.908947524729</v>
      </c>
      <c r="Z317">
        <v>180.76242816965399</v>
      </c>
      <c r="AA317">
        <v>0</v>
      </c>
      <c r="AB317">
        <v>0</v>
      </c>
      <c r="AC317">
        <v>0</v>
      </c>
      <c r="AD317">
        <v>1</v>
      </c>
      <c r="AE317">
        <v>5</v>
      </c>
      <c r="AF317">
        <v>3</v>
      </c>
    </row>
    <row r="318" spans="1:32" x14ac:dyDescent="0.3">
      <c r="A318" t="s">
        <v>122</v>
      </c>
      <c r="B318">
        <v>416</v>
      </c>
      <c r="C318">
        <v>9.7067327550598895E-2</v>
      </c>
      <c r="D318">
        <v>0.32190554867134802</v>
      </c>
      <c r="E318">
        <v>0</v>
      </c>
      <c r="F318">
        <v>0</v>
      </c>
      <c r="G318">
        <v>0</v>
      </c>
      <c r="H318">
        <v>0</v>
      </c>
      <c r="I318">
        <v>1</v>
      </c>
      <c r="J318">
        <v>0</v>
      </c>
      <c r="K318">
        <v>1</v>
      </c>
      <c r="L318">
        <v>0</v>
      </c>
      <c r="M318">
        <v>0.72</v>
      </c>
      <c r="N318">
        <v>0.16</v>
      </c>
      <c r="O318">
        <v>24</v>
      </c>
      <c r="P318">
        <v>24</v>
      </c>
      <c r="Q318">
        <v>19</v>
      </c>
      <c r="R318">
        <v>19</v>
      </c>
      <c r="S318">
        <v>2.8910133662297901</v>
      </c>
      <c r="T318">
        <v>2.8980036154421902</v>
      </c>
      <c r="U318">
        <v>2.8465471454898799</v>
      </c>
      <c r="V318">
        <v>2.7177850454084802</v>
      </c>
      <c r="W318">
        <v>182.184951988943</v>
      </c>
      <c r="X318">
        <v>182.20788587743499</v>
      </c>
      <c r="Y318">
        <v>182.03906543795901</v>
      </c>
      <c r="Z318">
        <v>181.616617603046</v>
      </c>
      <c r="AA318">
        <v>0</v>
      </c>
      <c r="AB318">
        <v>0</v>
      </c>
      <c r="AC318">
        <v>0</v>
      </c>
      <c r="AD318">
        <v>1</v>
      </c>
      <c r="AE318">
        <v>3</v>
      </c>
      <c r="AF318">
        <v>3</v>
      </c>
    </row>
    <row r="19442" spans="2:2" x14ac:dyDescent="0.3">
      <c r="B19442" s="12"/>
    </row>
    <row r="19443" spans="2:2" x14ac:dyDescent="0.3">
      <c r="B19443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T5"/>
  <sheetViews>
    <sheetView tabSelected="1" workbookViewId="0">
      <selection activeCell="I10" sqref="I10"/>
    </sheetView>
  </sheetViews>
  <sheetFormatPr defaultRowHeight="14.4" x14ac:dyDescent="0.3"/>
  <sheetData>
    <row r="5" spans="20:20" x14ac:dyDescent="0.3">
      <c r="T5" t="s">
        <v>159</v>
      </c>
    </row>
  </sheetData>
  <sortState ref="A2:I3002">
    <sortCondition ref="G2:G3002"/>
    <sortCondition ref="C2:C3002"/>
    <sortCondition descending="1" ref="E2:E30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"/>
  <sheetViews>
    <sheetView workbookViewId="0">
      <selection activeCell="A2" sqref="A2:I20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2002">
    <sortCondition ref="H2:H2002"/>
    <sortCondition ref="D2:D2002"/>
    <sortCondition descending="1" ref="F2:F200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"/>
  <sheetViews>
    <sheetView workbookViewId="0">
      <selection activeCell="A2" sqref="A2:I18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1802">
    <sortCondition ref="H2:H1802"/>
    <sortCondition ref="D2:D1802"/>
    <sortCondition descending="1" ref="F2:F18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"/>
  <sheetViews>
    <sheetView workbookViewId="0">
      <selection activeCell="A2" sqref="A2:I16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1602">
    <sortCondition ref="H2:H1602"/>
    <sortCondition ref="D2:D1602"/>
    <sortCondition descending="1" ref="F2:F16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"/>
  <sheetViews>
    <sheetView workbookViewId="0">
      <selection activeCell="A2" sqref="A2:I14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1402">
    <sortCondition ref="H2:H1402"/>
    <sortCondition ref="D2:D1402"/>
    <sortCondition descending="1" ref="F2:F140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1"/>
  <sheetViews>
    <sheetView workbookViewId="0">
      <selection activeCell="A2" sqref="A2:I12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1202">
    <sortCondition ref="H2:H1202"/>
    <sortCondition ref="D2:D1202"/>
    <sortCondition descending="1" ref="F2:F120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I1"/>
  <sheetViews>
    <sheetView workbookViewId="0">
      <selection activeCell="A2" sqref="A2:I10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1002">
    <sortCondition ref="H2:H1002"/>
    <sortCondition ref="D2:D1002"/>
    <sortCondition descending="1" ref="F2:F100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"/>
  <sheetViews>
    <sheetView workbookViewId="0">
      <selection activeCell="A2" sqref="A2:I8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802">
    <sortCondition ref="H2:H802"/>
    <sortCondition ref="D2:D802"/>
    <sortCondition descending="1" ref="F2:F80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I1"/>
  <sheetViews>
    <sheetView workbookViewId="0">
      <selection activeCell="A2" sqref="A2:I6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602">
    <sortCondition ref="H2:H602"/>
    <sortCondition ref="D2:D602"/>
    <sortCondition descending="1" ref="F2:F60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1"/>
  <sheetViews>
    <sheetView workbookViewId="0">
      <selection activeCell="A2" sqref="A2:I402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402">
    <sortCondition ref="H2:H402"/>
    <sortCondition ref="D2:D402"/>
    <sortCondition descending="1" ref="F2:F40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I1"/>
  <sheetViews>
    <sheetView workbookViewId="0">
      <selection activeCell="A2" sqref="A2:I202"/>
    </sheetView>
  </sheetViews>
  <sheetFormatPr defaultRowHeight="14.4" x14ac:dyDescent="0.3"/>
  <cols>
    <col min="1" max="1" width="6" bestFit="1" customWidth="1"/>
    <col min="9" max="9" width="10.6640625" bestFit="1" customWidth="1"/>
  </cols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</sheetData>
  <sortState ref="A2:I202">
    <sortCondition ref="H2:H202"/>
    <sortCondition ref="D2:D202"/>
    <sortCondition descending="1" ref="F2:F20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J1"/>
  <sheetViews>
    <sheetView workbookViewId="0">
      <selection activeCell="H16" sqref="H16"/>
    </sheetView>
  </sheetViews>
  <sheetFormatPr defaultRowHeight="14.4" x14ac:dyDescent="0.3"/>
  <sheetData>
    <row r="1" spans="1:10" x14ac:dyDescent="0.3">
      <c r="A1" t="s">
        <v>150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  <c r="J1" t="s">
        <v>149</v>
      </c>
    </row>
  </sheetData>
  <sortState ref="A2:J12">
    <sortCondition ref="I2:I12"/>
    <sortCondition ref="E2:E12"/>
    <sortCondition descending="1" ref="G2:G1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2:V22"/>
  <sheetViews>
    <sheetView workbookViewId="0">
      <selection activeCell="G11" sqref="G11"/>
    </sheetView>
  </sheetViews>
  <sheetFormatPr defaultRowHeight="14.4" x14ac:dyDescent="0.3"/>
  <cols>
    <col min="2" max="2" width="11.5546875" customWidth="1"/>
    <col min="4" max="6" width="10.44140625" bestFit="1" customWidth="1"/>
  </cols>
  <sheetData>
    <row r="2" spans="2:22" x14ac:dyDescent="0.3">
      <c r="M2" t="s">
        <v>150</v>
      </c>
      <c r="N2" t="s">
        <v>141</v>
      </c>
      <c r="O2" t="s">
        <v>142</v>
      </c>
      <c r="P2" t="s">
        <v>143</v>
      </c>
      <c r="Q2" t="s">
        <v>144</v>
      </c>
      <c r="R2" t="s">
        <v>145</v>
      </c>
      <c r="S2" t="s">
        <v>146</v>
      </c>
      <c r="T2" t="s">
        <v>147</v>
      </c>
      <c r="U2" t="s">
        <v>148</v>
      </c>
      <c r="V2" t="s">
        <v>149</v>
      </c>
    </row>
    <row r="3" spans="2:22" x14ac:dyDescent="0.3">
      <c r="M3">
        <v>10</v>
      </c>
      <c r="N3">
        <v>2000</v>
      </c>
      <c r="O3">
        <v>10</v>
      </c>
      <c r="P3">
        <v>51.567</v>
      </c>
      <c r="Q3">
        <v>68.474999999999994</v>
      </c>
      <c r="R3">
        <v>0.96445999999999998</v>
      </c>
      <c r="S3">
        <v>0.86555000000000004</v>
      </c>
      <c r="T3">
        <v>1.696E-3</v>
      </c>
      <c r="U3">
        <v>5.1659999999999996E-3</v>
      </c>
      <c r="V3">
        <v>6.862E-3</v>
      </c>
    </row>
    <row r="4" spans="2:22" x14ac:dyDescent="0.3">
      <c r="M4">
        <v>7</v>
      </c>
      <c r="N4">
        <v>1400</v>
      </c>
      <c r="O4">
        <v>7</v>
      </c>
      <c r="P4">
        <v>59.387999999999998</v>
      </c>
      <c r="Q4">
        <v>73.204999999999998</v>
      </c>
      <c r="R4">
        <v>0.95230999999999999</v>
      </c>
      <c r="S4">
        <v>0.86578999999999995</v>
      </c>
      <c r="T4">
        <v>2.313E-3</v>
      </c>
      <c r="U4">
        <v>5.2459999999999998E-3</v>
      </c>
      <c r="V4">
        <v>7.5589999999999997E-3</v>
      </c>
    </row>
    <row r="5" spans="2:22" x14ac:dyDescent="0.3">
      <c r="M5">
        <v>8</v>
      </c>
      <c r="N5">
        <v>1400</v>
      </c>
      <c r="O5">
        <v>8</v>
      </c>
      <c r="P5">
        <v>59.677999999999997</v>
      </c>
      <c r="Q5">
        <v>76.846999999999994</v>
      </c>
      <c r="R5">
        <v>0.95640999999999998</v>
      </c>
      <c r="S5">
        <v>0.85682999999999998</v>
      </c>
      <c r="T5">
        <v>2.3240000000000001E-3</v>
      </c>
      <c r="U5">
        <v>5.496E-3</v>
      </c>
      <c r="V5">
        <v>7.8200000000000006E-3</v>
      </c>
    </row>
    <row r="6" spans="2:22" ht="15" thickBot="1" x14ac:dyDescent="0.35">
      <c r="D6" s="35" t="s">
        <v>203</v>
      </c>
      <c r="E6" s="29" t="s">
        <v>204</v>
      </c>
      <c r="F6" s="29" t="s">
        <v>205</v>
      </c>
    </row>
    <row r="7" spans="2:22" x14ac:dyDescent="0.3">
      <c r="B7" s="61" t="s">
        <v>137</v>
      </c>
      <c r="C7" s="15" t="s">
        <v>151</v>
      </c>
      <c r="D7">
        <v>51.567</v>
      </c>
      <c r="E7">
        <v>59.387999999999998</v>
      </c>
      <c r="F7">
        <v>59.677999999999997</v>
      </c>
    </row>
    <row r="8" spans="2:22" x14ac:dyDescent="0.3">
      <c r="B8" s="62"/>
      <c r="C8" s="4" t="s">
        <v>152</v>
      </c>
      <c r="D8">
        <v>0.96445999999999998</v>
      </c>
      <c r="E8">
        <v>0.95230999999999999</v>
      </c>
      <c r="F8">
        <v>0.95640999999999998</v>
      </c>
    </row>
    <row r="9" spans="2:22" x14ac:dyDescent="0.3">
      <c r="B9" s="62"/>
      <c r="C9" s="4" t="s">
        <v>153</v>
      </c>
      <c r="D9">
        <v>1.696E-3</v>
      </c>
      <c r="E9">
        <v>2.313E-3</v>
      </c>
      <c r="F9">
        <v>2.3240000000000001E-3</v>
      </c>
    </row>
    <row r="10" spans="2:22" x14ac:dyDescent="0.3">
      <c r="B10" s="62" t="s">
        <v>138</v>
      </c>
      <c r="C10" s="4" t="s">
        <v>151</v>
      </c>
      <c r="D10">
        <v>68.474999999999994</v>
      </c>
      <c r="E10">
        <v>73.204999999999998</v>
      </c>
      <c r="F10">
        <v>76.846999999999994</v>
      </c>
    </row>
    <row r="11" spans="2:22" x14ac:dyDescent="0.3">
      <c r="B11" s="62"/>
      <c r="C11" s="4" t="s">
        <v>152</v>
      </c>
      <c r="D11">
        <v>0.86555000000000004</v>
      </c>
      <c r="E11">
        <v>0.86578999999999995</v>
      </c>
      <c r="F11">
        <v>0.85682999999999998</v>
      </c>
    </row>
    <row r="12" spans="2:22" x14ac:dyDescent="0.3">
      <c r="B12" s="62"/>
      <c r="C12" s="4" t="s">
        <v>153</v>
      </c>
      <c r="D12">
        <v>5.1659999999999996E-3</v>
      </c>
      <c r="E12">
        <v>5.2459999999999998E-3</v>
      </c>
      <c r="F12">
        <v>5.496E-3</v>
      </c>
    </row>
    <row r="13" spans="2:22" x14ac:dyDescent="0.3">
      <c r="B13" s="62" t="s">
        <v>139</v>
      </c>
      <c r="C13" s="4" t="s">
        <v>151</v>
      </c>
      <c r="D13">
        <v>68.716999999999999</v>
      </c>
      <c r="E13">
        <v>78.135000000000005</v>
      </c>
      <c r="F13">
        <v>73.558000000000007</v>
      </c>
    </row>
    <row r="14" spans="2:22" x14ac:dyDescent="0.3">
      <c r="B14" s="62"/>
      <c r="C14" s="4" t="s">
        <v>152</v>
      </c>
      <c r="D14">
        <v>0.76544999999999996</v>
      </c>
      <c r="E14">
        <v>0.76107000000000002</v>
      </c>
      <c r="F14">
        <v>0.71135999999999999</v>
      </c>
    </row>
    <row r="15" spans="2:22" x14ac:dyDescent="0.3">
      <c r="B15" s="62"/>
      <c r="C15" s="4" t="s">
        <v>153</v>
      </c>
      <c r="D15">
        <v>9.9860000000000001E-3</v>
      </c>
      <c r="E15">
        <v>1.0571000000000001E-2</v>
      </c>
      <c r="F15">
        <v>1.3402000000000001E-2</v>
      </c>
    </row>
    <row r="16" spans="2:22" x14ac:dyDescent="0.3">
      <c r="B16" s="62" t="s">
        <v>140</v>
      </c>
      <c r="C16" s="4" t="s">
        <v>151</v>
      </c>
      <c r="D16">
        <v>45.075000000000003</v>
      </c>
      <c r="E16">
        <v>53.237000000000002</v>
      </c>
      <c r="F16">
        <v>50.067999999999998</v>
      </c>
    </row>
    <row r="17" spans="2:6" x14ac:dyDescent="0.3">
      <c r="B17" s="62"/>
      <c r="C17" s="4" t="s">
        <v>152</v>
      </c>
      <c r="D17">
        <v>0.95355999999999996</v>
      </c>
      <c r="E17">
        <v>0.94133999999999995</v>
      </c>
      <c r="F17">
        <v>0.94760999999999995</v>
      </c>
    </row>
    <row r="18" spans="2:6" ht="15" thickBot="1" x14ac:dyDescent="0.35">
      <c r="B18" s="63"/>
      <c r="C18" s="16" t="s">
        <v>153</v>
      </c>
      <c r="D18">
        <v>1.841E-3</v>
      </c>
      <c r="E18">
        <v>2.5439999999999998E-3</v>
      </c>
      <c r="F18">
        <v>2.14E-3</v>
      </c>
    </row>
    <row r="19" spans="2:6" ht="15" customHeight="1" x14ac:dyDescent="0.3">
      <c r="B19" s="59" t="s">
        <v>155</v>
      </c>
      <c r="C19" s="58" t="s">
        <v>206</v>
      </c>
      <c r="D19" s="58"/>
      <c r="E19" s="58"/>
      <c r="F19" s="58"/>
    </row>
    <row r="20" spans="2:6" ht="15" customHeight="1" x14ac:dyDescent="0.3">
      <c r="B20" s="59"/>
      <c r="C20" s="58"/>
      <c r="D20" s="58"/>
      <c r="E20" s="58"/>
      <c r="F20" s="58"/>
    </row>
    <row r="21" spans="2:6" x14ac:dyDescent="0.3">
      <c r="B21" s="59" t="s">
        <v>154</v>
      </c>
      <c r="C21" s="60" t="s">
        <v>207</v>
      </c>
      <c r="D21" s="60"/>
      <c r="E21" s="60"/>
      <c r="F21" s="60"/>
    </row>
    <row r="22" spans="2:6" x14ac:dyDescent="0.3">
      <c r="B22" s="59"/>
      <c r="C22" s="60"/>
      <c r="D22" s="60"/>
      <c r="E22" s="60"/>
      <c r="F22" s="60"/>
    </row>
  </sheetData>
  <mergeCells count="8">
    <mergeCell ref="C19:F20"/>
    <mergeCell ref="B21:B22"/>
    <mergeCell ref="C21:F22"/>
    <mergeCell ref="B7:B9"/>
    <mergeCell ref="B10:B12"/>
    <mergeCell ref="B13:B15"/>
    <mergeCell ref="B16:B18"/>
    <mergeCell ref="B19:B2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I21"/>
  <sheetViews>
    <sheetView workbookViewId="0">
      <selection activeCell="H21" activeCellId="2" sqref="D21 F21 H21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10</v>
      </c>
      <c r="C2">
        <v>82.972999999999999</v>
      </c>
      <c r="D2">
        <v>62.893999999999998</v>
      </c>
      <c r="E2">
        <v>0.84955000000000003</v>
      </c>
      <c r="F2">
        <v>0.73775000000000002</v>
      </c>
      <c r="G2">
        <v>6.0660000000000002E-3</v>
      </c>
      <c r="H2">
        <v>1.0617E-2</v>
      </c>
      <c r="I2">
        <v>1.6683E-2</v>
      </c>
    </row>
    <row r="3" spans="1:9" x14ac:dyDescent="0.3">
      <c r="A3">
        <v>200</v>
      </c>
      <c r="B3">
        <v>10</v>
      </c>
      <c r="C3">
        <v>82.326999999999998</v>
      </c>
      <c r="D3">
        <v>64.572000000000003</v>
      </c>
      <c r="E3">
        <v>0.88595999999999997</v>
      </c>
      <c r="F3">
        <v>0.76083999999999996</v>
      </c>
      <c r="G3">
        <v>4.6220000000000002E-3</v>
      </c>
      <c r="H3">
        <v>9.554E-3</v>
      </c>
      <c r="I3">
        <v>1.4175999999999999E-2</v>
      </c>
    </row>
    <row r="4" spans="1:9" x14ac:dyDescent="0.3">
      <c r="A4">
        <v>300</v>
      </c>
      <c r="B4">
        <v>10</v>
      </c>
      <c r="C4">
        <v>76.379000000000005</v>
      </c>
      <c r="D4">
        <v>66.603999999999999</v>
      </c>
      <c r="E4">
        <v>0.90942000000000001</v>
      </c>
      <c r="F4">
        <v>0.79500000000000004</v>
      </c>
      <c r="G4">
        <v>3.9890000000000004E-3</v>
      </c>
      <c r="H4">
        <v>8.2780000000000006E-3</v>
      </c>
      <c r="I4">
        <v>1.2267E-2</v>
      </c>
    </row>
    <row r="5" spans="1:9" x14ac:dyDescent="0.3">
      <c r="A5">
        <v>400</v>
      </c>
      <c r="B5">
        <v>10</v>
      </c>
      <c r="C5">
        <v>69.087000000000003</v>
      </c>
      <c r="D5">
        <v>67.623999999999995</v>
      </c>
      <c r="E5">
        <v>0.92161999999999999</v>
      </c>
      <c r="F5">
        <v>0.80103000000000002</v>
      </c>
      <c r="G5">
        <v>3.8860000000000001E-3</v>
      </c>
      <c r="H5">
        <v>8.2869999999999992E-3</v>
      </c>
      <c r="I5">
        <v>1.2173E-2</v>
      </c>
    </row>
    <row r="6" spans="1:9" x14ac:dyDescent="0.3">
      <c r="A6">
        <v>500</v>
      </c>
      <c r="B6">
        <v>10</v>
      </c>
      <c r="C6">
        <v>64.453000000000003</v>
      </c>
      <c r="D6">
        <v>68.403000000000006</v>
      </c>
      <c r="E6">
        <v>0.92925000000000002</v>
      </c>
      <c r="F6">
        <v>0.79586000000000001</v>
      </c>
      <c r="G6">
        <v>3.653E-3</v>
      </c>
      <c r="H6">
        <v>8.6280000000000003E-3</v>
      </c>
      <c r="I6">
        <v>1.2281E-2</v>
      </c>
    </row>
    <row r="7" spans="1:9" x14ac:dyDescent="0.3">
      <c r="A7">
        <v>600</v>
      </c>
      <c r="B7">
        <v>10</v>
      </c>
      <c r="C7">
        <v>62.13</v>
      </c>
      <c r="D7">
        <v>69.716999999999999</v>
      </c>
      <c r="E7">
        <v>0.93459999999999999</v>
      </c>
      <c r="F7">
        <v>0.79003999999999996</v>
      </c>
      <c r="G7">
        <v>3.4039999999999999E-3</v>
      </c>
      <c r="H7">
        <v>8.9079999999999993E-3</v>
      </c>
      <c r="I7">
        <v>1.2312E-2</v>
      </c>
    </row>
    <row r="8" spans="1:9" x14ac:dyDescent="0.3">
      <c r="A8">
        <v>700</v>
      </c>
      <c r="B8">
        <v>10</v>
      </c>
      <c r="C8">
        <v>59.96</v>
      </c>
      <c r="D8">
        <v>70.653999999999996</v>
      </c>
      <c r="E8">
        <v>0.93920000000000003</v>
      </c>
      <c r="F8">
        <v>0.78632000000000002</v>
      </c>
      <c r="G8">
        <v>3.1380000000000002E-3</v>
      </c>
      <c r="H8">
        <v>9.0650000000000001E-3</v>
      </c>
      <c r="I8">
        <v>1.2201999999999999E-2</v>
      </c>
    </row>
    <row r="9" spans="1:9" x14ac:dyDescent="0.3">
      <c r="A9">
        <v>800</v>
      </c>
      <c r="B9">
        <v>10</v>
      </c>
      <c r="C9">
        <v>57.863</v>
      </c>
      <c r="D9">
        <v>70.959000000000003</v>
      </c>
      <c r="E9">
        <v>0.94286999999999999</v>
      </c>
      <c r="F9">
        <v>0.78600000000000003</v>
      </c>
      <c r="G9">
        <v>2.9489999999999998E-3</v>
      </c>
      <c r="H9">
        <v>9.0930000000000004E-3</v>
      </c>
      <c r="I9">
        <v>1.2042000000000001E-2</v>
      </c>
    </row>
    <row r="10" spans="1:9" x14ac:dyDescent="0.3">
      <c r="A10">
        <v>900</v>
      </c>
      <c r="B10">
        <v>10</v>
      </c>
      <c r="C10">
        <v>56.543999999999997</v>
      </c>
      <c r="D10">
        <v>70.486000000000004</v>
      </c>
      <c r="E10">
        <v>0.94560999999999995</v>
      </c>
      <c r="F10">
        <v>0.78676000000000001</v>
      </c>
      <c r="G10">
        <v>2.8340000000000001E-3</v>
      </c>
      <c r="H10">
        <v>9.0939999999999997E-3</v>
      </c>
      <c r="I10">
        <v>1.1927999999999999E-2</v>
      </c>
    </row>
    <row r="11" spans="1:9" x14ac:dyDescent="0.3">
      <c r="A11">
        <v>1000</v>
      </c>
      <c r="B11">
        <v>10</v>
      </c>
      <c r="C11">
        <v>58.710999999999999</v>
      </c>
      <c r="D11">
        <v>73.138999999999996</v>
      </c>
      <c r="E11">
        <v>0.94794999999999996</v>
      </c>
      <c r="F11">
        <v>0.78322999999999998</v>
      </c>
      <c r="G11">
        <v>2.9090000000000001E-3</v>
      </c>
      <c r="H11">
        <v>9.4269999999999996E-3</v>
      </c>
      <c r="I11">
        <v>1.2336E-2</v>
      </c>
    </row>
    <row r="12" spans="1:9" x14ac:dyDescent="0.3">
      <c r="A12">
        <v>1100</v>
      </c>
      <c r="B12">
        <v>10</v>
      </c>
      <c r="C12">
        <v>58.034999999999997</v>
      </c>
      <c r="D12">
        <v>74.893000000000001</v>
      </c>
      <c r="E12">
        <v>0.95309999999999995</v>
      </c>
      <c r="F12">
        <v>0.78117000000000003</v>
      </c>
      <c r="G12">
        <v>2.4650000000000002E-3</v>
      </c>
      <c r="H12">
        <v>9.3399999999999993E-3</v>
      </c>
      <c r="I12">
        <v>1.1805E-2</v>
      </c>
    </row>
    <row r="13" spans="1:9" x14ac:dyDescent="0.3">
      <c r="A13">
        <v>1200</v>
      </c>
      <c r="B13">
        <v>10</v>
      </c>
      <c r="C13">
        <v>57.033000000000001</v>
      </c>
      <c r="D13">
        <v>73.453999999999994</v>
      </c>
      <c r="E13">
        <v>0.95545000000000002</v>
      </c>
      <c r="F13">
        <v>0.78249999999999997</v>
      </c>
      <c r="G13">
        <v>2.3310000000000002E-3</v>
      </c>
      <c r="H13">
        <v>9.2919999999999999E-3</v>
      </c>
      <c r="I13">
        <v>1.1623E-2</v>
      </c>
    </row>
    <row r="14" spans="1:9" x14ac:dyDescent="0.3">
      <c r="A14">
        <v>1300</v>
      </c>
      <c r="B14">
        <v>10</v>
      </c>
      <c r="C14">
        <v>56.323999999999998</v>
      </c>
      <c r="D14">
        <v>72.397000000000006</v>
      </c>
      <c r="E14">
        <v>0.95708000000000004</v>
      </c>
      <c r="F14">
        <v>0.78222000000000003</v>
      </c>
      <c r="G14">
        <v>2.2399999999999998E-3</v>
      </c>
      <c r="H14">
        <v>9.3220000000000004E-3</v>
      </c>
      <c r="I14">
        <v>1.1561999999999999E-2</v>
      </c>
    </row>
    <row r="15" spans="1:9" x14ac:dyDescent="0.3">
      <c r="A15">
        <v>1400</v>
      </c>
      <c r="B15">
        <v>10</v>
      </c>
      <c r="C15">
        <v>55.731000000000002</v>
      </c>
      <c r="D15">
        <v>71.63</v>
      </c>
      <c r="E15">
        <v>0.95837000000000006</v>
      </c>
      <c r="F15">
        <v>0.78083000000000002</v>
      </c>
      <c r="G15">
        <v>2.1679999999999998E-3</v>
      </c>
      <c r="H15">
        <v>9.4029999999999999E-3</v>
      </c>
      <c r="I15">
        <v>1.1571E-2</v>
      </c>
    </row>
    <row r="16" spans="1:9" x14ac:dyDescent="0.3">
      <c r="A16">
        <v>1500</v>
      </c>
      <c r="B16">
        <v>10</v>
      </c>
      <c r="C16">
        <v>55.231000000000002</v>
      </c>
      <c r="D16">
        <v>71.150000000000006</v>
      </c>
      <c r="E16">
        <v>0.95947000000000005</v>
      </c>
      <c r="F16">
        <v>0.77875000000000005</v>
      </c>
      <c r="G16">
        <v>2.1069999999999999E-3</v>
      </c>
      <c r="H16">
        <v>9.5139999999999999E-3</v>
      </c>
      <c r="I16">
        <v>1.1620999999999999E-2</v>
      </c>
    </row>
    <row r="17" spans="1:9" x14ac:dyDescent="0.3">
      <c r="A17">
        <v>1600</v>
      </c>
      <c r="B17">
        <v>10</v>
      </c>
      <c r="C17">
        <v>54.814</v>
      </c>
      <c r="D17">
        <v>70.792000000000002</v>
      </c>
      <c r="E17">
        <v>0.96045999999999998</v>
      </c>
      <c r="F17">
        <v>0.77622999999999998</v>
      </c>
      <c r="G17">
        <v>2.052E-3</v>
      </c>
      <c r="H17">
        <v>9.6419999999999995E-3</v>
      </c>
      <c r="I17">
        <v>1.1694E-2</v>
      </c>
    </row>
    <row r="18" spans="1:9" x14ac:dyDescent="0.3">
      <c r="A18">
        <v>1700</v>
      </c>
      <c r="B18">
        <v>10</v>
      </c>
      <c r="C18">
        <v>54.451999999999998</v>
      </c>
      <c r="D18">
        <v>70.569000000000003</v>
      </c>
      <c r="E18">
        <v>0.96136999999999995</v>
      </c>
      <c r="F18">
        <v>0.77349999999999997</v>
      </c>
      <c r="G18">
        <v>2.0010000000000002E-3</v>
      </c>
      <c r="H18">
        <v>9.7769999999999992E-3</v>
      </c>
      <c r="I18">
        <v>1.1778E-2</v>
      </c>
    </row>
    <row r="19" spans="1:9" x14ac:dyDescent="0.3">
      <c r="A19">
        <v>1800</v>
      </c>
      <c r="B19">
        <v>10</v>
      </c>
      <c r="C19">
        <v>54.122</v>
      </c>
      <c r="D19">
        <v>70.447000000000003</v>
      </c>
      <c r="E19">
        <v>0.96221000000000001</v>
      </c>
      <c r="F19">
        <v>0.77071999999999996</v>
      </c>
      <c r="G19">
        <v>1.9530000000000001E-3</v>
      </c>
      <c r="H19">
        <v>9.9109999999999997E-3</v>
      </c>
      <c r="I19">
        <v>1.1864E-2</v>
      </c>
    </row>
    <row r="20" spans="1:9" x14ac:dyDescent="0.3">
      <c r="A20">
        <v>1900</v>
      </c>
      <c r="B20">
        <v>10</v>
      </c>
      <c r="C20">
        <v>53.829000000000001</v>
      </c>
      <c r="D20">
        <v>70.382999999999996</v>
      </c>
      <c r="E20">
        <v>0.96299000000000001</v>
      </c>
      <c r="F20">
        <v>0.76797000000000004</v>
      </c>
      <c r="G20">
        <v>1.9070000000000001E-3</v>
      </c>
      <c r="H20">
        <v>1.004E-2</v>
      </c>
      <c r="I20">
        <v>1.1948E-2</v>
      </c>
    </row>
    <row r="21" spans="1:9" x14ac:dyDescent="0.3">
      <c r="A21">
        <v>2000</v>
      </c>
      <c r="B21">
        <v>10</v>
      </c>
      <c r="C21">
        <v>51.567</v>
      </c>
      <c r="D21">
        <v>68.716999999999999</v>
      </c>
      <c r="E21">
        <v>0.96445999999999998</v>
      </c>
      <c r="F21">
        <v>0.76544999999999996</v>
      </c>
      <c r="G21">
        <v>1.696E-3</v>
      </c>
      <c r="H21">
        <v>9.9860000000000001E-3</v>
      </c>
      <c r="I21">
        <v>1.1681E-2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15"/>
  <sheetViews>
    <sheetView workbookViewId="0">
      <selection activeCell="H15" activeCellId="2" sqref="D15 F15 H15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8</v>
      </c>
      <c r="C2">
        <v>95.04</v>
      </c>
      <c r="D2">
        <v>70.775000000000006</v>
      </c>
      <c r="E2">
        <v>0.86433000000000004</v>
      </c>
      <c r="F2">
        <v>0.75129000000000001</v>
      </c>
      <c r="G2">
        <v>5.5110000000000003E-3</v>
      </c>
      <c r="H2">
        <v>9.8580000000000004E-3</v>
      </c>
      <c r="I2">
        <v>1.5369000000000001E-2</v>
      </c>
    </row>
    <row r="3" spans="1:9" x14ac:dyDescent="0.3">
      <c r="A3">
        <v>200</v>
      </c>
      <c r="B3">
        <v>8</v>
      </c>
      <c r="C3">
        <v>88.454999999999998</v>
      </c>
      <c r="D3">
        <v>75.257999999999996</v>
      </c>
      <c r="E3">
        <v>0.89898999999999996</v>
      </c>
      <c r="F3">
        <v>0.79690000000000005</v>
      </c>
      <c r="G3">
        <v>4.4650000000000002E-3</v>
      </c>
      <c r="H3">
        <v>8.1139999999999997E-3</v>
      </c>
      <c r="I3">
        <v>1.2579E-2</v>
      </c>
    </row>
    <row r="4" spans="1:9" x14ac:dyDescent="0.3">
      <c r="A4">
        <v>300</v>
      </c>
      <c r="B4">
        <v>8</v>
      </c>
      <c r="C4">
        <v>79.606999999999999</v>
      </c>
      <c r="D4">
        <v>73.47</v>
      </c>
      <c r="E4">
        <v>0.91181999999999996</v>
      </c>
      <c r="F4">
        <v>0.79956000000000005</v>
      </c>
      <c r="G4">
        <v>4.4019999999999997E-3</v>
      </c>
      <c r="H4">
        <v>8.234E-3</v>
      </c>
      <c r="I4">
        <v>1.2635E-2</v>
      </c>
    </row>
    <row r="5" spans="1:9" x14ac:dyDescent="0.3">
      <c r="A5">
        <v>400</v>
      </c>
      <c r="B5">
        <v>8</v>
      </c>
      <c r="C5">
        <v>72.498999999999995</v>
      </c>
      <c r="D5">
        <v>69.350999999999999</v>
      </c>
      <c r="E5">
        <v>0.91825000000000001</v>
      </c>
      <c r="F5">
        <v>0.78935</v>
      </c>
      <c r="G5">
        <v>4.287E-3</v>
      </c>
      <c r="H5">
        <v>8.8330000000000006E-3</v>
      </c>
      <c r="I5">
        <v>1.312E-2</v>
      </c>
    </row>
    <row r="6" spans="1:9" x14ac:dyDescent="0.3">
      <c r="A6">
        <v>500</v>
      </c>
      <c r="B6">
        <v>8</v>
      </c>
      <c r="C6">
        <v>68.298000000000002</v>
      </c>
      <c r="D6">
        <v>68.828000000000003</v>
      </c>
      <c r="E6">
        <v>0.92361000000000004</v>
      </c>
      <c r="F6">
        <v>0.77961000000000003</v>
      </c>
      <c r="G6">
        <v>4.0109999999999998E-3</v>
      </c>
      <c r="H6">
        <v>9.3290000000000005E-3</v>
      </c>
      <c r="I6">
        <v>1.3339999999999999E-2</v>
      </c>
    </row>
    <row r="7" spans="1:9" x14ac:dyDescent="0.3">
      <c r="A7">
        <v>600</v>
      </c>
      <c r="B7">
        <v>8</v>
      </c>
      <c r="C7">
        <v>65.051000000000002</v>
      </c>
      <c r="D7">
        <v>68.384</v>
      </c>
      <c r="E7">
        <v>0.92883000000000004</v>
      </c>
      <c r="F7">
        <v>0.76834999999999998</v>
      </c>
      <c r="G7">
        <v>3.7169999999999998E-3</v>
      </c>
      <c r="H7">
        <v>9.9209999999999993E-3</v>
      </c>
      <c r="I7">
        <v>1.3638000000000001E-2</v>
      </c>
    </row>
    <row r="8" spans="1:9" x14ac:dyDescent="0.3">
      <c r="A8">
        <v>700</v>
      </c>
      <c r="B8">
        <v>8</v>
      </c>
      <c r="C8">
        <v>61.933999999999997</v>
      </c>
      <c r="D8">
        <v>67.548000000000002</v>
      </c>
      <c r="E8">
        <v>0.93374999999999997</v>
      </c>
      <c r="F8">
        <v>0.75548000000000004</v>
      </c>
      <c r="G8">
        <v>3.4399999999999999E-3</v>
      </c>
      <c r="H8">
        <v>1.0626E-2</v>
      </c>
      <c r="I8">
        <v>1.4066E-2</v>
      </c>
    </row>
    <row r="9" spans="1:9" x14ac:dyDescent="0.3">
      <c r="A9">
        <v>800</v>
      </c>
      <c r="B9">
        <v>8</v>
      </c>
      <c r="C9">
        <v>59.055</v>
      </c>
      <c r="D9">
        <v>66.488</v>
      </c>
      <c r="E9">
        <v>0.93828</v>
      </c>
      <c r="F9">
        <v>0.74270000000000003</v>
      </c>
      <c r="G9">
        <v>3.1949999999999999E-3</v>
      </c>
      <c r="H9">
        <v>1.1372E-2</v>
      </c>
      <c r="I9">
        <v>1.4567E-2</v>
      </c>
    </row>
    <row r="10" spans="1:9" x14ac:dyDescent="0.3">
      <c r="A10">
        <v>900</v>
      </c>
      <c r="B10">
        <v>8</v>
      </c>
      <c r="C10">
        <v>56.585000000000001</v>
      </c>
      <c r="D10">
        <v>65.451999999999998</v>
      </c>
      <c r="E10">
        <v>0.94210000000000005</v>
      </c>
      <c r="F10">
        <v>0.73375000000000001</v>
      </c>
      <c r="G10">
        <v>3.0170000000000002E-3</v>
      </c>
      <c r="H10">
        <v>1.1976000000000001E-2</v>
      </c>
      <c r="I10">
        <v>1.4992999999999999E-2</v>
      </c>
    </row>
    <row r="11" spans="1:9" x14ac:dyDescent="0.3">
      <c r="A11">
        <v>1000</v>
      </c>
      <c r="B11">
        <v>8</v>
      </c>
      <c r="C11">
        <v>59.064</v>
      </c>
      <c r="D11">
        <v>68.8</v>
      </c>
      <c r="E11">
        <v>0.94428000000000001</v>
      </c>
      <c r="F11">
        <v>0.72858000000000001</v>
      </c>
      <c r="G11">
        <v>3.2399999999999998E-3</v>
      </c>
      <c r="H11">
        <v>1.2767000000000001E-2</v>
      </c>
      <c r="I11">
        <v>1.6005999999999999E-2</v>
      </c>
    </row>
    <row r="12" spans="1:9" x14ac:dyDescent="0.3">
      <c r="A12">
        <v>1100</v>
      </c>
      <c r="B12">
        <v>8</v>
      </c>
      <c r="C12">
        <v>60.530999999999999</v>
      </c>
      <c r="D12">
        <v>72.69</v>
      </c>
      <c r="E12">
        <v>0.95052000000000003</v>
      </c>
      <c r="F12">
        <v>0.72565999999999997</v>
      </c>
      <c r="G12">
        <v>2.6819999999999999E-3</v>
      </c>
      <c r="H12">
        <v>1.2563E-2</v>
      </c>
      <c r="I12">
        <v>1.5245E-2</v>
      </c>
    </row>
    <row r="13" spans="1:9" x14ac:dyDescent="0.3">
      <c r="A13">
        <v>1200</v>
      </c>
      <c r="B13">
        <v>8</v>
      </c>
      <c r="C13">
        <v>59.951999999999998</v>
      </c>
      <c r="D13">
        <v>72.94</v>
      </c>
      <c r="E13">
        <v>0.95321999999999996</v>
      </c>
      <c r="F13">
        <v>0.72143000000000002</v>
      </c>
      <c r="G13">
        <v>2.5110000000000002E-3</v>
      </c>
      <c r="H13">
        <v>1.2818E-2</v>
      </c>
      <c r="I13">
        <v>1.5329000000000001E-2</v>
      </c>
    </row>
    <row r="14" spans="1:9" x14ac:dyDescent="0.3">
      <c r="A14">
        <v>1300</v>
      </c>
      <c r="B14">
        <v>8</v>
      </c>
      <c r="C14">
        <v>59.728999999999999</v>
      </c>
      <c r="D14">
        <v>73.224999999999994</v>
      </c>
      <c r="E14">
        <v>0.95499999999999996</v>
      </c>
      <c r="F14">
        <v>0.71650999999999998</v>
      </c>
      <c r="G14">
        <v>2.4039999999999999E-3</v>
      </c>
      <c r="H14">
        <v>1.3106E-2</v>
      </c>
      <c r="I14">
        <v>1.5509999999999999E-2</v>
      </c>
    </row>
    <row r="15" spans="1:9" x14ac:dyDescent="0.3">
      <c r="A15">
        <v>1400</v>
      </c>
      <c r="B15">
        <v>8</v>
      </c>
      <c r="C15">
        <v>59.677999999999997</v>
      </c>
      <c r="D15">
        <v>73.558000000000007</v>
      </c>
      <c r="E15">
        <v>0.95640999999999998</v>
      </c>
      <c r="F15">
        <v>0.71135999999999999</v>
      </c>
      <c r="G15">
        <v>2.3240000000000001E-3</v>
      </c>
      <c r="H15">
        <v>1.3402000000000001E-2</v>
      </c>
      <c r="I15">
        <v>1.5724999999999999E-2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I15"/>
  <sheetViews>
    <sheetView workbookViewId="0">
      <selection activeCell="H15" activeCellId="2" sqref="D15 F15 H15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7</v>
      </c>
      <c r="C2">
        <v>98.841999999999999</v>
      </c>
      <c r="D2">
        <v>73.930000000000007</v>
      </c>
      <c r="E2">
        <v>0.86853999999999998</v>
      </c>
      <c r="F2">
        <v>0.76119999999999999</v>
      </c>
      <c r="G2">
        <v>5.3810000000000004E-3</v>
      </c>
      <c r="H2">
        <v>9.4339999999999997E-3</v>
      </c>
      <c r="I2">
        <v>1.4815E-2</v>
      </c>
    </row>
    <row r="3" spans="1:9" x14ac:dyDescent="0.3">
      <c r="A3">
        <v>200</v>
      </c>
      <c r="B3">
        <v>7</v>
      </c>
      <c r="C3">
        <v>90.394999999999996</v>
      </c>
      <c r="D3">
        <v>77.646000000000001</v>
      </c>
      <c r="E3">
        <v>0.90012999999999999</v>
      </c>
      <c r="F3">
        <v>0.80110000000000003</v>
      </c>
      <c r="G3">
        <v>4.5009999999999998E-3</v>
      </c>
      <c r="H3">
        <v>7.9609999999999993E-3</v>
      </c>
      <c r="I3">
        <v>1.2463E-2</v>
      </c>
    </row>
    <row r="4" spans="1:9" x14ac:dyDescent="0.3">
      <c r="A4">
        <v>300</v>
      </c>
      <c r="B4">
        <v>7</v>
      </c>
      <c r="C4">
        <v>81.191999999999993</v>
      </c>
      <c r="D4">
        <v>74.88</v>
      </c>
      <c r="E4">
        <v>0.91156999999999999</v>
      </c>
      <c r="F4">
        <v>0.80086000000000002</v>
      </c>
      <c r="G4">
        <v>4.4450000000000002E-3</v>
      </c>
      <c r="H4">
        <v>8.2209999999999991E-3</v>
      </c>
      <c r="I4">
        <v>1.2666E-2</v>
      </c>
    </row>
    <row r="5" spans="1:9" x14ac:dyDescent="0.3">
      <c r="A5">
        <v>400</v>
      </c>
      <c r="B5">
        <v>7</v>
      </c>
      <c r="C5">
        <v>74.12</v>
      </c>
      <c r="D5">
        <v>71.855999999999995</v>
      </c>
      <c r="E5">
        <v>0.91825999999999997</v>
      </c>
      <c r="F5">
        <v>0.78939999999999999</v>
      </c>
      <c r="G5">
        <v>4.3E-3</v>
      </c>
      <c r="H5">
        <v>8.9300000000000004E-3</v>
      </c>
      <c r="I5">
        <v>1.3228999999999999E-2</v>
      </c>
    </row>
    <row r="6" spans="1:9" x14ac:dyDescent="0.3">
      <c r="A6">
        <v>500</v>
      </c>
      <c r="B6">
        <v>7</v>
      </c>
      <c r="C6">
        <v>68.724000000000004</v>
      </c>
      <c r="D6">
        <v>70.828999999999994</v>
      </c>
      <c r="E6">
        <v>0.92400000000000004</v>
      </c>
      <c r="F6">
        <v>0.77742</v>
      </c>
      <c r="G6">
        <v>3.9849999999999998E-3</v>
      </c>
      <c r="H6">
        <v>9.613E-3</v>
      </c>
      <c r="I6">
        <v>1.3598000000000001E-2</v>
      </c>
    </row>
    <row r="7" spans="1:9" x14ac:dyDescent="0.3">
      <c r="A7">
        <v>600</v>
      </c>
      <c r="B7">
        <v>7</v>
      </c>
      <c r="C7">
        <v>64.816999999999993</v>
      </c>
      <c r="D7">
        <v>71.087999999999994</v>
      </c>
      <c r="E7">
        <v>0.92859000000000003</v>
      </c>
      <c r="F7">
        <v>0.76763999999999999</v>
      </c>
      <c r="G7">
        <v>3.6830000000000001E-3</v>
      </c>
      <c r="H7">
        <v>1.0170999999999999E-2</v>
      </c>
      <c r="I7">
        <v>1.3853000000000001E-2</v>
      </c>
    </row>
    <row r="8" spans="1:9" x14ac:dyDescent="0.3">
      <c r="A8">
        <v>700</v>
      </c>
      <c r="B8">
        <v>7</v>
      </c>
      <c r="C8">
        <v>61.576000000000001</v>
      </c>
      <c r="D8">
        <v>70.905000000000001</v>
      </c>
      <c r="E8">
        <v>0.93259000000000003</v>
      </c>
      <c r="F8">
        <v>0.76371</v>
      </c>
      <c r="G8">
        <v>3.395E-3</v>
      </c>
      <c r="H8">
        <v>1.0404E-2</v>
      </c>
      <c r="I8">
        <v>1.3798E-2</v>
      </c>
    </row>
    <row r="9" spans="1:9" x14ac:dyDescent="0.3">
      <c r="A9">
        <v>800</v>
      </c>
      <c r="B9">
        <v>7</v>
      </c>
      <c r="C9">
        <v>58.655999999999999</v>
      </c>
      <c r="D9">
        <v>70.531000000000006</v>
      </c>
      <c r="E9">
        <v>0.93623000000000001</v>
      </c>
      <c r="F9">
        <v>0.7591</v>
      </c>
      <c r="G9">
        <v>3.1229999999999999E-3</v>
      </c>
      <c r="H9">
        <v>1.0647E-2</v>
      </c>
      <c r="I9">
        <v>1.3769999999999999E-2</v>
      </c>
    </row>
    <row r="10" spans="1:9" x14ac:dyDescent="0.3">
      <c r="A10">
        <v>900</v>
      </c>
      <c r="B10">
        <v>7</v>
      </c>
      <c r="C10">
        <v>56.186999999999998</v>
      </c>
      <c r="D10">
        <v>70.864000000000004</v>
      </c>
      <c r="E10">
        <v>0.93935999999999997</v>
      </c>
      <c r="F10">
        <v>0.75304000000000004</v>
      </c>
      <c r="G10">
        <v>2.9150000000000001E-3</v>
      </c>
      <c r="H10">
        <v>1.0968E-2</v>
      </c>
      <c r="I10">
        <v>1.3883E-2</v>
      </c>
    </row>
    <row r="11" spans="1:9" x14ac:dyDescent="0.3">
      <c r="A11">
        <v>1000</v>
      </c>
      <c r="B11">
        <v>7</v>
      </c>
      <c r="C11">
        <v>59.710999999999999</v>
      </c>
      <c r="D11">
        <v>76.599999999999994</v>
      </c>
      <c r="E11">
        <v>0.94157999999999997</v>
      </c>
      <c r="F11">
        <v>0.75370000000000004</v>
      </c>
      <c r="G11">
        <v>3.0360000000000001E-3</v>
      </c>
      <c r="H11">
        <v>1.1252E-2</v>
      </c>
      <c r="I11">
        <v>1.4286999999999999E-2</v>
      </c>
    </row>
    <row r="12" spans="1:9" x14ac:dyDescent="0.3">
      <c r="A12">
        <v>1100</v>
      </c>
      <c r="B12">
        <v>7</v>
      </c>
      <c r="C12">
        <v>60.633000000000003</v>
      </c>
      <c r="D12">
        <v>78.718999999999994</v>
      </c>
      <c r="E12">
        <v>0.94755999999999996</v>
      </c>
      <c r="F12">
        <v>0.75921000000000005</v>
      </c>
      <c r="G12">
        <v>2.5699999999999998E-3</v>
      </c>
      <c r="H12">
        <v>1.0621999999999999E-2</v>
      </c>
      <c r="I12">
        <v>1.3192000000000001E-2</v>
      </c>
    </row>
    <row r="13" spans="1:9" x14ac:dyDescent="0.3">
      <c r="A13">
        <v>1200</v>
      </c>
      <c r="B13">
        <v>7</v>
      </c>
      <c r="C13">
        <v>60.036999999999999</v>
      </c>
      <c r="D13">
        <v>78.227999999999994</v>
      </c>
      <c r="E13">
        <v>0.94967999999999997</v>
      </c>
      <c r="F13">
        <v>0.76192000000000004</v>
      </c>
      <c r="G13">
        <v>2.454E-3</v>
      </c>
      <c r="H13">
        <v>1.0498E-2</v>
      </c>
      <c r="I13">
        <v>1.2952E-2</v>
      </c>
    </row>
    <row r="14" spans="1:9" x14ac:dyDescent="0.3">
      <c r="A14">
        <v>1300</v>
      </c>
      <c r="B14">
        <v>7</v>
      </c>
      <c r="C14">
        <v>59.692</v>
      </c>
      <c r="D14">
        <v>78.066999999999993</v>
      </c>
      <c r="E14">
        <v>0.95113999999999999</v>
      </c>
      <c r="F14">
        <v>0.76210999999999995</v>
      </c>
      <c r="G14">
        <v>2.3739999999999998E-3</v>
      </c>
      <c r="H14">
        <v>1.0503999999999999E-2</v>
      </c>
      <c r="I14">
        <v>1.2879E-2</v>
      </c>
    </row>
    <row r="15" spans="1:9" x14ac:dyDescent="0.3">
      <c r="A15">
        <v>1400</v>
      </c>
      <c r="B15">
        <v>7</v>
      </c>
      <c r="C15">
        <v>59.387999999999998</v>
      </c>
      <c r="D15">
        <v>78.135000000000005</v>
      </c>
      <c r="E15">
        <v>0.95230999999999999</v>
      </c>
      <c r="F15">
        <v>0.76107000000000002</v>
      </c>
      <c r="G15">
        <v>2.313E-3</v>
      </c>
      <c r="H15">
        <v>1.0571000000000001E-2</v>
      </c>
      <c r="I15">
        <v>1.2884E-2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21"/>
  <sheetViews>
    <sheetView workbookViewId="0">
      <selection activeCell="G21" activeCellId="2" sqref="C21 E21 G21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10</v>
      </c>
      <c r="C2">
        <v>117.465</v>
      </c>
      <c r="D2">
        <v>0</v>
      </c>
      <c r="E2">
        <v>0.84031999999999996</v>
      </c>
      <c r="F2">
        <v>0</v>
      </c>
      <c r="G2">
        <v>1.0924E-2</v>
      </c>
      <c r="H2" t="s">
        <v>173</v>
      </c>
      <c r="I2" t="s">
        <v>173</v>
      </c>
    </row>
    <row r="3" spans="1:9" x14ac:dyDescent="0.3">
      <c r="A3">
        <v>200</v>
      </c>
      <c r="B3">
        <v>10</v>
      </c>
      <c r="C3">
        <v>92.031000000000006</v>
      </c>
      <c r="D3">
        <v>0</v>
      </c>
      <c r="E3">
        <v>0.88422999999999996</v>
      </c>
      <c r="F3">
        <v>0</v>
      </c>
      <c r="G3">
        <v>6.5409999999999999E-3</v>
      </c>
      <c r="H3" t="s">
        <v>173</v>
      </c>
      <c r="I3" t="s">
        <v>173</v>
      </c>
    </row>
    <row r="4" spans="1:9" x14ac:dyDescent="0.3">
      <c r="A4">
        <v>300</v>
      </c>
      <c r="B4">
        <v>10</v>
      </c>
      <c r="C4">
        <v>73.004000000000005</v>
      </c>
      <c r="D4">
        <v>0</v>
      </c>
      <c r="E4">
        <v>0.89995000000000003</v>
      </c>
      <c r="F4">
        <v>0</v>
      </c>
      <c r="G4">
        <v>4.8929999999999998E-3</v>
      </c>
      <c r="H4" t="s">
        <v>173</v>
      </c>
      <c r="I4" t="s">
        <v>173</v>
      </c>
    </row>
    <row r="5" spans="1:9" x14ac:dyDescent="0.3">
      <c r="A5">
        <v>400</v>
      </c>
      <c r="B5">
        <v>10</v>
      </c>
      <c r="C5">
        <v>63.198</v>
      </c>
      <c r="D5">
        <v>0</v>
      </c>
      <c r="E5">
        <v>0.90744000000000002</v>
      </c>
      <c r="F5">
        <v>0</v>
      </c>
      <c r="G5">
        <v>4.2640000000000004E-3</v>
      </c>
      <c r="H5" t="s">
        <v>173</v>
      </c>
      <c r="I5" t="s">
        <v>173</v>
      </c>
    </row>
    <row r="6" spans="1:9" x14ac:dyDescent="0.3">
      <c r="A6">
        <v>500</v>
      </c>
      <c r="B6">
        <v>10</v>
      </c>
      <c r="C6">
        <v>57.561</v>
      </c>
      <c r="D6">
        <v>0</v>
      </c>
      <c r="E6">
        <v>0.91242000000000001</v>
      </c>
      <c r="F6">
        <v>0</v>
      </c>
      <c r="G6">
        <v>3.8969999999999999E-3</v>
      </c>
      <c r="H6" t="s">
        <v>173</v>
      </c>
      <c r="I6" t="s">
        <v>173</v>
      </c>
    </row>
    <row r="7" spans="1:9" x14ac:dyDescent="0.3">
      <c r="A7">
        <v>600</v>
      </c>
      <c r="B7">
        <v>10</v>
      </c>
      <c r="C7">
        <v>53.722999999999999</v>
      </c>
      <c r="D7">
        <v>0</v>
      </c>
      <c r="E7">
        <v>0.91707000000000005</v>
      </c>
      <c r="F7">
        <v>0</v>
      </c>
      <c r="G7">
        <v>3.5690000000000001E-3</v>
      </c>
      <c r="H7" t="s">
        <v>173</v>
      </c>
      <c r="I7" t="s">
        <v>173</v>
      </c>
    </row>
    <row r="8" spans="1:9" x14ac:dyDescent="0.3">
      <c r="A8">
        <v>700</v>
      </c>
      <c r="B8">
        <v>10</v>
      </c>
      <c r="C8">
        <v>51.637999999999998</v>
      </c>
      <c r="D8">
        <v>0</v>
      </c>
      <c r="E8">
        <v>0.92110999999999998</v>
      </c>
      <c r="F8">
        <v>0</v>
      </c>
      <c r="G8">
        <v>3.307E-3</v>
      </c>
      <c r="H8" t="s">
        <v>173</v>
      </c>
      <c r="I8" t="s">
        <v>173</v>
      </c>
    </row>
    <row r="9" spans="1:9" x14ac:dyDescent="0.3">
      <c r="A9">
        <v>800</v>
      </c>
      <c r="B9">
        <v>10</v>
      </c>
      <c r="C9">
        <v>50.884</v>
      </c>
      <c r="D9">
        <v>0</v>
      </c>
      <c r="E9">
        <v>0.92417000000000005</v>
      </c>
      <c r="F9">
        <v>0</v>
      </c>
      <c r="G9">
        <v>3.1310000000000001E-3</v>
      </c>
      <c r="H9" t="s">
        <v>173</v>
      </c>
      <c r="I9" t="s">
        <v>173</v>
      </c>
    </row>
    <row r="10" spans="1:9" x14ac:dyDescent="0.3">
      <c r="A10">
        <v>900</v>
      </c>
      <c r="B10">
        <v>10</v>
      </c>
      <c r="C10">
        <v>50.9</v>
      </c>
      <c r="D10">
        <v>0</v>
      </c>
      <c r="E10">
        <v>0.92642999999999998</v>
      </c>
      <c r="F10">
        <v>0</v>
      </c>
      <c r="G10">
        <v>3.019E-3</v>
      </c>
      <c r="H10" t="s">
        <v>173</v>
      </c>
      <c r="I10" t="s">
        <v>173</v>
      </c>
    </row>
    <row r="11" spans="1:9" x14ac:dyDescent="0.3">
      <c r="A11">
        <v>1000</v>
      </c>
      <c r="B11">
        <v>10</v>
      </c>
      <c r="C11">
        <v>50.328000000000003</v>
      </c>
      <c r="D11">
        <v>0</v>
      </c>
      <c r="E11">
        <v>0.93184999999999996</v>
      </c>
      <c r="F11">
        <v>0</v>
      </c>
      <c r="G11">
        <v>2.7899999999999999E-3</v>
      </c>
      <c r="H11" t="s">
        <v>173</v>
      </c>
      <c r="I11" t="s">
        <v>173</v>
      </c>
    </row>
    <row r="12" spans="1:9" x14ac:dyDescent="0.3">
      <c r="A12">
        <v>1100</v>
      </c>
      <c r="B12">
        <v>10</v>
      </c>
      <c r="C12">
        <v>49.084000000000003</v>
      </c>
      <c r="D12">
        <v>0</v>
      </c>
      <c r="E12">
        <v>0.93811</v>
      </c>
      <c r="F12">
        <v>0</v>
      </c>
      <c r="G12">
        <v>2.5240000000000002E-3</v>
      </c>
      <c r="H12" t="s">
        <v>173</v>
      </c>
      <c r="I12" t="s">
        <v>173</v>
      </c>
    </row>
    <row r="13" spans="1:9" x14ac:dyDescent="0.3">
      <c r="A13">
        <v>1200</v>
      </c>
      <c r="B13">
        <v>10</v>
      </c>
      <c r="C13">
        <v>48.893000000000001</v>
      </c>
      <c r="D13">
        <v>0</v>
      </c>
      <c r="E13">
        <v>0.94040000000000001</v>
      </c>
      <c r="F13">
        <v>0</v>
      </c>
      <c r="G13">
        <v>2.4239999999999999E-3</v>
      </c>
      <c r="H13" t="s">
        <v>173</v>
      </c>
      <c r="I13" t="s">
        <v>173</v>
      </c>
    </row>
    <row r="14" spans="1:9" x14ac:dyDescent="0.3">
      <c r="A14">
        <v>1300</v>
      </c>
      <c r="B14">
        <v>10</v>
      </c>
      <c r="C14">
        <v>48.509</v>
      </c>
      <c r="D14">
        <v>0</v>
      </c>
      <c r="E14">
        <v>0.94227000000000005</v>
      </c>
      <c r="F14">
        <v>0</v>
      </c>
      <c r="G14">
        <v>2.3389999999999999E-3</v>
      </c>
      <c r="H14" t="s">
        <v>173</v>
      </c>
      <c r="I14" t="s">
        <v>173</v>
      </c>
    </row>
    <row r="15" spans="1:9" x14ac:dyDescent="0.3">
      <c r="A15">
        <v>1400</v>
      </c>
      <c r="B15">
        <v>10</v>
      </c>
      <c r="C15">
        <v>48.140999999999998</v>
      </c>
      <c r="D15">
        <v>0</v>
      </c>
      <c r="E15">
        <v>0.94393000000000005</v>
      </c>
      <c r="F15">
        <v>0</v>
      </c>
      <c r="G15">
        <v>2.264E-3</v>
      </c>
      <c r="H15" t="s">
        <v>173</v>
      </c>
      <c r="I15" t="s">
        <v>173</v>
      </c>
    </row>
    <row r="16" spans="1:9" x14ac:dyDescent="0.3">
      <c r="A16">
        <v>1500</v>
      </c>
      <c r="B16">
        <v>10</v>
      </c>
      <c r="C16">
        <v>47.765000000000001</v>
      </c>
      <c r="D16">
        <v>0</v>
      </c>
      <c r="E16">
        <v>0.94547999999999999</v>
      </c>
      <c r="F16">
        <v>0</v>
      </c>
      <c r="G16">
        <v>2.1940000000000002E-3</v>
      </c>
      <c r="H16" t="s">
        <v>173</v>
      </c>
      <c r="I16" t="s">
        <v>173</v>
      </c>
    </row>
    <row r="17" spans="1:9" x14ac:dyDescent="0.3">
      <c r="A17">
        <v>1600</v>
      </c>
      <c r="B17">
        <v>10</v>
      </c>
      <c r="C17">
        <v>47.414999999999999</v>
      </c>
      <c r="D17">
        <v>0</v>
      </c>
      <c r="E17">
        <v>0.94698000000000004</v>
      </c>
      <c r="F17">
        <v>0</v>
      </c>
      <c r="G17">
        <v>2.1280000000000001E-3</v>
      </c>
      <c r="H17" t="s">
        <v>173</v>
      </c>
      <c r="I17" t="s">
        <v>173</v>
      </c>
    </row>
    <row r="18" spans="1:9" x14ac:dyDescent="0.3">
      <c r="A18">
        <v>1700</v>
      </c>
      <c r="B18">
        <v>10</v>
      </c>
      <c r="C18">
        <v>47.116999999999997</v>
      </c>
      <c r="D18">
        <v>0</v>
      </c>
      <c r="E18">
        <v>0.94847000000000004</v>
      </c>
      <c r="F18">
        <v>0</v>
      </c>
      <c r="G18">
        <v>2.0630000000000002E-3</v>
      </c>
      <c r="H18" t="s">
        <v>173</v>
      </c>
      <c r="I18" t="s">
        <v>173</v>
      </c>
    </row>
    <row r="19" spans="1:9" x14ac:dyDescent="0.3">
      <c r="A19">
        <v>1800</v>
      </c>
      <c r="B19">
        <v>10</v>
      </c>
      <c r="C19">
        <v>46.762999999999998</v>
      </c>
      <c r="D19">
        <v>0</v>
      </c>
      <c r="E19">
        <v>0.94994999999999996</v>
      </c>
      <c r="F19">
        <v>0</v>
      </c>
      <c r="G19">
        <v>1.9989999999999999E-3</v>
      </c>
      <c r="H19" t="s">
        <v>173</v>
      </c>
      <c r="I19" t="s">
        <v>173</v>
      </c>
    </row>
    <row r="20" spans="1:9" x14ac:dyDescent="0.3">
      <c r="A20">
        <v>1900</v>
      </c>
      <c r="B20">
        <v>10</v>
      </c>
      <c r="C20">
        <v>46.377000000000002</v>
      </c>
      <c r="D20">
        <v>0</v>
      </c>
      <c r="E20">
        <v>0.95140000000000002</v>
      </c>
      <c r="F20">
        <v>0</v>
      </c>
      <c r="G20">
        <v>1.936E-3</v>
      </c>
      <c r="H20" t="s">
        <v>173</v>
      </c>
      <c r="I20" t="s">
        <v>173</v>
      </c>
    </row>
    <row r="21" spans="1:9" x14ac:dyDescent="0.3">
      <c r="A21">
        <v>2000</v>
      </c>
      <c r="B21">
        <v>10</v>
      </c>
      <c r="C21">
        <v>45.075000000000003</v>
      </c>
      <c r="D21">
        <v>0</v>
      </c>
      <c r="E21">
        <v>0.95355999999999996</v>
      </c>
      <c r="F21">
        <v>0</v>
      </c>
      <c r="G21">
        <v>1.841E-3</v>
      </c>
      <c r="H21" t="s">
        <v>173</v>
      </c>
      <c r="I21" t="s">
        <v>173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I15"/>
  <sheetViews>
    <sheetView workbookViewId="0">
      <selection activeCell="G15" activeCellId="2" sqref="C15 E15 G15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8</v>
      </c>
      <c r="C2">
        <v>116.065</v>
      </c>
      <c r="D2">
        <v>0</v>
      </c>
      <c r="E2">
        <v>0.85899999999999999</v>
      </c>
      <c r="F2">
        <v>0</v>
      </c>
      <c r="G2">
        <v>9.3430000000000006E-3</v>
      </c>
      <c r="H2" t="s">
        <v>173</v>
      </c>
      <c r="I2" t="s">
        <v>173</v>
      </c>
    </row>
    <row r="3" spans="1:9" x14ac:dyDescent="0.3">
      <c r="A3">
        <v>200</v>
      </c>
      <c r="B3">
        <v>8</v>
      </c>
      <c r="C3">
        <v>85.438000000000002</v>
      </c>
      <c r="D3">
        <v>0</v>
      </c>
      <c r="E3">
        <v>0.88607000000000002</v>
      </c>
      <c r="F3">
        <v>0</v>
      </c>
      <c r="G3">
        <v>5.986E-3</v>
      </c>
      <c r="H3" t="s">
        <v>173</v>
      </c>
      <c r="I3" t="s">
        <v>173</v>
      </c>
    </row>
    <row r="4" spans="1:9" x14ac:dyDescent="0.3">
      <c r="A4">
        <v>300</v>
      </c>
      <c r="B4">
        <v>8</v>
      </c>
      <c r="C4">
        <v>75.495000000000005</v>
      </c>
      <c r="D4">
        <v>0</v>
      </c>
      <c r="E4">
        <v>0.89332</v>
      </c>
      <c r="F4">
        <v>0</v>
      </c>
      <c r="G4">
        <v>5.2579999999999997E-3</v>
      </c>
      <c r="H4" t="s">
        <v>173</v>
      </c>
      <c r="I4" t="s">
        <v>173</v>
      </c>
    </row>
    <row r="5" spans="1:9" x14ac:dyDescent="0.3">
      <c r="A5">
        <v>400</v>
      </c>
      <c r="B5">
        <v>8</v>
      </c>
      <c r="C5">
        <v>71.191999999999993</v>
      </c>
      <c r="D5">
        <v>0</v>
      </c>
      <c r="E5">
        <v>0.89981999999999995</v>
      </c>
      <c r="F5">
        <v>0</v>
      </c>
      <c r="G5">
        <v>4.9430000000000003E-3</v>
      </c>
      <c r="H5" t="s">
        <v>173</v>
      </c>
      <c r="I5" t="s">
        <v>173</v>
      </c>
    </row>
    <row r="6" spans="1:9" x14ac:dyDescent="0.3">
      <c r="A6">
        <v>500</v>
      </c>
      <c r="B6">
        <v>8</v>
      </c>
      <c r="C6">
        <v>68.174999999999997</v>
      </c>
      <c r="D6">
        <v>0</v>
      </c>
      <c r="E6">
        <v>0.90702000000000005</v>
      </c>
      <c r="F6">
        <v>0</v>
      </c>
      <c r="G6">
        <v>4.6379999999999998E-3</v>
      </c>
      <c r="H6" t="s">
        <v>173</v>
      </c>
      <c r="I6" t="s">
        <v>173</v>
      </c>
    </row>
    <row r="7" spans="1:9" x14ac:dyDescent="0.3">
      <c r="A7">
        <v>600</v>
      </c>
      <c r="B7">
        <v>8</v>
      </c>
      <c r="C7">
        <v>65.926000000000002</v>
      </c>
      <c r="D7">
        <v>0</v>
      </c>
      <c r="E7">
        <v>0.91261999999999999</v>
      </c>
      <c r="F7">
        <v>0</v>
      </c>
      <c r="G7">
        <v>4.3480000000000003E-3</v>
      </c>
      <c r="H7" t="s">
        <v>173</v>
      </c>
      <c r="I7" t="s">
        <v>173</v>
      </c>
    </row>
    <row r="8" spans="1:9" x14ac:dyDescent="0.3">
      <c r="A8">
        <v>700</v>
      </c>
      <c r="B8">
        <v>8</v>
      </c>
      <c r="C8">
        <v>64.093000000000004</v>
      </c>
      <c r="D8">
        <v>0</v>
      </c>
      <c r="E8">
        <v>0.91671999999999998</v>
      </c>
      <c r="F8">
        <v>0</v>
      </c>
      <c r="G8">
        <v>4.0790000000000002E-3</v>
      </c>
      <c r="H8" t="s">
        <v>173</v>
      </c>
      <c r="I8" t="s">
        <v>173</v>
      </c>
    </row>
    <row r="9" spans="1:9" x14ac:dyDescent="0.3">
      <c r="A9">
        <v>800</v>
      </c>
      <c r="B9">
        <v>8</v>
      </c>
      <c r="C9">
        <v>63.073</v>
      </c>
      <c r="D9">
        <v>0</v>
      </c>
      <c r="E9">
        <v>0.92086000000000001</v>
      </c>
      <c r="F9">
        <v>0</v>
      </c>
      <c r="G9">
        <v>3.8119999999999999E-3</v>
      </c>
      <c r="H9" t="s">
        <v>173</v>
      </c>
      <c r="I9" t="s">
        <v>173</v>
      </c>
    </row>
    <row r="10" spans="1:9" x14ac:dyDescent="0.3">
      <c r="A10">
        <v>900</v>
      </c>
      <c r="B10">
        <v>8</v>
      </c>
      <c r="C10">
        <v>62.459000000000003</v>
      </c>
      <c r="D10">
        <v>0</v>
      </c>
      <c r="E10">
        <v>0.92498999999999998</v>
      </c>
      <c r="F10">
        <v>0</v>
      </c>
      <c r="G10">
        <v>3.5720000000000001E-3</v>
      </c>
      <c r="H10" t="s">
        <v>173</v>
      </c>
      <c r="I10" t="s">
        <v>173</v>
      </c>
    </row>
    <row r="11" spans="1:9" x14ac:dyDescent="0.3">
      <c r="A11">
        <v>1000</v>
      </c>
      <c r="B11">
        <v>8</v>
      </c>
      <c r="C11">
        <v>55.326000000000001</v>
      </c>
      <c r="D11">
        <v>0</v>
      </c>
      <c r="E11">
        <v>0.93354000000000004</v>
      </c>
      <c r="F11">
        <v>0</v>
      </c>
      <c r="G11">
        <v>2.8050000000000002E-3</v>
      </c>
      <c r="H11" t="s">
        <v>173</v>
      </c>
      <c r="I11" t="s">
        <v>173</v>
      </c>
    </row>
    <row r="12" spans="1:9" x14ac:dyDescent="0.3">
      <c r="A12">
        <v>1100</v>
      </c>
      <c r="B12">
        <v>8</v>
      </c>
      <c r="C12">
        <v>51.298999999999999</v>
      </c>
      <c r="D12">
        <v>0</v>
      </c>
      <c r="E12">
        <v>0.94079000000000002</v>
      </c>
      <c r="F12">
        <v>0</v>
      </c>
      <c r="G12">
        <v>2.4740000000000001E-3</v>
      </c>
      <c r="H12" t="s">
        <v>173</v>
      </c>
      <c r="I12" t="s">
        <v>173</v>
      </c>
    </row>
    <row r="13" spans="1:9" x14ac:dyDescent="0.3">
      <c r="A13">
        <v>1200</v>
      </c>
      <c r="B13">
        <v>8</v>
      </c>
      <c r="C13">
        <v>50.911000000000001</v>
      </c>
      <c r="D13">
        <v>0</v>
      </c>
      <c r="E13">
        <v>0.94357999999999997</v>
      </c>
      <c r="F13">
        <v>0</v>
      </c>
      <c r="G13">
        <v>2.3389999999999999E-3</v>
      </c>
      <c r="H13" t="s">
        <v>173</v>
      </c>
      <c r="I13" t="s">
        <v>173</v>
      </c>
    </row>
    <row r="14" spans="1:9" x14ac:dyDescent="0.3">
      <c r="A14">
        <v>1300</v>
      </c>
      <c r="B14">
        <v>8</v>
      </c>
      <c r="C14">
        <v>50.52</v>
      </c>
      <c r="D14">
        <v>0</v>
      </c>
      <c r="E14">
        <v>0.94574999999999998</v>
      </c>
      <c r="F14">
        <v>0</v>
      </c>
      <c r="G14">
        <v>2.232E-3</v>
      </c>
      <c r="H14" t="s">
        <v>173</v>
      </c>
      <c r="I14" t="s">
        <v>173</v>
      </c>
    </row>
    <row r="15" spans="1:9" x14ac:dyDescent="0.3">
      <c r="A15">
        <v>1400</v>
      </c>
      <c r="B15">
        <v>8</v>
      </c>
      <c r="C15">
        <v>50.067999999999998</v>
      </c>
      <c r="D15">
        <v>0</v>
      </c>
      <c r="E15">
        <v>0.94760999999999995</v>
      </c>
      <c r="F15">
        <v>0</v>
      </c>
      <c r="G15">
        <v>2.14E-3</v>
      </c>
      <c r="H15" t="s">
        <v>173</v>
      </c>
      <c r="I15" t="s">
        <v>173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I15"/>
  <sheetViews>
    <sheetView workbookViewId="0">
      <selection activeCell="G15" activeCellId="2" sqref="C15 E15 G15"/>
    </sheetView>
  </sheetViews>
  <sheetFormatPr defaultRowHeight="14.4" x14ac:dyDescent="0.3"/>
  <sheetData>
    <row r="1" spans="1:9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3">
      <c r="A2">
        <v>100</v>
      </c>
      <c r="B2">
        <v>7</v>
      </c>
      <c r="C2">
        <v>115.687</v>
      </c>
      <c r="D2">
        <v>0</v>
      </c>
      <c r="E2">
        <v>0.86131999999999997</v>
      </c>
      <c r="F2">
        <v>0</v>
      </c>
      <c r="G2">
        <v>9.0489999999999998E-3</v>
      </c>
      <c r="H2" t="s">
        <v>173</v>
      </c>
      <c r="I2" t="s">
        <v>173</v>
      </c>
    </row>
    <row r="3" spans="1:9" x14ac:dyDescent="0.3">
      <c r="A3">
        <v>200</v>
      </c>
      <c r="B3">
        <v>7</v>
      </c>
      <c r="C3">
        <v>85.385999999999996</v>
      </c>
      <c r="D3">
        <v>0</v>
      </c>
      <c r="E3">
        <v>0.88680000000000003</v>
      </c>
      <c r="F3">
        <v>0</v>
      </c>
      <c r="G3">
        <v>5.8939999999999999E-3</v>
      </c>
      <c r="H3" t="s">
        <v>173</v>
      </c>
      <c r="I3" t="s">
        <v>173</v>
      </c>
    </row>
    <row r="4" spans="1:9" x14ac:dyDescent="0.3">
      <c r="A4">
        <v>300</v>
      </c>
      <c r="B4">
        <v>7</v>
      </c>
      <c r="C4">
        <v>76.344999999999999</v>
      </c>
      <c r="D4">
        <v>0</v>
      </c>
      <c r="E4">
        <v>0.89422000000000001</v>
      </c>
      <c r="F4">
        <v>0</v>
      </c>
      <c r="G4">
        <v>5.2030000000000002E-3</v>
      </c>
      <c r="H4" t="s">
        <v>173</v>
      </c>
      <c r="I4" t="s">
        <v>173</v>
      </c>
    </row>
    <row r="5" spans="1:9" x14ac:dyDescent="0.3">
      <c r="A5">
        <v>400</v>
      </c>
      <c r="B5">
        <v>7</v>
      </c>
      <c r="C5">
        <v>74.045000000000002</v>
      </c>
      <c r="D5">
        <v>0</v>
      </c>
      <c r="E5">
        <v>0.90066999999999997</v>
      </c>
      <c r="F5">
        <v>0</v>
      </c>
      <c r="G5">
        <v>5.0029999999999996E-3</v>
      </c>
      <c r="H5" t="s">
        <v>173</v>
      </c>
      <c r="I5" t="s">
        <v>173</v>
      </c>
    </row>
    <row r="6" spans="1:9" x14ac:dyDescent="0.3">
      <c r="A6">
        <v>500</v>
      </c>
      <c r="B6">
        <v>7</v>
      </c>
      <c r="C6">
        <v>72.44</v>
      </c>
      <c r="D6">
        <v>0</v>
      </c>
      <c r="E6">
        <v>0.90744000000000002</v>
      </c>
      <c r="F6">
        <v>0</v>
      </c>
      <c r="G6">
        <v>4.8089999999999999E-3</v>
      </c>
      <c r="H6" t="s">
        <v>173</v>
      </c>
      <c r="I6" t="s">
        <v>173</v>
      </c>
    </row>
    <row r="7" spans="1:9" x14ac:dyDescent="0.3">
      <c r="A7">
        <v>600</v>
      </c>
      <c r="B7">
        <v>7</v>
      </c>
      <c r="C7">
        <v>70.313999999999993</v>
      </c>
      <c r="D7">
        <v>0</v>
      </c>
      <c r="E7">
        <v>0.91293000000000002</v>
      </c>
      <c r="F7">
        <v>0</v>
      </c>
      <c r="G7">
        <v>4.5459999999999997E-3</v>
      </c>
      <c r="H7" t="s">
        <v>173</v>
      </c>
      <c r="I7" t="s">
        <v>173</v>
      </c>
    </row>
    <row r="8" spans="1:9" x14ac:dyDescent="0.3">
      <c r="A8">
        <v>700</v>
      </c>
      <c r="B8">
        <v>7</v>
      </c>
      <c r="C8">
        <v>69.578999999999994</v>
      </c>
      <c r="D8">
        <v>0</v>
      </c>
      <c r="E8">
        <v>0.91671999999999998</v>
      </c>
      <c r="F8">
        <v>0</v>
      </c>
      <c r="G8">
        <v>4.3759999999999997E-3</v>
      </c>
      <c r="H8" t="s">
        <v>173</v>
      </c>
      <c r="I8" t="s">
        <v>173</v>
      </c>
    </row>
    <row r="9" spans="1:9" x14ac:dyDescent="0.3">
      <c r="A9">
        <v>800</v>
      </c>
      <c r="B9">
        <v>7</v>
      </c>
      <c r="C9">
        <v>69.671999999999997</v>
      </c>
      <c r="D9">
        <v>0</v>
      </c>
      <c r="E9">
        <v>0.91942000000000002</v>
      </c>
      <c r="F9">
        <v>0</v>
      </c>
      <c r="G9">
        <v>4.274E-3</v>
      </c>
      <c r="H9" t="s">
        <v>173</v>
      </c>
      <c r="I9" t="s">
        <v>173</v>
      </c>
    </row>
    <row r="10" spans="1:9" x14ac:dyDescent="0.3">
      <c r="A10">
        <v>900</v>
      </c>
      <c r="B10">
        <v>7</v>
      </c>
      <c r="C10">
        <v>69.671999999999997</v>
      </c>
      <c r="D10">
        <v>0</v>
      </c>
      <c r="E10">
        <v>0.92169999999999996</v>
      </c>
      <c r="F10">
        <v>0</v>
      </c>
      <c r="G10">
        <v>4.1869999999999997E-3</v>
      </c>
      <c r="H10" t="s">
        <v>173</v>
      </c>
      <c r="I10" t="s">
        <v>173</v>
      </c>
    </row>
    <row r="11" spans="1:9" x14ac:dyDescent="0.3">
      <c r="A11">
        <v>1000</v>
      </c>
      <c r="B11">
        <v>7</v>
      </c>
      <c r="C11">
        <v>58.368000000000002</v>
      </c>
      <c r="D11">
        <v>0</v>
      </c>
      <c r="E11">
        <v>0.93001</v>
      </c>
      <c r="F11">
        <v>0</v>
      </c>
      <c r="G11">
        <v>3.055E-3</v>
      </c>
      <c r="H11" t="s">
        <v>173</v>
      </c>
      <c r="I11" t="s">
        <v>173</v>
      </c>
    </row>
    <row r="12" spans="1:9" x14ac:dyDescent="0.3">
      <c r="A12">
        <v>1100</v>
      </c>
      <c r="B12">
        <v>7</v>
      </c>
      <c r="C12">
        <v>55.216999999999999</v>
      </c>
      <c r="D12">
        <v>0</v>
      </c>
      <c r="E12">
        <v>0.93577999999999995</v>
      </c>
      <c r="F12">
        <v>0</v>
      </c>
      <c r="G12">
        <v>2.813E-3</v>
      </c>
      <c r="H12" t="s">
        <v>173</v>
      </c>
      <c r="I12" t="s">
        <v>173</v>
      </c>
    </row>
    <row r="13" spans="1:9" x14ac:dyDescent="0.3">
      <c r="A13">
        <v>1200</v>
      </c>
      <c r="B13">
        <v>7</v>
      </c>
      <c r="C13">
        <v>54.512</v>
      </c>
      <c r="D13">
        <v>0</v>
      </c>
      <c r="E13">
        <v>0.93796999999999997</v>
      </c>
      <c r="F13">
        <v>0</v>
      </c>
      <c r="G13">
        <v>2.7109999999999999E-3</v>
      </c>
      <c r="H13" t="s">
        <v>173</v>
      </c>
      <c r="I13" t="s">
        <v>173</v>
      </c>
    </row>
    <row r="14" spans="1:9" x14ac:dyDescent="0.3">
      <c r="A14">
        <v>1300</v>
      </c>
      <c r="B14">
        <v>7</v>
      </c>
      <c r="C14">
        <v>53.851999999999997</v>
      </c>
      <c r="D14">
        <v>0</v>
      </c>
      <c r="E14">
        <v>0.93972</v>
      </c>
      <c r="F14">
        <v>0</v>
      </c>
      <c r="G14">
        <v>2.6259999999999999E-3</v>
      </c>
      <c r="H14" t="s">
        <v>173</v>
      </c>
      <c r="I14" t="s">
        <v>173</v>
      </c>
    </row>
    <row r="15" spans="1:9" x14ac:dyDescent="0.3">
      <c r="A15">
        <v>1400</v>
      </c>
      <c r="B15">
        <v>7</v>
      </c>
      <c r="C15">
        <v>53.237000000000002</v>
      </c>
      <c r="D15">
        <v>0</v>
      </c>
      <c r="E15">
        <v>0.94133999999999995</v>
      </c>
      <c r="F15">
        <v>0</v>
      </c>
      <c r="G15">
        <v>2.5439999999999998E-3</v>
      </c>
      <c r="H15" t="s">
        <v>173</v>
      </c>
      <c r="I15" t="s">
        <v>173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2:AS3975"/>
  <sheetViews>
    <sheetView topLeftCell="A379" workbookViewId="0">
      <selection activeCell="B2" sqref="B2:D418"/>
    </sheetView>
  </sheetViews>
  <sheetFormatPr defaultRowHeight="14.4" x14ac:dyDescent="0.3"/>
  <cols>
    <col min="33" max="33" width="12.88671875" bestFit="1" customWidth="1"/>
    <col min="34" max="34" width="10.44140625" bestFit="1" customWidth="1"/>
  </cols>
  <sheetData>
    <row r="2" spans="1:45" x14ac:dyDescent="0.3">
      <c r="A2" t="s">
        <v>156</v>
      </c>
      <c r="B2" t="s">
        <v>157</v>
      </c>
      <c r="C2" t="s">
        <v>158</v>
      </c>
      <c r="D2" t="s">
        <v>160</v>
      </c>
    </row>
    <row r="3" spans="1:45" x14ac:dyDescent="0.3">
      <c r="A3">
        <v>1</v>
      </c>
      <c r="B3">
        <v>1</v>
      </c>
      <c r="C3">
        <v>151</v>
      </c>
      <c r="D3">
        <v>146.35642999999999</v>
      </c>
      <c r="W3" t="s">
        <v>156</v>
      </c>
      <c r="X3" t="s">
        <v>157</v>
      </c>
      <c r="Y3" t="s">
        <v>158</v>
      </c>
      <c r="Z3" t="s">
        <v>160</v>
      </c>
      <c r="AB3" t="s">
        <v>159</v>
      </c>
    </row>
    <row r="4" spans="1:45" x14ac:dyDescent="0.3">
      <c r="A4">
        <v>2</v>
      </c>
      <c r="B4">
        <v>2</v>
      </c>
      <c r="C4">
        <v>49</v>
      </c>
      <c r="D4">
        <v>52.66375</v>
      </c>
      <c r="W4">
        <v>1</v>
      </c>
      <c r="X4">
        <v>1</v>
      </c>
      <c r="Y4">
        <v>151</v>
      </c>
      <c r="Z4">
        <v>146.35642999999999</v>
      </c>
      <c r="AA4">
        <f>ROUND(Z4,0)</f>
        <v>146</v>
      </c>
      <c r="AB4">
        <f>IF(AA4=Y4,0,1)</f>
        <v>1</v>
      </c>
      <c r="AC4">
        <f>IF(AA4&lt;Y4+5,IF(AA4&gt;Y4-5,0,1),1)</f>
        <v>1</v>
      </c>
      <c r="AD4">
        <f>IF(AA4&lt;Y4+10,IF(AA4&gt;Y4-10,0,1),1)</f>
        <v>0</v>
      </c>
      <c r="AF4" t="s">
        <v>161</v>
      </c>
      <c r="AG4" t="s">
        <v>127</v>
      </c>
      <c r="AH4" s="64" t="s">
        <v>162</v>
      </c>
      <c r="AL4" t="s">
        <v>156</v>
      </c>
      <c r="AM4" t="s">
        <v>174</v>
      </c>
      <c r="AN4" t="s">
        <v>157</v>
      </c>
      <c r="AO4" t="s">
        <v>174</v>
      </c>
      <c r="AP4" t="s">
        <v>158</v>
      </c>
      <c r="AQ4" t="s">
        <v>175</v>
      </c>
      <c r="AR4" t="s">
        <v>159</v>
      </c>
      <c r="AS4" t="s">
        <v>160</v>
      </c>
    </row>
    <row r="5" spans="1:45" x14ac:dyDescent="0.3">
      <c r="A5">
        <v>3</v>
      </c>
      <c r="B5">
        <v>8</v>
      </c>
      <c r="C5">
        <v>2</v>
      </c>
      <c r="D5">
        <v>0.29108000000000001</v>
      </c>
      <c r="W5">
        <v>2</v>
      </c>
      <c r="X5">
        <v>2</v>
      </c>
      <c r="Y5">
        <v>49</v>
      </c>
      <c r="Z5">
        <v>52.66375</v>
      </c>
      <c r="AA5">
        <f t="shared" ref="AA5:AA68" si="0">ROUND(Z5,0)</f>
        <v>53</v>
      </c>
      <c r="AB5">
        <f t="shared" ref="AB5:AB68" si="1">IF(AA5=Y5,0,1)</f>
        <v>1</v>
      </c>
      <c r="AC5">
        <f t="shared" ref="AC5:AC68" si="2">IF(AA5&lt;Y5+5,IF(AA5&gt;Y5-5,0,1),1)</f>
        <v>0</v>
      </c>
      <c r="AD5">
        <f t="shared" ref="AD5:AD68" si="3">IF(AA5&lt;Y5+10,IF(AA5&gt;Y5-10,0,1),1)</f>
        <v>0</v>
      </c>
      <c r="AE5">
        <f>COUNT($AB$4:$AB$19435)</f>
        <v>3972</v>
      </c>
      <c r="AF5">
        <f>COUNTIF($AB$4:$AB$19435,0)</f>
        <v>3577</v>
      </c>
      <c r="AG5">
        <f>COUNTIF($AB$4:$AB$19435,1)</f>
        <v>395</v>
      </c>
      <c r="AH5" s="64"/>
    </row>
    <row r="6" spans="1:45" x14ac:dyDescent="0.3">
      <c r="A6">
        <v>4</v>
      </c>
      <c r="B6">
        <v>9</v>
      </c>
      <c r="C6">
        <v>2</v>
      </c>
      <c r="D6">
        <v>6.4439999999999997E-2</v>
      </c>
      <c r="W6">
        <v>3</v>
      </c>
      <c r="X6">
        <v>8</v>
      </c>
      <c r="Y6">
        <v>2</v>
      </c>
      <c r="Z6">
        <v>0.29108000000000001</v>
      </c>
      <c r="AA6">
        <f t="shared" si="0"/>
        <v>0</v>
      </c>
      <c r="AB6">
        <f t="shared" si="1"/>
        <v>1</v>
      </c>
      <c r="AC6">
        <f t="shared" si="2"/>
        <v>0</v>
      </c>
      <c r="AD6">
        <f t="shared" si="3"/>
        <v>0</v>
      </c>
      <c r="AH6" s="64"/>
    </row>
    <row r="7" spans="1:45" x14ac:dyDescent="0.3">
      <c r="A7">
        <v>5</v>
      </c>
      <c r="B7">
        <v>10</v>
      </c>
      <c r="C7">
        <v>2</v>
      </c>
      <c r="D7">
        <v>0.12881000000000001</v>
      </c>
      <c r="W7">
        <v>4</v>
      </c>
      <c r="X7">
        <v>9</v>
      </c>
      <c r="Y7">
        <v>2</v>
      </c>
      <c r="Z7">
        <v>6.4439999999999997E-2</v>
      </c>
      <c r="AA7">
        <f t="shared" si="0"/>
        <v>0</v>
      </c>
      <c r="AB7">
        <f t="shared" si="1"/>
        <v>1</v>
      </c>
      <c r="AC7">
        <f t="shared" si="2"/>
        <v>0</v>
      </c>
      <c r="AD7">
        <f t="shared" si="3"/>
        <v>0</v>
      </c>
      <c r="AF7">
        <f>AF5*100/$AE$5</f>
        <v>90.055387713997987</v>
      </c>
      <c r="AG7">
        <f>AG5*100/$AE$5</f>
        <v>9.9446122860020143</v>
      </c>
      <c r="AH7" s="64"/>
    </row>
    <row r="8" spans="1:45" x14ac:dyDescent="0.3">
      <c r="A8">
        <v>6</v>
      </c>
      <c r="B8">
        <v>11</v>
      </c>
      <c r="C8">
        <v>12</v>
      </c>
      <c r="D8">
        <v>9.2748600000000003</v>
      </c>
      <c r="W8">
        <v>5</v>
      </c>
      <c r="X8">
        <v>10</v>
      </c>
      <c r="Y8">
        <v>2</v>
      </c>
      <c r="Z8">
        <v>0.12881000000000001</v>
      </c>
      <c r="AA8">
        <f t="shared" si="0"/>
        <v>0</v>
      </c>
      <c r="AB8">
        <f t="shared" si="1"/>
        <v>1</v>
      </c>
      <c r="AC8">
        <f t="shared" si="2"/>
        <v>0</v>
      </c>
      <c r="AD8">
        <f t="shared" si="3"/>
        <v>0</v>
      </c>
    </row>
    <row r="9" spans="1:45" x14ac:dyDescent="0.3">
      <c r="A9">
        <v>7</v>
      </c>
      <c r="B9">
        <v>12</v>
      </c>
      <c r="C9">
        <v>42</v>
      </c>
      <c r="D9">
        <v>47.109740000000002</v>
      </c>
      <c r="K9">
        <v>-500</v>
      </c>
      <c r="L9">
        <v>500</v>
      </c>
      <c r="W9">
        <v>6</v>
      </c>
      <c r="X9">
        <v>11</v>
      </c>
      <c r="Y9">
        <v>12</v>
      </c>
      <c r="Z9">
        <v>9.2748600000000003</v>
      </c>
      <c r="AA9">
        <f t="shared" si="0"/>
        <v>9</v>
      </c>
      <c r="AB9">
        <f t="shared" si="1"/>
        <v>1</v>
      </c>
      <c r="AC9">
        <f t="shared" si="2"/>
        <v>0</v>
      </c>
      <c r="AD9">
        <f t="shared" si="3"/>
        <v>0</v>
      </c>
    </row>
    <row r="10" spans="1:45" x14ac:dyDescent="0.3">
      <c r="A10">
        <v>8</v>
      </c>
      <c r="B10">
        <v>14</v>
      </c>
      <c r="C10">
        <v>94</v>
      </c>
      <c r="D10">
        <v>61.250430000000001</v>
      </c>
      <c r="K10">
        <v>-500</v>
      </c>
      <c r="L10">
        <v>500</v>
      </c>
      <c r="W10">
        <v>7</v>
      </c>
      <c r="X10">
        <v>12</v>
      </c>
      <c r="Y10">
        <v>42</v>
      </c>
      <c r="Z10">
        <v>47.109740000000002</v>
      </c>
      <c r="AA10">
        <f t="shared" si="0"/>
        <v>47</v>
      </c>
      <c r="AB10">
        <f t="shared" si="1"/>
        <v>1</v>
      </c>
      <c r="AC10">
        <f t="shared" si="2"/>
        <v>1</v>
      </c>
      <c r="AD10">
        <f t="shared" si="3"/>
        <v>0</v>
      </c>
    </row>
    <row r="11" spans="1:45" x14ac:dyDescent="0.3">
      <c r="A11">
        <v>9</v>
      </c>
      <c r="B11">
        <v>15</v>
      </c>
      <c r="C11">
        <v>180</v>
      </c>
      <c r="D11">
        <v>169.56334000000001</v>
      </c>
      <c r="W11">
        <v>8</v>
      </c>
      <c r="X11">
        <v>14</v>
      </c>
      <c r="Y11">
        <v>94</v>
      </c>
      <c r="Z11">
        <v>61.250430000000001</v>
      </c>
      <c r="AA11">
        <f t="shared" si="0"/>
        <v>61</v>
      </c>
      <c r="AB11">
        <f t="shared" si="1"/>
        <v>1</v>
      </c>
      <c r="AC11">
        <f t="shared" si="2"/>
        <v>1</v>
      </c>
      <c r="AD11">
        <f t="shared" si="3"/>
        <v>1</v>
      </c>
      <c r="AF11" t="s">
        <v>161</v>
      </c>
      <c r="AG11" t="s">
        <v>127</v>
      </c>
      <c r="AH11" s="64" t="s">
        <v>176</v>
      </c>
    </row>
    <row r="12" spans="1:45" x14ac:dyDescent="0.3">
      <c r="A12">
        <v>10</v>
      </c>
      <c r="B12">
        <v>18</v>
      </c>
      <c r="C12">
        <v>11</v>
      </c>
      <c r="D12">
        <v>11.23176</v>
      </c>
      <c r="W12">
        <v>9</v>
      </c>
      <c r="X12">
        <v>15</v>
      </c>
      <c r="Y12">
        <v>180</v>
      </c>
      <c r="Z12">
        <v>169.56334000000001</v>
      </c>
      <c r="AA12">
        <f t="shared" si="0"/>
        <v>170</v>
      </c>
      <c r="AB12">
        <f t="shared" si="1"/>
        <v>1</v>
      </c>
      <c r="AC12">
        <f t="shared" si="2"/>
        <v>1</v>
      </c>
      <c r="AD12">
        <f t="shared" si="3"/>
        <v>1</v>
      </c>
      <c r="AE12">
        <f>COUNT($AB$4:$AB$19435)</f>
        <v>3972</v>
      </c>
      <c r="AF12">
        <f>COUNTIF($AC$4:$AC$19435,0)</f>
        <v>3720</v>
      </c>
      <c r="AG12">
        <f>COUNTIF($AC$4:$AC$19435,1)</f>
        <v>252</v>
      </c>
      <c r="AH12" s="64"/>
    </row>
    <row r="13" spans="1:45" x14ac:dyDescent="0.3">
      <c r="A13">
        <v>11</v>
      </c>
      <c r="B13">
        <v>19</v>
      </c>
      <c r="C13">
        <v>37</v>
      </c>
      <c r="D13">
        <v>38.057409999999997</v>
      </c>
      <c r="W13">
        <v>10</v>
      </c>
      <c r="X13">
        <v>18</v>
      </c>
      <c r="Y13">
        <v>11</v>
      </c>
      <c r="Z13">
        <v>11.23176</v>
      </c>
      <c r="AA13">
        <f t="shared" si="0"/>
        <v>11</v>
      </c>
      <c r="AB13">
        <f t="shared" si="1"/>
        <v>0</v>
      </c>
      <c r="AC13">
        <f t="shared" si="2"/>
        <v>0</v>
      </c>
      <c r="AD13">
        <f t="shared" si="3"/>
        <v>0</v>
      </c>
      <c r="AH13" s="64"/>
    </row>
    <row r="14" spans="1:45" x14ac:dyDescent="0.3">
      <c r="A14">
        <v>12</v>
      </c>
      <c r="B14">
        <v>21</v>
      </c>
      <c r="C14">
        <v>6</v>
      </c>
      <c r="D14">
        <v>9.7500000000000003E-2</v>
      </c>
      <c r="W14">
        <v>11</v>
      </c>
      <c r="X14">
        <v>19</v>
      </c>
      <c r="Y14">
        <v>37</v>
      </c>
      <c r="Z14">
        <v>38.057409999999997</v>
      </c>
      <c r="AA14">
        <f t="shared" si="0"/>
        <v>38</v>
      </c>
      <c r="AB14">
        <f t="shared" si="1"/>
        <v>1</v>
      </c>
      <c r="AC14">
        <f t="shared" si="2"/>
        <v>0</v>
      </c>
      <c r="AD14">
        <f t="shared" si="3"/>
        <v>0</v>
      </c>
      <c r="AF14">
        <f>AF12*100/$AE$5</f>
        <v>93.655589123867074</v>
      </c>
      <c r="AG14">
        <f>AG12*100/$AE$5</f>
        <v>6.3444108761329305</v>
      </c>
      <c r="AH14" s="64"/>
    </row>
    <row r="15" spans="1:45" x14ac:dyDescent="0.3">
      <c r="A15">
        <v>13</v>
      </c>
      <c r="B15">
        <v>23</v>
      </c>
      <c r="C15">
        <v>15</v>
      </c>
      <c r="D15">
        <v>6.41</v>
      </c>
      <c r="W15">
        <v>12</v>
      </c>
      <c r="X15">
        <v>21</v>
      </c>
      <c r="Y15">
        <v>6</v>
      </c>
      <c r="Z15">
        <v>9.7500000000000003E-2</v>
      </c>
      <c r="AA15">
        <f t="shared" si="0"/>
        <v>0</v>
      </c>
      <c r="AB15">
        <f t="shared" si="1"/>
        <v>1</v>
      </c>
      <c r="AC15">
        <f t="shared" si="2"/>
        <v>1</v>
      </c>
      <c r="AD15">
        <f t="shared" si="3"/>
        <v>0</v>
      </c>
    </row>
    <row r="16" spans="1:45" x14ac:dyDescent="0.3">
      <c r="A16">
        <v>14</v>
      </c>
      <c r="B16">
        <v>24</v>
      </c>
      <c r="C16">
        <v>44</v>
      </c>
      <c r="D16">
        <v>45.120800000000003</v>
      </c>
      <c r="W16">
        <v>13</v>
      </c>
      <c r="X16">
        <v>23</v>
      </c>
      <c r="Y16">
        <v>15</v>
      </c>
      <c r="Z16">
        <v>6.41</v>
      </c>
      <c r="AA16">
        <f t="shared" si="0"/>
        <v>6</v>
      </c>
      <c r="AB16">
        <f t="shared" si="1"/>
        <v>1</v>
      </c>
      <c r="AC16">
        <f t="shared" si="2"/>
        <v>1</v>
      </c>
      <c r="AD16">
        <f t="shared" si="3"/>
        <v>0</v>
      </c>
    </row>
    <row r="17" spans="1:34" x14ac:dyDescent="0.3">
      <c r="A17">
        <v>15</v>
      </c>
      <c r="B17">
        <v>26</v>
      </c>
      <c r="C17">
        <v>54</v>
      </c>
      <c r="D17">
        <v>41.580509999999997</v>
      </c>
      <c r="W17">
        <v>14</v>
      </c>
      <c r="X17">
        <v>24</v>
      </c>
      <c r="Y17">
        <v>44</v>
      </c>
      <c r="Z17">
        <v>45.120800000000003</v>
      </c>
      <c r="AA17">
        <f t="shared" si="0"/>
        <v>45</v>
      </c>
      <c r="AB17">
        <f t="shared" si="1"/>
        <v>1</v>
      </c>
      <c r="AC17">
        <f t="shared" si="2"/>
        <v>0</v>
      </c>
      <c r="AD17">
        <f t="shared" si="3"/>
        <v>0</v>
      </c>
    </row>
    <row r="18" spans="1:34" x14ac:dyDescent="0.3">
      <c r="A18">
        <v>16</v>
      </c>
      <c r="B18">
        <v>34</v>
      </c>
      <c r="C18">
        <v>1</v>
      </c>
      <c r="D18">
        <v>0.15565000000000001</v>
      </c>
      <c r="W18">
        <v>15</v>
      </c>
      <c r="X18">
        <v>26</v>
      </c>
      <c r="Y18">
        <v>54</v>
      </c>
      <c r="Z18">
        <v>41.580509999999997</v>
      </c>
      <c r="AA18">
        <f t="shared" si="0"/>
        <v>42</v>
      </c>
      <c r="AB18">
        <f t="shared" si="1"/>
        <v>1</v>
      </c>
      <c r="AC18">
        <f t="shared" si="2"/>
        <v>1</v>
      </c>
      <c r="AD18">
        <f t="shared" si="3"/>
        <v>1</v>
      </c>
      <c r="AF18" t="s">
        <v>161</v>
      </c>
      <c r="AG18" t="s">
        <v>127</v>
      </c>
      <c r="AH18" s="64" t="s">
        <v>177</v>
      </c>
    </row>
    <row r="19" spans="1:34" x14ac:dyDescent="0.3">
      <c r="A19">
        <v>17</v>
      </c>
      <c r="B19">
        <v>35</v>
      </c>
      <c r="C19">
        <v>8</v>
      </c>
      <c r="D19">
        <v>0.69671000000000005</v>
      </c>
      <c r="W19">
        <v>16</v>
      </c>
      <c r="X19">
        <v>34</v>
      </c>
      <c r="Y19">
        <v>1</v>
      </c>
      <c r="Z19">
        <v>0.15565000000000001</v>
      </c>
      <c r="AA19">
        <f t="shared" si="0"/>
        <v>0</v>
      </c>
      <c r="AB19">
        <f t="shared" si="1"/>
        <v>1</v>
      </c>
      <c r="AC19">
        <f t="shared" si="2"/>
        <v>0</v>
      </c>
      <c r="AD19">
        <f t="shared" si="3"/>
        <v>0</v>
      </c>
      <c r="AE19">
        <f>COUNT($AB$4:$AB$19435)</f>
        <v>3972</v>
      </c>
      <c r="AF19">
        <f>COUNTIF($AD$4:$AD$19435,0)</f>
        <v>3851</v>
      </c>
      <c r="AG19">
        <f>COUNTIF($AD$4:$AD$19435,1)</f>
        <v>121</v>
      </c>
      <c r="AH19" s="64"/>
    </row>
    <row r="20" spans="1:34" x14ac:dyDescent="0.3">
      <c r="A20">
        <v>18</v>
      </c>
      <c r="B20">
        <v>37</v>
      </c>
      <c r="C20">
        <v>6</v>
      </c>
      <c r="D20">
        <v>10.31427</v>
      </c>
      <c r="W20">
        <v>17</v>
      </c>
      <c r="X20">
        <v>35</v>
      </c>
      <c r="Y20">
        <v>8</v>
      </c>
      <c r="Z20">
        <v>0.69671000000000005</v>
      </c>
      <c r="AA20">
        <f t="shared" si="0"/>
        <v>1</v>
      </c>
      <c r="AB20">
        <f t="shared" si="1"/>
        <v>1</v>
      </c>
      <c r="AC20">
        <f t="shared" si="2"/>
        <v>1</v>
      </c>
      <c r="AD20">
        <f t="shared" si="3"/>
        <v>0</v>
      </c>
      <c r="AH20" s="64"/>
    </row>
    <row r="21" spans="1:34" x14ac:dyDescent="0.3">
      <c r="A21">
        <v>19</v>
      </c>
      <c r="B21">
        <v>38</v>
      </c>
      <c r="C21">
        <v>21</v>
      </c>
      <c r="D21">
        <v>47.152520000000003</v>
      </c>
      <c r="W21">
        <v>18</v>
      </c>
      <c r="X21">
        <v>37</v>
      </c>
      <c r="Y21">
        <v>6</v>
      </c>
      <c r="Z21">
        <v>10.31427</v>
      </c>
      <c r="AA21">
        <f t="shared" si="0"/>
        <v>10</v>
      </c>
      <c r="AB21">
        <f t="shared" si="1"/>
        <v>1</v>
      </c>
      <c r="AC21">
        <f t="shared" si="2"/>
        <v>0</v>
      </c>
      <c r="AD21">
        <f t="shared" si="3"/>
        <v>0</v>
      </c>
      <c r="AF21">
        <f>AF19*100/$AE$5</f>
        <v>96.953675730110774</v>
      </c>
      <c r="AG21">
        <f>AG19*100/$AE$5</f>
        <v>3.0463242698892246</v>
      </c>
      <c r="AH21" s="64"/>
    </row>
    <row r="22" spans="1:34" x14ac:dyDescent="0.3">
      <c r="A22">
        <v>20</v>
      </c>
      <c r="B22">
        <v>39</v>
      </c>
      <c r="C22">
        <v>21</v>
      </c>
      <c r="D22">
        <v>42.958530000000003</v>
      </c>
      <c r="W22">
        <v>19</v>
      </c>
      <c r="X22">
        <v>38</v>
      </c>
      <c r="Y22">
        <v>21</v>
      </c>
      <c r="Z22">
        <v>47.152520000000003</v>
      </c>
      <c r="AA22">
        <f t="shared" si="0"/>
        <v>47</v>
      </c>
      <c r="AB22">
        <f t="shared" si="1"/>
        <v>1</v>
      </c>
      <c r="AC22">
        <f t="shared" si="2"/>
        <v>1</v>
      </c>
      <c r="AD22">
        <f t="shared" si="3"/>
        <v>1</v>
      </c>
    </row>
    <row r="23" spans="1:34" x14ac:dyDescent="0.3">
      <c r="A23">
        <v>21</v>
      </c>
      <c r="B23">
        <v>40</v>
      </c>
      <c r="C23">
        <v>4</v>
      </c>
      <c r="D23">
        <v>6.8627599999999997</v>
      </c>
      <c r="W23">
        <v>20</v>
      </c>
      <c r="X23">
        <v>39</v>
      </c>
      <c r="Y23">
        <v>21</v>
      </c>
      <c r="Z23">
        <v>42.958530000000003</v>
      </c>
      <c r="AA23">
        <f t="shared" si="0"/>
        <v>43</v>
      </c>
      <c r="AB23">
        <f t="shared" si="1"/>
        <v>1</v>
      </c>
      <c r="AC23">
        <f t="shared" si="2"/>
        <v>1</v>
      </c>
      <c r="AD23">
        <f t="shared" si="3"/>
        <v>1</v>
      </c>
    </row>
    <row r="24" spans="1:34" x14ac:dyDescent="0.3">
      <c r="A24">
        <v>22</v>
      </c>
      <c r="B24">
        <v>41</v>
      </c>
      <c r="C24">
        <v>22</v>
      </c>
      <c r="D24">
        <v>19.203240000000001</v>
      </c>
      <c r="W24">
        <v>21</v>
      </c>
      <c r="X24">
        <v>40</v>
      </c>
      <c r="Y24">
        <v>4</v>
      </c>
      <c r="Z24">
        <v>6.8627599999999997</v>
      </c>
      <c r="AA24">
        <f t="shared" si="0"/>
        <v>7</v>
      </c>
      <c r="AB24">
        <f t="shared" si="1"/>
        <v>1</v>
      </c>
      <c r="AC24">
        <f t="shared" si="2"/>
        <v>0</v>
      </c>
      <c r="AD24">
        <f t="shared" si="3"/>
        <v>0</v>
      </c>
    </row>
    <row r="25" spans="1:34" x14ac:dyDescent="0.3">
      <c r="A25">
        <v>23</v>
      </c>
      <c r="B25">
        <v>42</v>
      </c>
      <c r="C25">
        <v>22</v>
      </c>
      <c r="D25">
        <v>21.201059999999998</v>
      </c>
      <c r="W25">
        <v>22</v>
      </c>
      <c r="X25">
        <v>41</v>
      </c>
      <c r="Y25">
        <v>22</v>
      </c>
      <c r="Z25">
        <v>19.203240000000001</v>
      </c>
      <c r="AA25">
        <f t="shared" si="0"/>
        <v>19</v>
      </c>
      <c r="AB25">
        <f t="shared" si="1"/>
        <v>1</v>
      </c>
      <c r="AC25">
        <f t="shared" si="2"/>
        <v>0</v>
      </c>
      <c r="AD25">
        <f t="shared" si="3"/>
        <v>0</v>
      </c>
    </row>
    <row r="26" spans="1:34" x14ac:dyDescent="0.3">
      <c r="A26">
        <v>24</v>
      </c>
      <c r="B26">
        <v>43</v>
      </c>
      <c r="C26">
        <v>3</v>
      </c>
      <c r="D26">
        <v>1.3694999999999999</v>
      </c>
      <c r="W26">
        <v>23</v>
      </c>
      <c r="X26">
        <v>42</v>
      </c>
      <c r="Y26">
        <v>22</v>
      </c>
      <c r="Z26">
        <v>21.201059999999998</v>
      </c>
      <c r="AA26">
        <f t="shared" si="0"/>
        <v>21</v>
      </c>
      <c r="AB26">
        <f t="shared" si="1"/>
        <v>1</v>
      </c>
      <c r="AC26">
        <f t="shared" si="2"/>
        <v>0</v>
      </c>
      <c r="AD26">
        <f t="shared" si="3"/>
        <v>0</v>
      </c>
    </row>
    <row r="27" spans="1:34" x14ac:dyDescent="0.3">
      <c r="A27">
        <v>25</v>
      </c>
      <c r="B27">
        <v>44</v>
      </c>
      <c r="C27">
        <v>11</v>
      </c>
      <c r="D27">
        <v>6.6600400000000004</v>
      </c>
      <c r="W27">
        <v>24</v>
      </c>
      <c r="X27">
        <v>43</v>
      </c>
      <c r="Y27">
        <v>3</v>
      </c>
      <c r="Z27">
        <v>1.3694999999999999</v>
      </c>
      <c r="AA27">
        <f t="shared" si="0"/>
        <v>1</v>
      </c>
      <c r="AB27">
        <f t="shared" si="1"/>
        <v>1</v>
      </c>
      <c r="AC27">
        <f t="shared" si="2"/>
        <v>0</v>
      </c>
      <c r="AD27">
        <f t="shared" si="3"/>
        <v>0</v>
      </c>
    </row>
    <row r="28" spans="1:34" ht="15" thickBot="1" x14ac:dyDescent="0.35">
      <c r="A28">
        <v>26</v>
      </c>
      <c r="B28">
        <v>45</v>
      </c>
      <c r="C28">
        <v>35</v>
      </c>
      <c r="D28">
        <v>30.187139999999999</v>
      </c>
      <c r="W28">
        <v>25</v>
      </c>
      <c r="X28">
        <v>44</v>
      </c>
      <c r="Y28">
        <v>11</v>
      </c>
      <c r="Z28">
        <v>6.6600400000000004</v>
      </c>
      <c r="AA28">
        <f t="shared" si="0"/>
        <v>7</v>
      </c>
      <c r="AB28">
        <f t="shared" si="1"/>
        <v>1</v>
      </c>
      <c r="AC28">
        <f t="shared" si="2"/>
        <v>0</v>
      </c>
      <c r="AD28">
        <f t="shared" si="3"/>
        <v>0</v>
      </c>
    </row>
    <row r="29" spans="1:34" x14ac:dyDescent="0.3">
      <c r="A29">
        <v>27</v>
      </c>
      <c r="B29">
        <v>48</v>
      </c>
      <c r="C29">
        <v>4</v>
      </c>
      <c r="D29">
        <v>3.3603399999999999</v>
      </c>
      <c r="W29">
        <v>26</v>
      </c>
      <c r="X29">
        <v>45</v>
      </c>
      <c r="Y29">
        <v>35</v>
      </c>
      <c r="Z29">
        <v>30.187139999999999</v>
      </c>
      <c r="AA29">
        <f t="shared" si="0"/>
        <v>30</v>
      </c>
      <c r="AB29">
        <f t="shared" si="1"/>
        <v>1</v>
      </c>
      <c r="AC29">
        <f t="shared" si="2"/>
        <v>1</v>
      </c>
      <c r="AD29">
        <f t="shared" si="3"/>
        <v>0</v>
      </c>
      <c r="AG29" s="18" t="s">
        <v>165</v>
      </c>
      <c r="AH29" s="19" t="s">
        <v>163</v>
      </c>
    </row>
    <row r="30" spans="1:34" x14ac:dyDescent="0.3">
      <c r="A30">
        <v>28</v>
      </c>
      <c r="B30">
        <v>49</v>
      </c>
      <c r="C30">
        <v>10</v>
      </c>
      <c r="D30">
        <v>24.482379999999999</v>
      </c>
      <c r="W30">
        <v>27</v>
      </c>
      <c r="X30">
        <v>48</v>
      </c>
      <c r="Y30">
        <v>4</v>
      </c>
      <c r="Z30">
        <v>3.3603399999999999</v>
      </c>
      <c r="AA30">
        <f t="shared" si="0"/>
        <v>3</v>
      </c>
      <c r="AB30">
        <f t="shared" si="1"/>
        <v>1</v>
      </c>
      <c r="AC30">
        <f t="shared" si="2"/>
        <v>0</v>
      </c>
      <c r="AD30">
        <f t="shared" si="3"/>
        <v>0</v>
      </c>
      <c r="AG30" s="20" t="s">
        <v>164</v>
      </c>
      <c r="AH30" s="21">
        <f>ROUND(AF7,2)</f>
        <v>90.06</v>
      </c>
    </row>
    <row r="31" spans="1:34" x14ac:dyDescent="0.3">
      <c r="A31">
        <v>29</v>
      </c>
      <c r="B31">
        <v>50</v>
      </c>
      <c r="C31">
        <v>10</v>
      </c>
      <c r="D31">
        <v>18.049189999999999</v>
      </c>
      <c r="W31">
        <v>28</v>
      </c>
      <c r="X31">
        <v>49</v>
      </c>
      <c r="Y31">
        <v>10</v>
      </c>
      <c r="Z31">
        <v>24.482379999999999</v>
      </c>
      <c r="AA31">
        <f t="shared" si="0"/>
        <v>24</v>
      </c>
      <c r="AB31">
        <f t="shared" si="1"/>
        <v>1</v>
      </c>
      <c r="AC31">
        <f t="shared" si="2"/>
        <v>1</v>
      </c>
      <c r="AD31">
        <f t="shared" si="3"/>
        <v>1</v>
      </c>
      <c r="AG31" s="20" t="s">
        <v>178</v>
      </c>
      <c r="AH31" s="21">
        <f>ROUND(AF14,2)</f>
        <v>93.66</v>
      </c>
    </row>
    <row r="32" spans="1:34" ht="15" thickBot="1" x14ac:dyDescent="0.35">
      <c r="A32">
        <v>30</v>
      </c>
      <c r="B32">
        <v>52</v>
      </c>
      <c r="C32">
        <v>14</v>
      </c>
      <c r="D32">
        <v>13.860860000000001</v>
      </c>
      <c r="W32">
        <v>29</v>
      </c>
      <c r="X32">
        <v>50</v>
      </c>
      <c r="Y32">
        <v>10</v>
      </c>
      <c r="Z32">
        <v>18.049189999999999</v>
      </c>
      <c r="AA32">
        <f t="shared" si="0"/>
        <v>18</v>
      </c>
      <c r="AB32">
        <f t="shared" si="1"/>
        <v>1</v>
      </c>
      <c r="AC32">
        <f t="shared" si="2"/>
        <v>1</v>
      </c>
      <c r="AD32">
        <f t="shared" si="3"/>
        <v>0</v>
      </c>
      <c r="AG32" s="22" t="s">
        <v>179</v>
      </c>
      <c r="AH32" s="21">
        <f>ROUND(AF21,2)</f>
        <v>96.95</v>
      </c>
    </row>
    <row r="33" spans="1:30" x14ac:dyDescent="0.3">
      <c r="A33">
        <v>31</v>
      </c>
      <c r="B33">
        <v>53</v>
      </c>
      <c r="C33">
        <v>51</v>
      </c>
      <c r="D33">
        <v>61.048380000000002</v>
      </c>
      <c r="W33">
        <v>30</v>
      </c>
      <c r="X33">
        <v>52</v>
      </c>
      <c r="Y33">
        <v>14</v>
      </c>
      <c r="Z33">
        <v>13.860860000000001</v>
      </c>
      <c r="AA33">
        <f t="shared" si="0"/>
        <v>14</v>
      </c>
      <c r="AB33">
        <f t="shared" si="1"/>
        <v>0</v>
      </c>
      <c r="AC33">
        <f t="shared" si="2"/>
        <v>0</v>
      </c>
      <c r="AD33">
        <f t="shared" si="3"/>
        <v>0</v>
      </c>
    </row>
    <row r="34" spans="1:30" x14ac:dyDescent="0.3">
      <c r="A34">
        <v>32</v>
      </c>
      <c r="B34">
        <v>55</v>
      </c>
      <c r="C34">
        <v>8</v>
      </c>
      <c r="D34">
        <v>19.8964</v>
      </c>
      <c r="W34">
        <v>31</v>
      </c>
      <c r="X34">
        <v>53</v>
      </c>
      <c r="Y34">
        <v>51</v>
      </c>
      <c r="Z34">
        <v>61.048380000000002</v>
      </c>
      <c r="AA34">
        <f t="shared" si="0"/>
        <v>61</v>
      </c>
      <c r="AB34">
        <f t="shared" si="1"/>
        <v>1</v>
      </c>
      <c r="AC34">
        <f t="shared" si="2"/>
        <v>1</v>
      </c>
      <c r="AD34">
        <f t="shared" si="3"/>
        <v>1</v>
      </c>
    </row>
    <row r="35" spans="1:30" x14ac:dyDescent="0.3">
      <c r="A35">
        <v>33</v>
      </c>
      <c r="B35">
        <v>56</v>
      </c>
      <c r="C35">
        <v>44</v>
      </c>
      <c r="D35">
        <v>39.153449999999999</v>
      </c>
      <c r="W35">
        <v>32</v>
      </c>
      <c r="X35">
        <v>55</v>
      </c>
      <c r="Y35">
        <v>8</v>
      </c>
      <c r="Z35">
        <v>19.8964</v>
      </c>
      <c r="AA35">
        <f t="shared" si="0"/>
        <v>20</v>
      </c>
      <c r="AB35">
        <f t="shared" si="1"/>
        <v>1</v>
      </c>
      <c r="AC35">
        <f t="shared" si="2"/>
        <v>1</v>
      </c>
      <c r="AD35">
        <f t="shared" si="3"/>
        <v>1</v>
      </c>
    </row>
    <row r="36" spans="1:30" x14ac:dyDescent="0.3">
      <c r="A36">
        <v>34</v>
      </c>
      <c r="B36">
        <v>57</v>
      </c>
      <c r="C36">
        <v>45</v>
      </c>
      <c r="D36">
        <v>40.791629999999998</v>
      </c>
      <c r="W36">
        <v>33</v>
      </c>
      <c r="X36">
        <v>56</v>
      </c>
      <c r="Y36">
        <v>44</v>
      </c>
      <c r="Z36">
        <v>39.153449999999999</v>
      </c>
      <c r="AA36">
        <f t="shared" si="0"/>
        <v>39</v>
      </c>
      <c r="AB36">
        <f t="shared" si="1"/>
        <v>1</v>
      </c>
      <c r="AC36">
        <f t="shared" si="2"/>
        <v>1</v>
      </c>
      <c r="AD36">
        <f t="shared" si="3"/>
        <v>0</v>
      </c>
    </row>
    <row r="37" spans="1:30" x14ac:dyDescent="0.3">
      <c r="A37">
        <v>35</v>
      </c>
      <c r="B37">
        <v>58</v>
      </c>
      <c r="C37">
        <v>13</v>
      </c>
      <c r="D37">
        <v>2.7887</v>
      </c>
      <c r="W37">
        <v>34</v>
      </c>
      <c r="X37">
        <v>57</v>
      </c>
      <c r="Y37">
        <v>45</v>
      </c>
      <c r="Z37">
        <v>40.791629999999998</v>
      </c>
      <c r="AA37">
        <f t="shared" si="0"/>
        <v>41</v>
      </c>
      <c r="AB37">
        <f t="shared" si="1"/>
        <v>1</v>
      </c>
      <c r="AC37">
        <f t="shared" si="2"/>
        <v>0</v>
      </c>
      <c r="AD37">
        <f t="shared" si="3"/>
        <v>0</v>
      </c>
    </row>
    <row r="38" spans="1:30" x14ac:dyDescent="0.3">
      <c r="A38">
        <v>36</v>
      </c>
      <c r="B38">
        <v>59</v>
      </c>
      <c r="C38">
        <v>239</v>
      </c>
      <c r="D38">
        <v>241.53297000000001</v>
      </c>
      <c r="W38">
        <v>35</v>
      </c>
      <c r="X38">
        <v>58</v>
      </c>
      <c r="Y38">
        <v>13</v>
      </c>
      <c r="Z38">
        <v>2.7887</v>
      </c>
      <c r="AA38">
        <f t="shared" si="0"/>
        <v>3</v>
      </c>
      <c r="AB38">
        <f t="shared" si="1"/>
        <v>1</v>
      </c>
      <c r="AC38">
        <f t="shared" si="2"/>
        <v>1</v>
      </c>
      <c r="AD38">
        <f t="shared" si="3"/>
        <v>1</v>
      </c>
    </row>
    <row r="39" spans="1:30" x14ac:dyDescent="0.3">
      <c r="A39">
        <v>37</v>
      </c>
      <c r="B39">
        <v>60</v>
      </c>
      <c r="C39">
        <v>80</v>
      </c>
      <c r="D39">
        <v>79.281090000000006</v>
      </c>
      <c r="W39">
        <v>36</v>
      </c>
      <c r="X39">
        <v>59</v>
      </c>
      <c r="Y39">
        <v>239</v>
      </c>
      <c r="Z39">
        <v>241.53297000000001</v>
      </c>
      <c r="AA39">
        <f t="shared" si="0"/>
        <v>242</v>
      </c>
      <c r="AB39">
        <f t="shared" si="1"/>
        <v>1</v>
      </c>
      <c r="AC39">
        <f t="shared" si="2"/>
        <v>0</v>
      </c>
      <c r="AD39">
        <f t="shared" si="3"/>
        <v>0</v>
      </c>
    </row>
    <row r="40" spans="1:30" x14ac:dyDescent="0.3">
      <c r="A40">
        <v>38</v>
      </c>
      <c r="B40">
        <v>63</v>
      </c>
      <c r="C40">
        <v>37</v>
      </c>
      <c r="D40">
        <v>45.483289999999997</v>
      </c>
      <c r="W40">
        <v>37</v>
      </c>
      <c r="X40">
        <v>60</v>
      </c>
      <c r="Y40">
        <v>80</v>
      </c>
      <c r="Z40">
        <v>79.281090000000006</v>
      </c>
      <c r="AA40">
        <f t="shared" si="0"/>
        <v>79</v>
      </c>
      <c r="AB40">
        <f t="shared" si="1"/>
        <v>1</v>
      </c>
      <c r="AC40">
        <f t="shared" si="2"/>
        <v>0</v>
      </c>
      <c r="AD40">
        <f t="shared" si="3"/>
        <v>0</v>
      </c>
    </row>
    <row r="41" spans="1:30" x14ac:dyDescent="0.3">
      <c r="A41">
        <v>39</v>
      </c>
      <c r="B41">
        <v>64</v>
      </c>
      <c r="C41">
        <v>37</v>
      </c>
      <c r="D41">
        <v>48.308059999999998</v>
      </c>
      <c r="W41">
        <v>38</v>
      </c>
      <c r="X41">
        <v>63</v>
      </c>
      <c r="Y41">
        <v>37</v>
      </c>
      <c r="Z41">
        <v>45.483289999999997</v>
      </c>
      <c r="AA41">
        <f t="shared" si="0"/>
        <v>45</v>
      </c>
      <c r="AB41">
        <f t="shared" si="1"/>
        <v>1</v>
      </c>
      <c r="AC41">
        <f t="shared" si="2"/>
        <v>1</v>
      </c>
      <c r="AD41">
        <f t="shared" si="3"/>
        <v>0</v>
      </c>
    </row>
    <row r="42" spans="1:30" x14ac:dyDescent="0.3">
      <c r="A42">
        <v>40</v>
      </c>
      <c r="B42">
        <v>65</v>
      </c>
      <c r="C42">
        <v>8</v>
      </c>
      <c r="D42">
        <v>19.916499999999999</v>
      </c>
      <c r="W42">
        <v>39</v>
      </c>
      <c r="X42">
        <v>64</v>
      </c>
      <c r="Y42">
        <v>37</v>
      </c>
      <c r="Z42">
        <v>48.308059999999998</v>
      </c>
      <c r="AA42">
        <f t="shared" si="0"/>
        <v>48</v>
      </c>
      <c r="AB42">
        <f t="shared" si="1"/>
        <v>1</v>
      </c>
      <c r="AC42">
        <f t="shared" si="2"/>
        <v>1</v>
      </c>
      <c r="AD42">
        <f t="shared" si="3"/>
        <v>1</v>
      </c>
    </row>
    <row r="43" spans="1:30" x14ac:dyDescent="0.3">
      <c r="A43">
        <v>41</v>
      </c>
      <c r="B43">
        <v>67</v>
      </c>
      <c r="C43">
        <v>192</v>
      </c>
      <c r="D43">
        <v>189.512</v>
      </c>
      <c r="W43">
        <v>40</v>
      </c>
      <c r="X43">
        <v>65</v>
      </c>
      <c r="Y43">
        <v>8</v>
      </c>
      <c r="Z43">
        <v>19.916499999999999</v>
      </c>
      <c r="AA43">
        <f t="shared" si="0"/>
        <v>20</v>
      </c>
      <c r="AB43">
        <f t="shared" si="1"/>
        <v>1</v>
      </c>
      <c r="AC43">
        <f t="shared" si="2"/>
        <v>1</v>
      </c>
      <c r="AD43">
        <f t="shared" si="3"/>
        <v>1</v>
      </c>
    </row>
    <row r="44" spans="1:30" x14ac:dyDescent="0.3">
      <c r="A44">
        <v>42</v>
      </c>
      <c r="B44">
        <v>70</v>
      </c>
      <c r="C44">
        <v>46</v>
      </c>
      <c r="D44">
        <v>52.923729999999999</v>
      </c>
      <c r="W44">
        <v>41</v>
      </c>
      <c r="X44">
        <v>67</v>
      </c>
      <c r="Y44">
        <v>192</v>
      </c>
      <c r="Z44">
        <v>189.512</v>
      </c>
      <c r="AA44">
        <f t="shared" si="0"/>
        <v>190</v>
      </c>
      <c r="AB44">
        <f t="shared" si="1"/>
        <v>1</v>
      </c>
      <c r="AC44">
        <f t="shared" si="2"/>
        <v>0</v>
      </c>
      <c r="AD44">
        <f t="shared" si="3"/>
        <v>0</v>
      </c>
    </row>
    <row r="45" spans="1:30" x14ac:dyDescent="0.3">
      <c r="A45">
        <v>43</v>
      </c>
      <c r="B45">
        <v>74</v>
      </c>
      <c r="C45">
        <v>72</v>
      </c>
      <c r="D45">
        <v>55.103189999999998</v>
      </c>
      <c r="W45">
        <v>42</v>
      </c>
      <c r="X45">
        <v>70</v>
      </c>
      <c r="Y45">
        <v>46</v>
      </c>
      <c r="Z45">
        <v>52.923729999999999</v>
      </c>
      <c r="AA45">
        <f t="shared" si="0"/>
        <v>53</v>
      </c>
      <c r="AB45">
        <f t="shared" si="1"/>
        <v>1</v>
      </c>
      <c r="AC45">
        <f t="shared" si="2"/>
        <v>1</v>
      </c>
      <c r="AD45">
        <f t="shared" si="3"/>
        <v>0</v>
      </c>
    </row>
    <row r="46" spans="1:30" x14ac:dyDescent="0.3">
      <c r="A46">
        <v>44</v>
      </c>
      <c r="B46">
        <v>78</v>
      </c>
      <c r="C46">
        <v>48</v>
      </c>
      <c r="D46">
        <v>50.212040000000002</v>
      </c>
      <c r="W46">
        <v>43</v>
      </c>
      <c r="X46">
        <v>74</v>
      </c>
      <c r="Y46">
        <v>72</v>
      </c>
      <c r="Z46">
        <v>55.103189999999998</v>
      </c>
      <c r="AA46">
        <f t="shared" si="0"/>
        <v>55</v>
      </c>
      <c r="AB46">
        <f t="shared" si="1"/>
        <v>1</v>
      </c>
      <c r="AC46">
        <f t="shared" si="2"/>
        <v>1</v>
      </c>
      <c r="AD46">
        <f t="shared" si="3"/>
        <v>1</v>
      </c>
    </row>
    <row r="47" spans="1:30" x14ac:dyDescent="0.3">
      <c r="A47">
        <v>45</v>
      </c>
      <c r="B47">
        <v>79</v>
      </c>
      <c r="C47">
        <v>12</v>
      </c>
      <c r="D47">
        <v>39.203470000000003</v>
      </c>
      <c r="W47">
        <v>44</v>
      </c>
      <c r="X47">
        <v>78</v>
      </c>
      <c r="Y47">
        <v>48</v>
      </c>
      <c r="Z47">
        <v>50.212040000000002</v>
      </c>
      <c r="AA47">
        <f t="shared" si="0"/>
        <v>50</v>
      </c>
      <c r="AB47">
        <f t="shared" si="1"/>
        <v>1</v>
      </c>
      <c r="AC47">
        <f t="shared" si="2"/>
        <v>0</v>
      </c>
      <c r="AD47">
        <f t="shared" si="3"/>
        <v>0</v>
      </c>
    </row>
    <row r="48" spans="1:30" x14ac:dyDescent="0.3">
      <c r="A48">
        <v>46</v>
      </c>
      <c r="B48">
        <v>82</v>
      </c>
      <c r="C48">
        <v>209</v>
      </c>
      <c r="D48">
        <v>210.15002999999999</v>
      </c>
      <c r="W48">
        <v>45</v>
      </c>
      <c r="X48">
        <v>79</v>
      </c>
      <c r="Y48">
        <v>12</v>
      </c>
      <c r="Z48">
        <v>39.203470000000003</v>
      </c>
      <c r="AA48">
        <f t="shared" si="0"/>
        <v>39</v>
      </c>
      <c r="AB48">
        <f t="shared" si="1"/>
        <v>1</v>
      </c>
      <c r="AC48">
        <f t="shared" si="2"/>
        <v>1</v>
      </c>
      <c r="AD48">
        <f t="shared" si="3"/>
        <v>1</v>
      </c>
    </row>
    <row r="49" spans="1:30" x14ac:dyDescent="0.3">
      <c r="A49">
        <v>47</v>
      </c>
      <c r="B49">
        <v>83</v>
      </c>
      <c r="C49">
        <v>203</v>
      </c>
      <c r="D49">
        <v>209.11202</v>
      </c>
      <c r="W49">
        <v>46</v>
      </c>
      <c r="X49">
        <v>82</v>
      </c>
      <c r="Y49">
        <v>209</v>
      </c>
      <c r="Z49">
        <v>210.15002999999999</v>
      </c>
      <c r="AA49">
        <f t="shared" si="0"/>
        <v>210</v>
      </c>
      <c r="AB49">
        <f t="shared" si="1"/>
        <v>1</v>
      </c>
      <c r="AC49">
        <f t="shared" si="2"/>
        <v>0</v>
      </c>
      <c r="AD49">
        <f t="shared" si="3"/>
        <v>0</v>
      </c>
    </row>
    <row r="50" spans="1:30" x14ac:dyDescent="0.3">
      <c r="A50">
        <v>48</v>
      </c>
      <c r="B50">
        <v>84</v>
      </c>
      <c r="C50">
        <v>65</v>
      </c>
      <c r="D50">
        <v>78.561539999999994</v>
      </c>
      <c r="W50">
        <v>47</v>
      </c>
      <c r="X50">
        <v>83</v>
      </c>
      <c r="Y50">
        <v>203</v>
      </c>
      <c r="Z50">
        <v>209.11202</v>
      </c>
      <c r="AA50">
        <f t="shared" si="0"/>
        <v>209</v>
      </c>
      <c r="AB50">
        <f t="shared" si="1"/>
        <v>1</v>
      </c>
      <c r="AC50">
        <f t="shared" si="2"/>
        <v>1</v>
      </c>
      <c r="AD50">
        <f t="shared" si="3"/>
        <v>0</v>
      </c>
    </row>
    <row r="51" spans="1:30" x14ac:dyDescent="0.3">
      <c r="A51">
        <v>49</v>
      </c>
      <c r="B51">
        <v>85</v>
      </c>
      <c r="C51">
        <v>71</v>
      </c>
      <c r="D51">
        <v>93.04504</v>
      </c>
      <c r="W51">
        <v>48</v>
      </c>
      <c r="X51">
        <v>84</v>
      </c>
      <c r="Y51">
        <v>65</v>
      </c>
      <c r="Z51">
        <v>78.561539999999994</v>
      </c>
      <c r="AA51">
        <f t="shared" si="0"/>
        <v>79</v>
      </c>
      <c r="AB51">
        <f t="shared" si="1"/>
        <v>1</v>
      </c>
      <c r="AC51">
        <f t="shared" si="2"/>
        <v>1</v>
      </c>
      <c r="AD51">
        <f t="shared" si="3"/>
        <v>1</v>
      </c>
    </row>
    <row r="52" spans="1:30" x14ac:dyDescent="0.3">
      <c r="A52">
        <v>50</v>
      </c>
      <c r="B52">
        <v>86</v>
      </c>
      <c r="C52">
        <v>34</v>
      </c>
      <c r="D52">
        <v>32.526629999999997</v>
      </c>
      <c r="W52">
        <v>49</v>
      </c>
      <c r="X52">
        <v>85</v>
      </c>
      <c r="Y52">
        <v>71</v>
      </c>
      <c r="Z52">
        <v>93.04504</v>
      </c>
      <c r="AA52">
        <f t="shared" si="0"/>
        <v>93</v>
      </c>
      <c r="AB52">
        <f t="shared" si="1"/>
        <v>1</v>
      </c>
      <c r="AC52">
        <f t="shared" si="2"/>
        <v>1</v>
      </c>
      <c r="AD52">
        <f t="shared" si="3"/>
        <v>1</v>
      </c>
    </row>
    <row r="53" spans="1:30" x14ac:dyDescent="0.3">
      <c r="A53">
        <v>51</v>
      </c>
      <c r="B53">
        <v>89</v>
      </c>
      <c r="C53">
        <v>10</v>
      </c>
      <c r="D53">
        <v>10.93064</v>
      </c>
      <c r="W53">
        <v>50</v>
      </c>
      <c r="X53">
        <v>86</v>
      </c>
      <c r="Y53">
        <v>34</v>
      </c>
      <c r="Z53">
        <v>32.526629999999997</v>
      </c>
      <c r="AA53">
        <f t="shared" si="0"/>
        <v>33</v>
      </c>
      <c r="AB53">
        <f t="shared" si="1"/>
        <v>1</v>
      </c>
      <c r="AC53">
        <f t="shared" si="2"/>
        <v>0</v>
      </c>
      <c r="AD53">
        <f t="shared" si="3"/>
        <v>0</v>
      </c>
    </row>
    <row r="54" spans="1:30" x14ac:dyDescent="0.3">
      <c r="A54">
        <v>52</v>
      </c>
      <c r="B54">
        <v>93</v>
      </c>
      <c r="C54">
        <v>38</v>
      </c>
      <c r="D54">
        <v>50.731679999999997</v>
      </c>
      <c r="W54">
        <v>51</v>
      </c>
      <c r="X54">
        <v>89</v>
      </c>
      <c r="Y54">
        <v>10</v>
      </c>
      <c r="Z54">
        <v>10.93064</v>
      </c>
      <c r="AA54">
        <f t="shared" si="0"/>
        <v>11</v>
      </c>
      <c r="AB54">
        <f t="shared" si="1"/>
        <v>1</v>
      </c>
      <c r="AC54">
        <f t="shared" si="2"/>
        <v>0</v>
      </c>
      <c r="AD54">
        <f t="shared" si="3"/>
        <v>0</v>
      </c>
    </row>
    <row r="55" spans="1:30" x14ac:dyDescent="0.3">
      <c r="A55">
        <v>53</v>
      </c>
      <c r="B55">
        <v>94</v>
      </c>
      <c r="C55">
        <v>142</v>
      </c>
      <c r="D55">
        <v>133.93288000000001</v>
      </c>
      <c r="W55">
        <v>52</v>
      </c>
      <c r="X55">
        <v>93</v>
      </c>
      <c r="Y55">
        <v>38</v>
      </c>
      <c r="Z55">
        <v>50.731679999999997</v>
      </c>
      <c r="AA55">
        <f t="shared" si="0"/>
        <v>51</v>
      </c>
      <c r="AB55">
        <f t="shared" si="1"/>
        <v>1</v>
      </c>
      <c r="AC55">
        <f t="shared" si="2"/>
        <v>1</v>
      </c>
      <c r="AD55">
        <f t="shared" si="3"/>
        <v>1</v>
      </c>
    </row>
    <row r="56" spans="1:30" x14ac:dyDescent="0.3">
      <c r="A56">
        <v>54</v>
      </c>
      <c r="B56">
        <v>95</v>
      </c>
      <c r="C56">
        <v>46</v>
      </c>
      <c r="D56">
        <v>44.37426</v>
      </c>
      <c r="W56">
        <v>53</v>
      </c>
      <c r="X56">
        <v>94</v>
      </c>
      <c r="Y56">
        <v>142</v>
      </c>
      <c r="Z56">
        <v>133.93288000000001</v>
      </c>
      <c r="AA56">
        <f t="shared" si="0"/>
        <v>134</v>
      </c>
      <c r="AB56">
        <f t="shared" si="1"/>
        <v>1</v>
      </c>
      <c r="AC56">
        <f t="shared" si="2"/>
        <v>1</v>
      </c>
      <c r="AD56">
        <f t="shared" si="3"/>
        <v>0</v>
      </c>
    </row>
    <row r="57" spans="1:30" x14ac:dyDescent="0.3">
      <c r="A57">
        <v>55</v>
      </c>
      <c r="B57">
        <v>97</v>
      </c>
      <c r="C57">
        <v>196</v>
      </c>
      <c r="D57">
        <v>199.18018000000001</v>
      </c>
      <c r="W57">
        <v>54</v>
      </c>
      <c r="X57">
        <v>95</v>
      </c>
      <c r="Y57">
        <v>46</v>
      </c>
      <c r="Z57">
        <v>44.37426</v>
      </c>
      <c r="AA57">
        <f t="shared" si="0"/>
        <v>44</v>
      </c>
      <c r="AB57">
        <f t="shared" si="1"/>
        <v>1</v>
      </c>
      <c r="AC57">
        <f t="shared" si="2"/>
        <v>0</v>
      </c>
      <c r="AD57">
        <f t="shared" si="3"/>
        <v>0</v>
      </c>
    </row>
    <row r="58" spans="1:30" x14ac:dyDescent="0.3">
      <c r="A58">
        <v>56</v>
      </c>
      <c r="B58">
        <v>98</v>
      </c>
      <c r="C58">
        <v>202</v>
      </c>
      <c r="D58">
        <v>202.22370000000001</v>
      </c>
      <c r="W58">
        <v>55</v>
      </c>
      <c r="X58">
        <v>97</v>
      </c>
      <c r="Y58">
        <v>196</v>
      </c>
      <c r="Z58">
        <v>199.18018000000001</v>
      </c>
      <c r="AA58">
        <f t="shared" si="0"/>
        <v>199</v>
      </c>
      <c r="AB58">
        <f t="shared" si="1"/>
        <v>1</v>
      </c>
      <c r="AC58">
        <f t="shared" si="2"/>
        <v>0</v>
      </c>
      <c r="AD58">
        <f t="shared" si="3"/>
        <v>0</v>
      </c>
    </row>
    <row r="59" spans="1:30" x14ac:dyDescent="0.3">
      <c r="A59">
        <v>57</v>
      </c>
      <c r="B59">
        <v>100</v>
      </c>
      <c r="C59">
        <v>172</v>
      </c>
      <c r="D59">
        <v>168.06164000000001</v>
      </c>
      <c r="W59">
        <v>56</v>
      </c>
      <c r="X59">
        <v>98</v>
      </c>
      <c r="Y59">
        <v>202</v>
      </c>
      <c r="Z59">
        <v>202.22370000000001</v>
      </c>
      <c r="AA59">
        <f t="shared" si="0"/>
        <v>202</v>
      </c>
      <c r="AB59">
        <f t="shared" si="1"/>
        <v>0</v>
      </c>
      <c r="AC59">
        <f t="shared" si="2"/>
        <v>0</v>
      </c>
      <c r="AD59">
        <f t="shared" si="3"/>
        <v>0</v>
      </c>
    </row>
    <row r="60" spans="1:30" x14ac:dyDescent="0.3">
      <c r="A60">
        <v>58</v>
      </c>
      <c r="B60">
        <v>101</v>
      </c>
      <c r="C60">
        <v>25</v>
      </c>
      <c r="D60">
        <v>53.028959999999998</v>
      </c>
      <c r="W60">
        <v>57</v>
      </c>
      <c r="X60">
        <v>100</v>
      </c>
      <c r="Y60">
        <v>172</v>
      </c>
      <c r="Z60">
        <v>168.06164000000001</v>
      </c>
      <c r="AA60">
        <f t="shared" si="0"/>
        <v>168</v>
      </c>
      <c r="AB60">
        <f t="shared" si="1"/>
        <v>1</v>
      </c>
      <c r="AC60">
        <f t="shared" si="2"/>
        <v>0</v>
      </c>
      <c r="AD60">
        <f t="shared" si="3"/>
        <v>0</v>
      </c>
    </row>
    <row r="61" spans="1:30" x14ac:dyDescent="0.3">
      <c r="A61">
        <v>59</v>
      </c>
      <c r="B61">
        <v>108</v>
      </c>
      <c r="C61">
        <v>1</v>
      </c>
      <c r="D61">
        <v>1.8799600000000001</v>
      </c>
      <c r="W61">
        <v>58</v>
      </c>
      <c r="X61">
        <v>101</v>
      </c>
      <c r="Y61">
        <v>25</v>
      </c>
      <c r="Z61">
        <v>53.028959999999998</v>
      </c>
      <c r="AA61">
        <f t="shared" si="0"/>
        <v>53</v>
      </c>
      <c r="AB61">
        <f t="shared" si="1"/>
        <v>1</v>
      </c>
      <c r="AC61">
        <f t="shared" si="2"/>
        <v>1</v>
      </c>
      <c r="AD61">
        <f t="shared" si="3"/>
        <v>1</v>
      </c>
    </row>
    <row r="62" spans="1:30" x14ac:dyDescent="0.3">
      <c r="A62">
        <v>60</v>
      </c>
      <c r="B62">
        <v>111</v>
      </c>
      <c r="C62">
        <v>12</v>
      </c>
      <c r="D62">
        <v>8.8278800000000004</v>
      </c>
      <c r="W62">
        <v>59</v>
      </c>
      <c r="X62">
        <v>108</v>
      </c>
      <c r="Y62">
        <v>1</v>
      </c>
      <c r="Z62">
        <v>1.8799600000000001</v>
      </c>
      <c r="AA62">
        <f t="shared" si="0"/>
        <v>2</v>
      </c>
      <c r="AB62">
        <f t="shared" si="1"/>
        <v>1</v>
      </c>
      <c r="AC62">
        <f t="shared" si="2"/>
        <v>0</v>
      </c>
      <c r="AD62">
        <f t="shared" si="3"/>
        <v>0</v>
      </c>
    </row>
    <row r="63" spans="1:30" x14ac:dyDescent="0.3">
      <c r="A63">
        <v>61</v>
      </c>
      <c r="B63">
        <v>112</v>
      </c>
      <c r="C63">
        <v>35</v>
      </c>
      <c r="D63">
        <v>40.156300000000002</v>
      </c>
      <c r="W63">
        <v>60</v>
      </c>
      <c r="X63">
        <v>111</v>
      </c>
      <c r="Y63">
        <v>12</v>
      </c>
      <c r="Z63">
        <v>8.8278800000000004</v>
      </c>
      <c r="AA63">
        <f t="shared" si="0"/>
        <v>9</v>
      </c>
      <c r="AB63">
        <f t="shared" si="1"/>
        <v>1</v>
      </c>
      <c r="AC63">
        <f t="shared" si="2"/>
        <v>0</v>
      </c>
      <c r="AD63">
        <f t="shared" si="3"/>
        <v>0</v>
      </c>
    </row>
    <row r="64" spans="1:30" x14ac:dyDescent="0.3">
      <c r="A64">
        <v>62</v>
      </c>
      <c r="B64">
        <v>114</v>
      </c>
      <c r="C64">
        <v>63</v>
      </c>
      <c r="D64">
        <v>70.648520000000005</v>
      </c>
      <c r="W64">
        <v>61</v>
      </c>
      <c r="X64">
        <v>112</v>
      </c>
      <c r="Y64">
        <v>35</v>
      </c>
      <c r="Z64">
        <v>40.156300000000002</v>
      </c>
      <c r="AA64">
        <f t="shared" si="0"/>
        <v>40</v>
      </c>
      <c r="AB64">
        <f t="shared" si="1"/>
        <v>1</v>
      </c>
      <c r="AC64">
        <f t="shared" si="2"/>
        <v>1</v>
      </c>
      <c r="AD64">
        <f t="shared" si="3"/>
        <v>0</v>
      </c>
    </row>
    <row r="65" spans="1:30" x14ac:dyDescent="0.3">
      <c r="A65">
        <v>63</v>
      </c>
      <c r="B65">
        <v>115</v>
      </c>
      <c r="C65">
        <v>183</v>
      </c>
      <c r="D65">
        <v>184.09278</v>
      </c>
      <c r="W65">
        <v>62</v>
      </c>
      <c r="X65">
        <v>114</v>
      </c>
      <c r="Y65">
        <v>63</v>
      </c>
      <c r="Z65">
        <v>70.648520000000005</v>
      </c>
      <c r="AA65">
        <f t="shared" si="0"/>
        <v>71</v>
      </c>
      <c r="AB65">
        <f t="shared" si="1"/>
        <v>1</v>
      </c>
      <c r="AC65">
        <f t="shared" si="2"/>
        <v>1</v>
      </c>
      <c r="AD65">
        <f t="shared" si="3"/>
        <v>0</v>
      </c>
    </row>
    <row r="66" spans="1:30" x14ac:dyDescent="0.3">
      <c r="A66">
        <v>64</v>
      </c>
      <c r="B66">
        <v>118</v>
      </c>
      <c r="C66">
        <v>18</v>
      </c>
      <c r="D66">
        <v>19.869389999999999</v>
      </c>
      <c r="W66">
        <v>63</v>
      </c>
      <c r="X66">
        <v>115</v>
      </c>
      <c r="Y66">
        <v>183</v>
      </c>
      <c r="Z66">
        <v>184.09278</v>
      </c>
      <c r="AA66">
        <f t="shared" si="0"/>
        <v>184</v>
      </c>
      <c r="AB66">
        <f t="shared" si="1"/>
        <v>1</v>
      </c>
      <c r="AC66">
        <f t="shared" si="2"/>
        <v>0</v>
      </c>
      <c r="AD66">
        <f t="shared" si="3"/>
        <v>0</v>
      </c>
    </row>
    <row r="67" spans="1:30" x14ac:dyDescent="0.3">
      <c r="A67">
        <v>65</v>
      </c>
      <c r="B67">
        <v>119</v>
      </c>
      <c r="C67">
        <v>16</v>
      </c>
      <c r="D67">
        <v>6.4439200000000003</v>
      </c>
      <c r="W67">
        <v>64</v>
      </c>
      <c r="X67">
        <v>118</v>
      </c>
      <c r="Y67">
        <v>18</v>
      </c>
      <c r="Z67">
        <v>19.869389999999999</v>
      </c>
      <c r="AA67">
        <f t="shared" si="0"/>
        <v>20</v>
      </c>
      <c r="AB67">
        <f t="shared" si="1"/>
        <v>1</v>
      </c>
      <c r="AC67">
        <f t="shared" si="2"/>
        <v>0</v>
      </c>
      <c r="AD67">
        <f t="shared" si="3"/>
        <v>0</v>
      </c>
    </row>
    <row r="68" spans="1:30" x14ac:dyDescent="0.3">
      <c r="A68">
        <v>66</v>
      </c>
      <c r="B68">
        <v>122</v>
      </c>
      <c r="C68">
        <v>12</v>
      </c>
      <c r="D68">
        <v>10.816079999999999</v>
      </c>
      <c r="W68">
        <v>65</v>
      </c>
      <c r="X68">
        <v>119</v>
      </c>
      <c r="Y68">
        <v>16</v>
      </c>
      <c r="Z68">
        <v>6.4439200000000003</v>
      </c>
      <c r="AA68">
        <f t="shared" si="0"/>
        <v>6</v>
      </c>
      <c r="AB68">
        <f t="shared" si="1"/>
        <v>1</v>
      </c>
      <c r="AC68">
        <f t="shared" si="2"/>
        <v>1</v>
      </c>
      <c r="AD68">
        <f t="shared" si="3"/>
        <v>1</v>
      </c>
    </row>
    <row r="69" spans="1:30" x14ac:dyDescent="0.3">
      <c r="A69">
        <v>67</v>
      </c>
      <c r="B69">
        <v>123</v>
      </c>
      <c r="C69">
        <v>5</v>
      </c>
      <c r="D69">
        <v>8.79908</v>
      </c>
      <c r="W69">
        <v>66</v>
      </c>
      <c r="X69">
        <v>122</v>
      </c>
      <c r="Y69">
        <v>12</v>
      </c>
      <c r="Z69">
        <v>10.816079999999999</v>
      </c>
      <c r="AA69">
        <f t="shared" ref="AA69:AA132" si="4">ROUND(Z69,0)</f>
        <v>11</v>
      </c>
      <c r="AB69">
        <f t="shared" ref="AB69:AB132" si="5">IF(AA69=Y69,0,1)</f>
        <v>1</v>
      </c>
      <c r="AC69">
        <f t="shared" ref="AC69:AC132" si="6">IF(AA69&lt;Y69+5,IF(AA69&gt;Y69-5,0,1),1)</f>
        <v>0</v>
      </c>
      <c r="AD69">
        <f t="shared" ref="AD69:AD132" si="7">IF(AA69&lt;Y69+10,IF(AA69&gt;Y69-10,0,1),1)</f>
        <v>0</v>
      </c>
    </row>
    <row r="70" spans="1:30" x14ac:dyDescent="0.3">
      <c r="A70">
        <v>68</v>
      </c>
      <c r="B70">
        <v>125</v>
      </c>
      <c r="C70">
        <v>15</v>
      </c>
      <c r="D70">
        <v>10.32282</v>
      </c>
      <c r="W70">
        <v>67</v>
      </c>
      <c r="X70">
        <v>123</v>
      </c>
      <c r="Y70">
        <v>5</v>
      </c>
      <c r="Z70">
        <v>8.79908</v>
      </c>
      <c r="AA70">
        <f t="shared" si="4"/>
        <v>9</v>
      </c>
      <c r="AB70">
        <f t="shared" si="5"/>
        <v>1</v>
      </c>
      <c r="AC70">
        <f t="shared" si="6"/>
        <v>0</v>
      </c>
      <c r="AD70">
        <f t="shared" si="7"/>
        <v>0</v>
      </c>
    </row>
    <row r="71" spans="1:30" x14ac:dyDescent="0.3">
      <c r="A71">
        <v>69</v>
      </c>
      <c r="B71">
        <v>126</v>
      </c>
      <c r="C71">
        <v>46</v>
      </c>
      <c r="D71">
        <v>34.944369999999999</v>
      </c>
      <c r="W71">
        <v>68</v>
      </c>
      <c r="X71">
        <v>125</v>
      </c>
      <c r="Y71">
        <v>15</v>
      </c>
      <c r="Z71">
        <v>10.32282</v>
      </c>
      <c r="AA71">
        <f t="shared" si="4"/>
        <v>10</v>
      </c>
      <c r="AB71">
        <f t="shared" si="5"/>
        <v>1</v>
      </c>
      <c r="AC71">
        <f t="shared" si="6"/>
        <v>1</v>
      </c>
      <c r="AD71">
        <f t="shared" si="7"/>
        <v>0</v>
      </c>
    </row>
    <row r="72" spans="1:30" x14ac:dyDescent="0.3">
      <c r="A72">
        <v>70</v>
      </c>
      <c r="B72">
        <v>127</v>
      </c>
      <c r="C72">
        <v>41</v>
      </c>
      <c r="D72">
        <v>35.312600000000003</v>
      </c>
      <c r="W72">
        <v>69</v>
      </c>
      <c r="X72">
        <v>126</v>
      </c>
      <c r="Y72">
        <v>46</v>
      </c>
      <c r="Z72">
        <v>34.944369999999999</v>
      </c>
      <c r="AA72">
        <f t="shared" si="4"/>
        <v>35</v>
      </c>
      <c r="AB72">
        <f t="shared" si="5"/>
        <v>1</v>
      </c>
      <c r="AC72">
        <f t="shared" si="6"/>
        <v>1</v>
      </c>
      <c r="AD72">
        <f t="shared" si="7"/>
        <v>1</v>
      </c>
    </row>
    <row r="73" spans="1:30" x14ac:dyDescent="0.3">
      <c r="A73">
        <v>71</v>
      </c>
      <c r="B73">
        <v>128</v>
      </c>
      <c r="C73">
        <v>17</v>
      </c>
      <c r="D73">
        <v>20.211839999999999</v>
      </c>
      <c r="W73">
        <v>70</v>
      </c>
      <c r="X73">
        <v>127</v>
      </c>
      <c r="Y73">
        <v>41</v>
      </c>
      <c r="Z73">
        <v>35.312600000000003</v>
      </c>
      <c r="AA73">
        <f t="shared" si="4"/>
        <v>35</v>
      </c>
      <c r="AB73">
        <f t="shared" si="5"/>
        <v>1</v>
      </c>
      <c r="AC73">
        <f t="shared" si="6"/>
        <v>1</v>
      </c>
      <c r="AD73">
        <f t="shared" si="7"/>
        <v>0</v>
      </c>
    </row>
    <row r="74" spans="1:30" x14ac:dyDescent="0.3">
      <c r="A74">
        <v>72</v>
      </c>
      <c r="B74">
        <v>129</v>
      </c>
      <c r="C74">
        <v>42</v>
      </c>
      <c r="D74">
        <v>34.039580000000001</v>
      </c>
      <c r="W74">
        <v>71</v>
      </c>
      <c r="X74">
        <v>128</v>
      </c>
      <c r="Y74">
        <v>17</v>
      </c>
      <c r="Z74">
        <v>20.211839999999999</v>
      </c>
      <c r="AA74">
        <f t="shared" si="4"/>
        <v>20</v>
      </c>
      <c r="AB74">
        <f t="shared" si="5"/>
        <v>1</v>
      </c>
      <c r="AC74">
        <f t="shared" si="6"/>
        <v>0</v>
      </c>
      <c r="AD74">
        <f t="shared" si="7"/>
        <v>0</v>
      </c>
    </row>
    <row r="75" spans="1:30" x14ac:dyDescent="0.3">
      <c r="A75">
        <v>73</v>
      </c>
      <c r="B75">
        <v>132</v>
      </c>
      <c r="C75">
        <v>37</v>
      </c>
      <c r="D75">
        <v>44.530090000000001</v>
      </c>
      <c r="W75">
        <v>72</v>
      </c>
      <c r="X75">
        <v>129</v>
      </c>
      <c r="Y75">
        <v>42</v>
      </c>
      <c r="Z75">
        <v>34.039580000000001</v>
      </c>
      <c r="AA75">
        <f t="shared" si="4"/>
        <v>34</v>
      </c>
      <c r="AB75">
        <f t="shared" si="5"/>
        <v>1</v>
      </c>
      <c r="AC75">
        <f t="shared" si="6"/>
        <v>1</v>
      </c>
      <c r="AD75">
        <f t="shared" si="7"/>
        <v>0</v>
      </c>
    </row>
    <row r="76" spans="1:30" x14ac:dyDescent="0.3">
      <c r="A76">
        <v>74</v>
      </c>
      <c r="B76">
        <v>136</v>
      </c>
      <c r="C76">
        <v>12</v>
      </c>
      <c r="D76">
        <v>12.730600000000001</v>
      </c>
      <c r="W76">
        <v>73</v>
      </c>
      <c r="X76">
        <v>132</v>
      </c>
      <c r="Y76">
        <v>37</v>
      </c>
      <c r="Z76">
        <v>44.530090000000001</v>
      </c>
      <c r="AA76">
        <f t="shared" si="4"/>
        <v>45</v>
      </c>
      <c r="AB76">
        <f t="shared" si="5"/>
        <v>1</v>
      </c>
      <c r="AC76">
        <f t="shared" si="6"/>
        <v>1</v>
      </c>
      <c r="AD76">
        <f t="shared" si="7"/>
        <v>0</v>
      </c>
    </row>
    <row r="77" spans="1:30" x14ac:dyDescent="0.3">
      <c r="A77">
        <v>75</v>
      </c>
      <c r="B77">
        <v>137</v>
      </c>
      <c r="C77">
        <v>29</v>
      </c>
      <c r="D77">
        <v>28.494949999999999</v>
      </c>
      <c r="W77">
        <v>74</v>
      </c>
      <c r="X77">
        <v>136</v>
      </c>
      <c r="Y77">
        <v>12</v>
      </c>
      <c r="Z77">
        <v>12.730600000000001</v>
      </c>
      <c r="AA77">
        <f t="shared" si="4"/>
        <v>13</v>
      </c>
      <c r="AB77">
        <f t="shared" si="5"/>
        <v>1</v>
      </c>
      <c r="AC77">
        <f t="shared" si="6"/>
        <v>0</v>
      </c>
      <c r="AD77">
        <f t="shared" si="7"/>
        <v>0</v>
      </c>
    </row>
    <row r="78" spans="1:30" x14ac:dyDescent="0.3">
      <c r="A78">
        <v>76</v>
      </c>
      <c r="B78">
        <v>140</v>
      </c>
      <c r="C78">
        <v>5</v>
      </c>
      <c r="D78">
        <v>13.99934</v>
      </c>
      <c r="W78">
        <v>75</v>
      </c>
      <c r="X78">
        <v>137</v>
      </c>
      <c r="Y78">
        <v>29</v>
      </c>
      <c r="Z78">
        <v>28.494949999999999</v>
      </c>
      <c r="AA78">
        <f t="shared" si="4"/>
        <v>28</v>
      </c>
      <c r="AB78">
        <f t="shared" si="5"/>
        <v>1</v>
      </c>
      <c r="AC78">
        <f t="shared" si="6"/>
        <v>0</v>
      </c>
      <c r="AD78">
        <f t="shared" si="7"/>
        <v>0</v>
      </c>
    </row>
    <row r="79" spans="1:30" x14ac:dyDescent="0.3">
      <c r="A79">
        <v>77</v>
      </c>
      <c r="B79">
        <v>144</v>
      </c>
      <c r="C79">
        <v>62</v>
      </c>
      <c r="D79">
        <v>55.954169999999998</v>
      </c>
      <c r="W79">
        <v>76</v>
      </c>
      <c r="X79">
        <v>140</v>
      </c>
      <c r="Y79">
        <v>5</v>
      </c>
      <c r="Z79">
        <v>13.99934</v>
      </c>
      <c r="AA79">
        <f t="shared" si="4"/>
        <v>14</v>
      </c>
      <c r="AB79">
        <f t="shared" si="5"/>
        <v>1</v>
      </c>
      <c r="AC79">
        <f t="shared" si="6"/>
        <v>1</v>
      </c>
      <c r="AD79">
        <f t="shared" si="7"/>
        <v>0</v>
      </c>
    </row>
    <row r="80" spans="1:30" x14ac:dyDescent="0.3">
      <c r="A80">
        <v>78</v>
      </c>
      <c r="B80">
        <v>145</v>
      </c>
      <c r="C80">
        <v>165</v>
      </c>
      <c r="D80">
        <v>157.52744999999999</v>
      </c>
      <c r="W80">
        <v>77</v>
      </c>
      <c r="X80">
        <v>144</v>
      </c>
      <c r="Y80">
        <v>62</v>
      </c>
      <c r="Z80">
        <v>55.954169999999998</v>
      </c>
      <c r="AA80">
        <f t="shared" si="4"/>
        <v>56</v>
      </c>
      <c r="AB80">
        <f t="shared" si="5"/>
        <v>1</v>
      </c>
      <c r="AC80">
        <f t="shared" si="6"/>
        <v>1</v>
      </c>
      <c r="AD80">
        <f t="shared" si="7"/>
        <v>0</v>
      </c>
    </row>
    <row r="81" spans="1:30" x14ac:dyDescent="0.3">
      <c r="A81">
        <v>79</v>
      </c>
      <c r="B81">
        <v>148</v>
      </c>
      <c r="C81">
        <v>13</v>
      </c>
      <c r="D81">
        <v>14.513389999999999</v>
      </c>
      <c r="W81">
        <v>78</v>
      </c>
      <c r="X81">
        <v>145</v>
      </c>
      <c r="Y81">
        <v>165</v>
      </c>
      <c r="Z81">
        <v>157.52744999999999</v>
      </c>
      <c r="AA81">
        <f t="shared" si="4"/>
        <v>158</v>
      </c>
      <c r="AB81">
        <f t="shared" si="5"/>
        <v>1</v>
      </c>
      <c r="AC81">
        <f t="shared" si="6"/>
        <v>1</v>
      </c>
      <c r="AD81">
        <f t="shared" si="7"/>
        <v>0</v>
      </c>
    </row>
    <row r="82" spans="1:30" x14ac:dyDescent="0.3">
      <c r="A82">
        <v>80</v>
      </c>
      <c r="B82">
        <v>149</v>
      </c>
      <c r="C82">
        <v>29</v>
      </c>
      <c r="D82">
        <v>37.998359999999998</v>
      </c>
      <c r="W82">
        <v>79</v>
      </c>
      <c r="X82">
        <v>148</v>
      </c>
      <c r="Y82">
        <v>13</v>
      </c>
      <c r="Z82">
        <v>14.513389999999999</v>
      </c>
      <c r="AA82">
        <f t="shared" si="4"/>
        <v>15</v>
      </c>
      <c r="AB82">
        <f t="shared" si="5"/>
        <v>1</v>
      </c>
      <c r="AC82">
        <f t="shared" si="6"/>
        <v>0</v>
      </c>
      <c r="AD82">
        <f t="shared" si="7"/>
        <v>0</v>
      </c>
    </row>
    <row r="83" spans="1:30" x14ac:dyDescent="0.3">
      <c r="A83">
        <v>81</v>
      </c>
      <c r="B83">
        <v>150</v>
      </c>
      <c r="C83">
        <v>30</v>
      </c>
      <c r="D83">
        <v>38.335920000000002</v>
      </c>
      <c r="W83">
        <v>80</v>
      </c>
      <c r="X83">
        <v>149</v>
      </c>
      <c r="Y83">
        <v>29</v>
      </c>
      <c r="Z83">
        <v>37.998359999999998</v>
      </c>
      <c r="AA83">
        <f t="shared" si="4"/>
        <v>38</v>
      </c>
      <c r="AB83">
        <f t="shared" si="5"/>
        <v>1</v>
      </c>
      <c r="AC83">
        <f t="shared" si="6"/>
        <v>1</v>
      </c>
      <c r="AD83">
        <f t="shared" si="7"/>
        <v>0</v>
      </c>
    </row>
    <row r="84" spans="1:30" x14ac:dyDescent="0.3">
      <c r="A84">
        <v>82</v>
      </c>
      <c r="B84">
        <v>151</v>
      </c>
      <c r="C84">
        <v>14</v>
      </c>
      <c r="D84">
        <v>13.166169999999999</v>
      </c>
      <c r="W84">
        <v>81</v>
      </c>
      <c r="X84">
        <v>150</v>
      </c>
      <c r="Y84">
        <v>30</v>
      </c>
      <c r="Z84">
        <v>38.335920000000002</v>
      </c>
      <c r="AA84">
        <f t="shared" si="4"/>
        <v>38</v>
      </c>
      <c r="AB84">
        <f t="shared" si="5"/>
        <v>1</v>
      </c>
      <c r="AC84">
        <f t="shared" si="6"/>
        <v>1</v>
      </c>
      <c r="AD84">
        <f t="shared" si="7"/>
        <v>0</v>
      </c>
    </row>
    <row r="85" spans="1:30" x14ac:dyDescent="0.3">
      <c r="A85">
        <v>83</v>
      </c>
      <c r="B85">
        <v>152</v>
      </c>
      <c r="C85">
        <v>21</v>
      </c>
      <c r="D85">
        <v>32.031480000000002</v>
      </c>
      <c r="W85">
        <v>82</v>
      </c>
      <c r="X85">
        <v>151</v>
      </c>
      <c r="Y85">
        <v>14</v>
      </c>
      <c r="Z85">
        <v>13.166169999999999</v>
      </c>
      <c r="AA85">
        <f t="shared" si="4"/>
        <v>13</v>
      </c>
      <c r="AB85">
        <f t="shared" si="5"/>
        <v>1</v>
      </c>
      <c r="AC85">
        <f t="shared" si="6"/>
        <v>0</v>
      </c>
      <c r="AD85">
        <f t="shared" si="7"/>
        <v>0</v>
      </c>
    </row>
    <row r="86" spans="1:30" x14ac:dyDescent="0.3">
      <c r="A86">
        <v>84</v>
      </c>
      <c r="B86">
        <v>153</v>
      </c>
      <c r="C86">
        <v>22</v>
      </c>
      <c r="D86">
        <v>44.63373</v>
      </c>
      <c r="W86">
        <v>83</v>
      </c>
      <c r="X86">
        <v>152</v>
      </c>
      <c r="Y86">
        <v>21</v>
      </c>
      <c r="Z86">
        <v>32.031480000000002</v>
      </c>
      <c r="AA86">
        <f t="shared" si="4"/>
        <v>32</v>
      </c>
      <c r="AB86">
        <f t="shared" si="5"/>
        <v>1</v>
      </c>
      <c r="AC86">
        <f t="shared" si="6"/>
        <v>1</v>
      </c>
      <c r="AD86">
        <f t="shared" si="7"/>
        <v>1</v>
      </c>
    </row>
    <row r="87" spans="1:30" x14ac:dyDescent="0.3">
      <c r="A87">
        <v>85</v>
      </c>
      <c r="B87">
        <v>155</v>
      </c>
      <c r="C87">
        <v>1</v>
      </c>
      <c r="D87">
        <v>4.5217799999999997</v>
      </c>
      <c r="W87">
        <v>84</v>
      </c>
      <c r="X87">
        <v>153</v>
      </c>
      <c r="Y87">
        <v>22</v>
      </c>
      <c r="Z87">
        <v>44.63373</v>
      </c>
      <c r="AA87">
        <f t="shared" si="4"/>
        <v>45</v>
      </c>
      <c r="AB87">
        <f t="shared" si="5"/>
        <v>1</v>
      </c>
      <c r="AC87">
        <f t="shared" si="6"/>
        <v>1</v>
      </c>
      <c r="AD87">
        <f t="shared" si="7"/>
        <v>1</v>
      </c>
    </row>
    <row r="88" spans="1:30" x14ac:dyDescent="0.3">
      <c r="A88">
        <v>86</v>
      </c>
      <c r="B88">
        <v>156</v>
      </c>
      <c r="C88">
        <v>222</v>
      </c>
      <c r="D88">
        <v>210.62566000000001</v>
      </c>
      <c r="W88">
        <v>85</v>
      </c>
      <c r="X88">
        <v>155</v>
      </c>
      <c r="Y88">
        <v>1</v>
      </c>
      <c r="Z88">
        <v>4.5217799999999997</v>
      </c>
      <c r="AA88">
        <f t="shared" si="4"/>
        <v>5</v>
      </c>
      <c r="AB88">
        <f t="shared" si="5"/>
        <v>1</v>
      </c>
      <c r="AC88">
        <f t="shared" si="6"/>
        <v>0</v>
      </c>
      <c r="AD88">
        <f t="shared" si="7"/>
        <v>0</v>
      </c>
    </row>
    <row r="89" spans="1:30" x14ac:dyDescent="0.3">
      <c r="A89">
        <v>87</v>
      </c>
      <c r="B89">
        <v>160</v>
      </c>
      <c r="C89">
        <v>43</v>
      </c>
      <c r="D89">
        <v>49.037990000000001</v>
      </c>
      <c r="W89">
        <v>86</v>
      </c>
      <c r="X89">
        <v>156</v>
      </c>
      <c r="Y89">
        <v>222</v>
      </c>
      <c r="Z89">
        <v>210.62566000000001</v>
      </c>
      <c r="AA89">
        <f t="shared" si="4"/>
        <v>211</v>
      </c>
      <c r="AB89">
        <f t="shared" si="5"/>
        <v>1</v>
      </c>
      <c r="AC89">
        <f t="shared" si="6"/>
        <v>1</v>
      </c>
      <c r="AD89">
        <f t="shared" si="7"/>
        <v>1</v>
      </c>
    </row>
    <row r="90" spans="1:30" x14ac:dyDescent="0.3">
      <c r="A90">
        <v>88</v>
      </c>
      <c r="B90">
        <v>161</v>
      </c>
      <c r="C90">
        <v>15</v>
      </c>
      <c r="D90">
        <v>20.719339999999999</v>
      </c>
      <c r="W90">
        <v>87</v>
      </c>
      <c r="X90">
        <v>160</v>
      </c>
      <c r="Y90">
        <v>43</v>
      </c>
      <c r="Z90">
        <v>49.037990000000001</v>
      </c>
      <c r="AA90">
        <f t="shared" si="4"/>
        <v>49</v>
      </c>
      <c r="AB90">
        <f t="shared" si="5"/>
        <v>1</v>
      </c>
      <c r="AC90">
        <f t="shared" si="6"/>
        <v>1</v>
      </c>
      <c r="AD90">
        <f t="shared" si="7"/>
        <v>0</v>
      </c>
    </row>
    <row r="91" spans="1:30" x14ac:dyDescent="0.3">
      <c r="A91">
        <v>89</v>
      </c>
      <c r="B91">
        <v>164</v>
      </c>
      <c r="C91">
        <v>36</v>
      </c>
      <c r="D91">
        <v>57.859459999999999</v>
      </c>
      <c r="W91">
        <v>88</v>
      </c>
      <c r="X91">
        <v>161</v>
      </c>
      <c r="Y91">
        <v>15</v>
      </c>
      <c r="Z91">
        <v>20.719339999999999</v>
      </c>
      <c r="AA91">
        <f t="shared" si="4"/>
        <v>21</v>
      </c>
      <c r="AB91">
        <f t="shared" si="5"/>
        <v>1</v>
      </c>
      <c r="AC91">
        <f t="shared" si="6"/>
        <v>1</v>
      </c>
      <c r="AD91">
        <f t="shared" si="7"/>
        <v>0</v>
      </c>
    </row>
    <row r="92" spans="1:30" x14ac:dyDescent="0.3">
      <c r="A92">
        <v>90</v>
      </c>
      <c r="B92">
        <v>165</v>
      </c>
      <c r="C92">
        <v>86</v>
      </c>
      <c r="D92">
        <v>107.13160999999999</v>
      </c>
      <c r="W92">
        <v>89</v>
      </c>
      <c r="X92">
        <v>164</v>
      </c>
      <c r="Y92">
        <v>36</v>
      </c>
      <c r="Z92">
        <v>57.859459999999999</v>
      </c>
      <c r="AA92">
        <f t="shared" si="4"/>
        <v>58</v>
      </c>
      <c r="AB92">
        <f t="shared" si="5"/>
        <v>1</v>
      </c>
      <c r="AC92">
        <f t="shared" si="6"/>
        <v>1</v>
      </c>
      <c r="AD92">
        <f t="shared" si="7"/>
        <v>1</v>
      </c>
    </row>
    <row r="93" spans="1:30" x14ac:dyDescent="0.3">
      <c r="A93">
        <v>91</v>
      </c>
      <c r="B93">
        <v>167</v>
      </c>
      <c r="C93">
        <v>14</v>
      </c>
      <c r="D93">
        <v>18.738959999999999</v>
      </c>
      <c r="W93">
        <v>90</v>
      </c>
      <c r="X93">
        <v>165</v>
      </c>
      <c r="Y93">
        <v>86</v>
      </c>
      <c r="Z93">
        <v>107.13160999999999</v>
      </c>
      <c r="AA93">
        <f t="shared" si="4"/>
        <v>107</v>
      </c>
      <c r="AB93">
        <f t="shared" si="5"/>
        <v>1</v>
      </c>
      <c r="AC93">
        <f t="shared" si="6"/>
        <v>1</v>
      </c>
      <c r="AD93">
        <f t="shared" si="7"/>
        <v>1</v>
      </c>
    </row>
    <row r="94" spans="1:30" x14ac:dyDescent="0.3">
      <c r="A94">
        <v>92</v>
      </c>
      <c r="B94">
        <v>168</v>
      </c>
      <c r="C94">
        <v>61</v>
      </c>
      <c r="D94">
        <v>74.079539999999994</v>
      </c>
      <c r="W94">
        <v>91</v>
      </c>
      <c r="X94">
        <v>167</v>
      </c>
      <c r="Y94">
        <v>14</v>
      </c>
      <c r="Z94">
        <v>18.738959999999999</v>
      </c>
      <c r="AA94">
        <f t="shared" si="4"/>
        <v>19</v>
      </c>
      <c r="AB94">
        <f t="shared" si="5"/>
        <v>1</v>
      </c>
      <c r="AC94">
        <f t="shared" si="6"/>
        <v>1</v>
      </c>
      <c r="AD94">
        <f t="shared" si="7"/>
        <v>0</v>
      </c>
    </row>
    <row r="95" spans="1:30" x14ac:dyDescent="0.3">
      <c r="A95">
        <v>93</v>
      </c>
      <c r="B95">
        <v>169</v>
      </c>
      <c r="C95">
        <v>51</v>
      </c>
      <c r="D95">
        <v>66.54392</v>
      </c>
      <c r="W95">
        <v>92</v>
      </c>
      <c r="X95">
        <v>168</v>
      </c>
      <c r="Y95">
        <v>61</v>
      </c>
      <c r="Z95">
        <v>74.079539999999994</v>
      </c>
      <c r="AA95">
        <f t="shared" si="4"/>
        <v>74</v>
      </c>
      <c r="AB95">
        <f t="shared" si="5"/>
        <v>1</v>
      </c>
      <c r="AC95">
        <f t="shared" si="6"/>
        <v>1</v>
      </c>
      <c r="AD95">
        <f t="shared" si="7"/>
        <v>1</v>
      </c>
    </row>
    <row r="96" spans="1:30" x14ac:dyDescent="0.3">
      <c r="A96">
        <v>94</v>
      </c>
      <c r="B96">
        <v>171</v>
      </c>
      <c r="C96">
        <v>5</v>
      </c>
      <c r="D96">
        <v>6.4905400000000002</v>
      </c>
      <c r="W96">
        <v>93</v>
      </c>
      <c r="X96">
        <v>169</v>
      </c>
      <c r="Y96">
        <v>51</v>
      </c>
      <c r="Z96">
        <v>66.54392</v>
      </c>
      <c r="AA96">
        <f t="shared" si="4"/>
        <v>67</v>
      </c>
      <c r="AB96">
        <f t="shared" si="5"/>
        <v>1</v>
      </c>
      <c r="AC96">
        <f t="shared" si="6"/>
        <v>1</v>
      </c>
      <c r="AD96">
        <f t="shared" si="7"/>
        <v>1</v>
      </c>
    </row>
    <row r="97" spans="1:30" x14ac:dyDescent="0.3">
      <c r="A97">
        <v>95</v>
      </c>
      <c r="B97">
        <v>172</v>
      </c>
      <c r="C97">
        <v>27</v>
      </c>
      <c r="D97">
        <v>47.440890000000003</v>
      </c>
      <c r="W97">
        <v>94</v>
      </c>
      <c r="X97">
        <v>171</v>
      </c>
      <c r="Y97">
        <v>5</v>
      </c>
      <c r="Z97">
        <v>6.4905400000000002</v>
      </c>
      <c r="AA97">
        <f t="shared" si="4"/>
        <v>6</v>
      </c>
      <c r="AB97">
        <f t="shared" si="5"/>
        <v>1</v>
      </c>
      <c r="AC97">
        <f t="shared" si="6"/>
        <v>0</v>
      </c>
      <c r="AD97">
        <f t="shared" si="7"/>
        <v>0</v>
      </c>
    </row>
    <row r="98" spans="1:30" x14ac:dyDescent="0.3">
      <c r="A98">
        <v>96</v>
      </c>
      <c r="B98">
        <v>173</v>
      </c>
      <c r="C98">
        <v>9</v>
      </c>
      <c r="D98">
        <v>10.147220000000001</v>
      </c>
      <c r="W98">
        <v>95</v>
      </c>
      <c r="X98">
        <v>172</v>
      </c>
      <c r="Y98">
        <v>27</v>
      </c>
      <c r="Z98">
        <v>47.440890000000003</v>
      </c>
      <c r="AA98">
        <f t="shared" si="4"/>
        <v>47</v>
      </c>
      <c r="AB98">
        <f t="shared" si="5"/>
        <v>1</v>
      </c>
      <c r="AC98">
        <f t="shared" si="6"/>
        <v>1</v>
      </c>
      <c r="AD98">
        <f t="shared" si="7"/>
        <v>1</v>
      </c>
    </row>
    <row r="99" spans="1:30" x14ac:dyDescent="0.3">
      <c r="A99">
        <v>97</v>
      </c>
      <c r="B99">
        <v>175</v>
      </c>
      <c r="C99">
        <v>19</v>
      </c>
      <c r="D99">
        <v>32.213540000000002</v>
      </c>
      <c r="W99">
        <v>96</v>
      </c>
      <c r="X99">
        <v>173</v>
      </c>
      <c r="Y99">
        <v>9</v>
      </c>
      <c r="Z99">
        <v>10.147220000000001</v>
      </c>
      <c r="AA99">
        <f t="shared" si="4"/>
        <v>10</v>
      </c>
      <c r="AB99">
        <f t="shared" si="5"/>
        <v>1</v>
      </c>
      <c r="AC99">
        <f t="shared" si="6"/>
        <v>0</v>
      </c>
      <c r="AD99">
        <f t="shared" si="7"/>
        <v>0</v>
      </c>
    </row>
    <row r="100" spans="1:30" x14ac:dyDescent="0.3">
      <c r="A100">
        <v>98</v>
      </c>
      <c r="B100">
        <v>176</v>
      </c>
      <c r="C100">
        <v>100</v>
      </c>
      <c r="D100">
        <v>119.81614</v>
      </c>
      <c r="W100">
        <v>97</v>
      </c>
      <c r="X100">
        <v>175</v>
      </c>
      <c r="Y100">
        <v>19</v>
      </c>
      <c r="Z100">
        <v>32.213540000000002</v>
      </c>
      <c r="AA100">
        <f t="shared" si="4"/>
        <v>32</v>
      </c>
      <c r="AB100">
        <f t="shared" si="5"/>
        <v>1</v>
      </c>
      <c r="AC100">
        <f t="shared" si="6"/>
        <v>1</v>
      </c>
      <c r="AD100">
        <f t="shared" si="7"/>
        <v>1</v>
      </c>
    </row>
    <row r="101" spans="1:30" x14ac:dyDescent="0.3">
      <c r="A101">
        <v>99</v>
      </c>
      <c r="B101">
        <v>179</v>
      </c>
      <c r="C101">
        <v>7</v>
      </c>
      <c r="D101">
        <v>17.82413</v>
      </c>
      <c r="W101">
        <v>98</v>
      </c>
      <c r="X101">
        <v>176</v>
      </c>
      <c r="Y101">
        <v>100</v>
      </c>
      <c r="Z101">
        <v>119.81614</v>
      </c>
      <c r="AA101">
        <f t="shared" si="4"/>
        <v>120</v>
      </c>
      <c r="AB101">
        <f t="shared" si="5"/>
        <v>1</v>
      </c>
      <c r="AC101">
        <f t="shared" si="6"/>
        <v>1</v>
      </c>
      <c r="AD101">
        <f t="shared" si="7"/>
        <v>1</v>
      </c>
    </row>
    <row r="102" spans="1:30" x14ac:dyDescent="0.3">
      <c r="A102">
        <v>100</v>
      </c>
      <c r="B102">
        <v>180</v>
      </c>
      <c r="C102">
        <v>8</v>
      </c>
      <c r="D102">
        <v>14.966340000000001</v>
      </c>
      <c r="W102">
        <v>99</v>
      </c>
      <c r="X102">
        <v>179</v>
      </c>
      <c r="Y102">
        <v>7</v>
      </c>
      <c r="Z102">
        <v>17.82413</v>
      </c>
      <c r="AA102">
        <f t="shared" si="4"/>
        <v>18</v>
      </c>
      <c r="AB102">
        <f t="shared" si="5"/>
        <v>1</v>
      </c>
      <c r="AC102">
        <f t="shared" si="6"/>
        <v>1</v>
      </c>
      <c r="AD102">
        <f t="shared" si="7"/>
        <v>1</v>
      </c>
    </row>
    <row r="103" spans="1:30" x14ac:dyDescent="0.3">
      <c r="A103">
        <v>101</v>
      </c>
      <c r="B103">
        <v>181</v>
      </c>
      <c r="C103">
        <v>2</v>
      </c>
      <c r="D103">
        <v>12.77618</v>
      </c>
      <c r="W103">
        <v>100</v>
      </c>
      <c r="X103">
        <v>180</v>
      </c>
      <c r="Y103">
        <v>8</v>
      </c>
      <c r="Z103">
        <v>14.966340000000001</v>
      </c>
      <c r="AA103">
        <f t="shared" si="4"/>
        <v>15</v>
      </c>
      <c r="AB103">
        <f t="shared" si="5"/>
        <v>1</v>
      </c>
      <c r="AC103">
        <f t="shared" si="6"/>
        <v>1</v>
      </c>
      <c r="AD103">
        <f t="shared" si="7"/>
        <v>0</v>
      </c>
    </row>
    <row r="104" spans="1:30" x14ac:dyDescent="0.3">
      <c r="A104">
        <v>102</v>
      </c>
      <c r="B104">
        <v>182</v>
      </c>
      <c r="C104">
        <v>61</v>
      </c>
      <c r="D104">
        <v>81.837829999999997</v>
      </c>
      <c r="W104">
        <v>101</v>
      </c>
      <c r="X104">
        <v>181</v>
      </c>
      <c r="Y104">
        <v>2</v>
      </c>
      <c r="Z104">
        <v>12.77618</v>
      </c>
      <c r="AA104">
        <f t="shared" si="4"/>
        <v>13</v>
      </c>
      <c r="AB104">
        <f t="shared" si="5"/>
        <v>1</v>
      </c>
      <c r="AC104">
        <f t="shared" si="6"/>
        <v>1</v>
      </c>
      <c r="AD104">
        <f t="shared" si="7"/>
        <v>1</v>
      </c>
    </row>
    <row r="105" spans="1:30" x14ac:dyDescent="0.3">
      <c r="A105">
        <v>103</v>
      </c>
      <c r="B105">
        <v>183</v>
      </c>
      <c r="C105">
        <v>76</v>
      </c>
      <c r="D105">
        <v>86.970680000000002</v>
      </c>
      <c r="W105">
        <v>102</v>
      </c>
      <c r="X105">
        <v>182</v>
      </c>
      <c r="Y105">
        <v>61</v>
      </c>
      <c r="Z105">
        <v>81.837829999999997</v>
      </c>
      <c r="AA105">
        <f t="shared" si="4"/>
        <v>82</v>
      </c>
      <c r="AB105">
        <f t="shared" si="5"/>
        <v>1</v>
      </c>
      <c r="AC105">
        <f t="shared" si="6"/>
        <v>1</v>
      </c>
      <c r="AD105">
        <f t="shared" si="7"/>
        <v>1</v>
      </c>
    </row>
    <row r="106" spans="1:30" x14ac:dyDescent="0.3">
      <c r="A106">
        <v>104</v>
      </c>
      <c r="B106">
        <v>186</v>
      </c>
      <c r="C106">
        <v>1</v>
      </c>
      <c r="D106">
        <v>5.9409900000000002</v>
      </c>
      <c r="W106">
        <v>103</v>
      </c>
      <c r="X106">
        <v>183</v>
      </c>
      <c r="Y106">
        <v>76</v>
      </c>
      <c r="Z106">
        <v>86.970680000000002</v>
      </c>
      <c r="AA106">
        <f t="shared" si="4"/>
        <v>87</v>
      </c>
      <c r="AB106">
        <f t="shared" si="5"/>
        <v>1</v>
      </c>
      <c r="AC106">
        <f t="shared" si="6"/>
        <v>1</v>
      </c>
      <c r="AD106">
        <f t="shared" si="7"/>
        <v>1</v>
      </c>
    </row>
    <row r="107" spans="1:30" x14ac:dyDescent="0.3">
      <c r="A107">
        <v>105</v>
      </c>
      <c r="B107">
        <v>187</v>
      </c>
      <c r="C107">
        <v>2</v>
      </c>
      <c r="D107">
        <v>7.12066</v>
      </c>
      <c r="W107">
        <v>104</v>
      </c>
      <c r="X107">
        <v>186</v>
      </c>
      <c r="Y107">
        <v>1</v>
      </c>
      <c r="Z107">
        <v>5.9409900000000002</v>
      </c>
      <c r="AA107">
        <f t="shared" si="4"/>
        <v>6</v>
      </c>
      <c r="AB107">
        <f t="shared" si="5"/>
        <v>1</v>
      </c>
      <c r="AC107">
        <f t="shared" si="6"/>
        <v>1</v>
      </c>
      <c r="AD107">
        <f t="shared" si="7"/>
        <v>0</v>
      </c>
    </row>
    <row r="108" spans="1:30" x14ac:dyDescent="0.3">
      <c r="A108">
        <v>106</v>
      </c>
      <c r="B108">
        <v>188</v>
      </c>
      <c r="C108">
        <v>7</v>
      </c>
      <c r="D108">
        <v>5.7321299999999997</v>
      </c>
      <c r="W108">
        <v>105</v>
      </c>
      <c r="X108">
        <v>187</v>
      </c>
      <c r="Y108">
        <v>2</v>
      </c>
      <c r="Z108">
        <v>7.12066</v>
      </c>
      <c r="AA108">
        <f t="shared" si="4"/>
        <v>7</v>
      </c>
      <c r="AB108">
        <f t="shared" si="5"/>
        <v>1</v>
      </c>
      <c r="AC108">
        <f t="shared" si="6"/>
        <v>1</v>
      </c>
      <c r="AD108">
        <f t="shared" si="7"/>
        <v>0</v>
      </c>
    </row>
    <row r="109" spans="1:30" x14ac:dyDescent="0.3">
      <c r="A109">
        <v>107</v>
      </c>
      <c r="B109">
        <v>190</v>
      </c>
      <c r="C109">
        <v>190</v>
      </c>
      <c r="D109">
        <v>198.62853999999999</v>
      </c>
      <c r="W109">
        <v>106</v>
      </c>
      <c r="X109">
        <v>188</v>
      </c>
      <c r="Y109">
        <v>7</v>
      </c>
      <c r="Z109">
        <v>5.7321299999999997</v>
      </c>
      <c r="AA109">
        <f t="shared" si="4"/>
        <v>6</v>
      </c>
      <c r="AB109">
        <f t="shared" si="5"/>
        <v>1</v>
      </c>
      <c r="AC109">
        <f t="shared" si="6"/>
        <v>0</v>
      </c>
      <c r="AD109">
        <f t="shared" si="7"/>
        <v>0</v>
      </c>
    </row>
    <row r="110" spans="1:30" x14ac:dyDescent="0.3">
      <c r="A110">
        <v>108</v>
      </c>
      <c r="B110">
        <v>191</v>
      </c>
      <c r="C110">
        <v>98</v>
      </c>
      <c r="D110">
        <v>97.616380000000007</v>
      </c>
      <c r="W110">
        <v>107</v>
      </c>
      <c r="X110">
        <v>190</v>
      </c>
      <c r="Y110">
        <v>190</v>
      </c>
      <c r="Z110">
        <v>198.62853999999999</v>
      </c>
      <c r="AA110">
        <f t="shared" si="4"/>
        <v>199</v>
      </c>
      <c r="AB110">
        <f t="shared" si="5"/>
        <v>1</v>
      </c>
      <c r="AC110">
        <f t="shared" si="6"/>
        <v>1</v>
      </c>
      <c r="AD110">
        <f t="shared" si="7"/>
        <v>0</v>
      </c>
    </row>
    <row r="111" spans="1:30" x14ac:dyDescent="0.3">
      <c r="A111">
        <v>109</v>
      </c>
      <c r="B111">
        <v>194</v>
      </c>
      <c r="C111">
        <v>2</v>
      </c>
      <c r="D111">
        <v>0.27424999999999999</v>
      </c>
      <c r="W111">
        <v>108</v>
      </c>
      <c r="X111">
        <v>191</v>
      </c>
      <c r="Y111">
        <v>98</v>
      </c>
      <c r="Z111">
        <v>97.616380000000007</v>
      </c>
      <c r="AA111">
        <f t="shared" si="4"/>
        <v>98</v>
      </c>
      <c r="AB111">
        <f t="shared" si="5"/>
        <v>0</v>
      </c>
      <c r="AC111">
        <f t="shared" si="6"/>
        <v>0</v>
      </c>
      <c r="AD111">
        <f t="shared" si="7"/>
        <v>0</v>
      </c>
    </row>
    <row r="112" spans="1:30" x14ac:dyDescent="0.3">
      <c r="A112">
        <v>110</v>
      </c>
      <c r="B112">
        <v>195</v>
      </c>
      <c r="C112">
        <v>3</v>
      </c>
      <c r="D112">
        <v>1.6738599999999999</v>
      </c>
      <c r="W112">
        <v>109</v>
      </c>
      <c r="X112">
        <v>194</v>
      </c>
      <c r="Y112">
        <v>2</v>
      </c>
      <c r="Z112">
        <v>0.27424999999999999</v>
      </c>
      <c r="AA112">
        <f t="shared" si="4"/>
        <v>0</v>
      </c>
      <c r="AB112">
        <f t="shared" si="5"/>
        <v>1</v>
      </c>
      <c r="AC112">
        <f t="shared" si="6"/>
        <v>0</v>
      </c>
      <c r="AD112">
        <f t="shared" si="7"/>
        <v>0</v>
      </c>
    </row>
    <row r="113" spans="1:30" x14ac:dyDescent="0.3">
      <c r="A113">
        <v>111</v>
      </c>
      <c r="B113">
        <v>196</v>
      </c>
      <c r="C113">
        <v>49</v>
      </c>
      <c r="D113">
        <v>54.834800000000001</v>
      </c>
      <c r="W113">
        <v>110</v>
      </c>
      <c r="X113">
        <v>195</v>
      </c>
      <c r="Y113">
        <v>3</v>
      </c>
      <c r="Z113">
        <v>1.6738599999999999</v>
      </c>
      <c r="AA113">
        <f t="shared" si="4"/>
        <v>2</v>
      </c>
      <c r="AB113">
        <f t="shared" si="5"/>
        <v>1</v>
      </c>
      <c r="AC113">
        <f t="shared" si="6"/>
        <v>0</v>
      </c>
      <c r="AD113">
        <f t="shared" si="7"/>
        <v>0</v>
      </c>
    </row>
    <row r="114" spans="1:30" x14ac:dyDescent="0.3">
      <c r="A114">
        <v>112</v>
      </c>
      <c r="B114">
        <v>197</v>
      </c>
      <c r="C114">
        <v>143</v>
      </c>
      <c r="D114">
        <v>150.31300999999999</v>
      </c>
      <c r="W114">
        <v>111</v>
      </c>
      <c r="X114">
        <v>196</v>
      </c>
      <c r="Y114">
        <v>49</v>
      </c>
      <c r="Z114">
        <v>54.834800000000001</v>
      </c>
      <c r="AA114">
        <f t="shared" si="4"/>
        <v>55</v>
      </c>
      <c r="AB114">
        <f t="shared" si="5"/>
        <v>1</v>
      </c>
      <c r="AC114">
        <f t="shared" si="6"/>
        <v>1</v>
      </c>
      <c r="AD114">
        <f t="shared" si="7"/>
        <v>0</v>
      </c>
    </row>
    <row r="115" spans="1:30" x14ac:dyDescent="0.3">
      <c r="A115">
        <v>113</v>
      </c>
      <c r="B115">
        <v>200</v>
      </c>
      <c r="C115">
        <v>24</v>
      </c>
      <c r="D115">
        <v>10.55589</v>
      </c>
      <c r="W115">
        <v>112</v>
      </c>
      <c r="X115">
        <v>197</v>
      </c>
      <c r="Y115">
        <v>143</v>
      </c>
      <c r="Z115">
        <v>150.31300999999999</v>
      </c>
      <c r="AA115">
        <f t="shared" si="4"/>
        <v>150</v>
      </c>
      <c r="AB115">
        <f t="shared" si="5"/>
        <v>1</v>
      </c>
      <c r="AC115">
        <f t="shared" si="6"/>
        <v>1</v>
      </c>
      <c r="AD115">
        <f t="shared" si="7"/>
        <v>0</v>
      </c>
    </row>
    <row r="116" spans="1:30" x14ac:dyDescent="0.3">
      <c r="A116">
        <v>114</v>
      </c>
      <c r="B116">
        <v>201</v>
      </c>
      <c r="C116">
        <v>23</v>
      </c>
      <c r="D116">
        <v>11.5749</v>
      </c>
      <c r="W116">
        <v>113</v>
      </c>
      <c r="X116">
        <v>200</v>
      </c>
      <c r="Y116">
        <v>24</v>
      </c>
      <c r="Z116">
        <v>10.55589</v>
      </c>
      <c r="AA116">
        <f t="shared" si="4"/>
        <v>11</v>
      </c>
      <c r="AB116">
        <f t="shared" si="5"/>
        <v>1</v>
      </c>
      <c r="AC116">
        <f t="shared" si="6"/>
        <v>1</v>
      </c>
      <c r="AD116">
        <f t="shared" si="7"/>
        <v>1</v>
      </c>
    </row>
    <row r="117" spans="1:30" x14ac:dyDescent="0.3">
      <c r="A117">
        <v>115</v>
      </c>
      <c r="B117">
        <v>202</v>
      </c>
      <c r="C117">
        <v>7</v>
      </c>
      <c r="D117">
        <v>7.6693800000000003</v>
      </c>
      <c r="W117">
        <v>114</v>
      </c>
      <c r="X117">
        <v>201</v>
      </c>
      <c r="Y117">
        <v>23</v>
      </c>
      <c r="Z117">
        <v>11.5749</v>
      </c>
      <c r="AA117">
        <f t="shared" si="4"/>
        <v>12</v>
      </c>
      <c r="AB117">
        <f t="shared" si="5"/>
        <v>1</v>
      </c>
      <c r="AC117">
        <f t="shared" si="6"/>
        <v>1</v>
      </c>
      <c r="AD117">
        <f t="shared" si="7"/>
        <v>1</v>
      </c>
    </row>
    <row r="118" spans="1:30" x14ac:dyDescent="0.3">
      <c r="A118">
        <v>116</v>
      </c>
      <c r="B118">
        <v>205</v>
      </c>
      <c r="C118">
        <v>67</v>
      </c>
      <c r="D118">
        <v>69.758039999999994</v>
      </c>
      <c r="W118">
        <v>115</v>
      </c>
      <c r="X118">
        <v>202</v>
      </c>
      <c r="Y118">
        <v>7</v>
      </c>
      <c r="Z118">
        <v>7.6693800000000003</v>
      </c>
      <c r="AA118">
        <f t="shared" si="4"/>
        <v>8</v>
      </c>
      <c r="AB118">
        <f t="shared" si="5"/>
        <v>1</v>
      </c>
      <c r="AC118">
        <f t="shared" si="6"/>
        <v>0</v>
      </c>
      <c r="AD118">
        <f t="shared" si="7"/>
        <v>0</v>
      </c>
    </row>
    <row r="119" spans="1:30" x14ac:dyDescent="0.3">
      <c r="A119">
        <v>117</v>
      </c>
      <c r="B119">
        <v>206</v>
      </c>
      <c r="C119">
        <v>212</v>
      </c>
      <c r="D119">
        <v>213.55681000000001</v>
      </c>
      <c r="W119">
        <v>116</v>
      </c>
      <c r="X119">
        <v>205</v>
      </c>
      <c r="Y119">
        <v>67</v>
      </c>
      <c r="Z119">
        <v>69.758039999999994</v>
      </c>
      <c r="AA119">
        <f t="shared" si="4"/>
        <v>70</v>
      </c>
      <c r="AB119">
        <f t="shared" si="5"/>
        <v>1</v>
      </c>
      <c r="AC119">
        <f t="shared" si="6"/>
        <v>0</v>
      </c>
      <c r="AD119">
        <f t="shared" si="7"/>
        <v>0</v>
      </c>
    </row>
    <row r="120" spans="1:30" x14ac:dyDescent="0.3">
      <c r="A120">
        <v>118</v>
      </c>
      <c r="B120">
        <v>207</v>
      </c>
      <c r="C120">
        <v>207</v>
      </c>
      <c r="D120">
        <v>220.64918</v>
      </c>
      <c r="W120">
        <v>117</v>
      </c>
      <c r="X120">
        <v>206</v>
      </c>
      <c r="Y120">
        <v>212</v>
      </c>
      <c r="Z120">
        <v>213.55681000000001</v>
      </c>
      <c r="AA120">
        <f t="shared" si="4"/>
        <v>214</v>
      </c>
      <c r="AB120">
        <f t="shared" si="5"/>
        <v>1</v>
      </c>
      <c r="AC120">
        <f t="shared" si="6"/>
        <v>0</v>
      </c>
      <c r="AD120">
        <f t="shared" si="7"/>
        <v>0</v>
      </c>
    </row>
    <row r="121" spans="1:30" x14ac:dyDescent="0.3">
      <c r="A121">
        <v>119</v>
      </c>
      <c r="B121">
        <v>208</v>
      </c>
      <c r="C121">
        <v>116</v>
      </c>
      <c r="D121">
        <v>110.57807</v>
      </c>
      <c r="W121">
        <v>118</v>
      </c>
      <c r="X121">
        <v>207</v>
      </c>
      <c r="Y121">
        <v>207</v>
      </c>
      <c r="Z121">
        <v>220.64918</v>
      </c>
      <c r="AA121">
        <f t="shared" si="4"/>
        <v>221</v>
      </c>
      <c r="AB121">
        <f t="shared" si="5"/>
        <v>1</v>
      </c>
      <c r="AC121">
        <f t="shared" si="6"/>
        <v>1</v>
      </c>
      <c r="AD121">
        <f t="shared" si="7"/>
        <v>1</v>
      </c>
    </row>
    <row r="122" spans="1:30" x14ac:dyDescent="0.3">
      <c r="A122">
        <v>120</v>
      </c>
      <c r="B122">
        <v>209</v>
      </c>
      <c r="C122">
        <v>28</v>
      </c>
      <c r="D122">
        <v>19.733989999999999</v>
      </c>
      <c r="W122">
        <v>119</v>
      </c>
      <c r="X122">
        <v>208</v>
      </c>
      <c r="Y122">
        <v>116</v>
      </c>
      <c r="Z122">
        <v>110.57807</v>
      </c>
      <c r="AA122">
        <f t="shared" si="4"/>
        <v>111</v>
      </c>
      <c r="AB122">
        <f t="shared" si="5"/>
        <v>1</v>
      </c>
      <c r="AC122">
        <f t="shared" si="6"/>
        <v>1</v>
      </c>
      <c r="AD122">
        <f t="shared" si="7"/>
        <v>0</v>
      </c>
    </row>
    <row r="123" spans="1:30" x14ac:dyDescent="0.3">
      <c r="A123">
        <v>121</v>
      </c>
      <c r="B123">
        <v>214</v>
      </c>
      <c r="C123">
        <v>10</v>
      </c>
      <c r="D123">
        <v>5.7478100000000003</v>
      </c>
      <c r="W123">
        <v>120</v>
      </c>
      <c r="X123">
        <v>209</v>
      </c>
      <c r="Y123">
        <v>28</v>
      </c>
      <c r="Z123">
        <v>19.733989999999999</v>
      </c>
      <c r="AA123">
        <f t="shared" si="4"/>
        <v>20</v>
      </c>
      <c r="AB123">
        <f t="shared" si="5"/>
        <v>1</v>
      </c>
      <c r="AC123">
        <f t="shared" si="6"/>
        <v>1</v>
      </c>
      <c r="AD123">
        <f t="shared" si="7"/>
        <v>0</v>
      </c>
    </row>
    <row r="124" spans="1:30" x14ac:dyDescent="0.3">
      <c r="A124">
        <v>122</v>
      </c>
      <c r="B124">
        <v>215</v>
      </c>
      <c r="C124">
        <v>58</v>
      </c>
      <c r="D124">
        <v>80.709140000000005</v>
      </c>
      <c r="W124">
        <v>121</v>
      </c>
      <c r="X124">
        <v>214</v>
      </c>
      <c r="Y124">
        <v>10</v>
      </c>
      <c r="Z124">
        <v>5.7478100000000003</v>
      </c>
      <c r="AA124">
        <f t="shared" si="4"/>
        <v>6</v>
      </c>
      <c r="AB124">
        <f t="shared" si="5"/>
        <v>1</v>
      </c>
      <c r="AC124">
        <f t="shared" si="6"/>
        <v>0</v>
      </c>
      <c r="AD124">
        <f t="shared" si="7"/>
        <v>0</v>
      </c>
    </row>
    <row r="125" spans="1:30" x14ac:dyDescent="0.3">
      <c r="A125">
        <v>123</v>
      </c>
      <c r="B125">
        <v>216</v>
      </c>
      <c r="C125">
        <v>14</v>
      </c>
      <c r="D125">
        <v>22.58389</v>
      </c>
      <c r="W125">
        <v>122</v>
      </c>
      <c r="X125">
        <v>215</v>
      </c>
      <c r="Y125">
        <v>58</v>
      </c>
      <c r="Z125">
        <v>80.709140000000005</v>
      </c>
      <c r="AA125">
        <f t="shared" si="4"/>
        <v>81</v>
      </c>
      <c r="AB125">
        <f t="shared" si="5"/>
        <v>1</v>
      </c>
      <c r="AC125">
        <f t="shared" si="6"/>
        <v>1</v>
      </c>
      <c r="AD125">
        <f t="shared" si="7"/>
        <v>1</v>
      </c>
    </row>
    <row r="126" spans="1:30" x14ac:dyDescent="0.3">
      <c r="A126">
        <v>124</v>
      </c>
      <c r="B126">
        <v>218</v>
      </c>
      <c r="C126">
        <v>28</v>
      </c>
      <c r="D126">
        <v>18.71715</v>
      </c>
      <c r="W126">
        <v>123</v>
      </c>
      <c r="X126">
        <v>216</v>
      </c>
      <c r="Y126">
        <v>14</v>
      </c>
      <c r="Z126">
        <v>22.58389</v>
      </c>
      <c r="AA126">
        <f t="shared" si="4"/>
        <v>23</v>
      </c>
      <c r="AB126">
        <f t="shared" si="5"/>
        <v>1</v>
      </c>
      <c r="AC126">
        <f t="shared" si="6"/>
        <v>1</v>
      </c>
      <c r="AD126">
        <f t="shared" si="7"/>
        <v>0</v>
      </c>
    </row>
    <row r="127" spans="1:30" x14ac:dyDescent="0.3">
      <c r="A127">
        <v>125</v>
      </c>
      <c r="B127">
        <v>219</v>
      </c>
      <c r="C127">
        <v>84</v>
      </c>
      <c r="D127">
        <v>89.222710000000006</v>
      </c>
      <c r="W127">
        <v>124</v>
      </c>
      <c r="X127">
        <v>218</v>
      </c>
      <c r="Y127">
        <v>28</v>
      </c>
      <c r="Z127">
        <v>18.71715</v>
      </c>
      <c r="AA127">
        <f t="shared" si="4"/>
        <v>19</v>
      </c>
      <c r="AB127">
        <f t="shared" si="5"/>
        <v>1</v>
      </c>
      <c r="AC127">
        <f t="shared" si="6"/>
        <v>1</v>
      </c>
      <c r="AD127">
        <f t="shared" si="7"/>
        <v>0</v>
      </c>
    </row>
    <row r="128" spans="1:30" x14ac:dyDescent="0.3">
      <c r="A128">
        <v>126</v>
      </c>
      <c r="B128">
        <v>220</v>
      </c>
      <c r="C128">
        <v>85</v>
      </c>
      <c r="D128">
        <v>79.937520000000006</v>
      </c>
      <c r="W128">
        <v>125</v>
      </c>
      <c r="X128">
        <v>219</v>
      </c>
      <c r="Y128">
        <v>84</v>
      </c>
      <c r="Z128">
        <v>89.222710000000006</v>
      </c>
      <c r="AA128">
        <f t="shared" si="4"/>
        <v>89</v>
      </c>
      <c r="AB128">
        <f t="shared" si="5"/>
        <v>1</v>
      </c>
      <c r="AC128">
        <f t="shared" si="6"/>
        <v>1</v>
      </c>
      <c r="AD128">
        <f t="shared" si="7"/>
        <v>0</v>
      </c>
    </row>
    <row r="129" spans="1:30" x14ac:dyDescent="0.3">
      <c r="A129">
        <v>127</v>
      </c>
      <c r="B129">
        <v>221</v>
      </c>
      <c r="C129">
        <v>29</v>
      </c>
      <c r="D129">
        <v>31.98659</v>
      </c>
      <c r="W129">
        <v>126</v>
      </c>
      <c r="X129">
        <v>220</v>
      </c>
      <c r="Y129">
        <v>85</v>
      </c>
      <c r="Z129">
        <v>79.937520000000006</v>
      </c>
      <c r="AA129">
        <f t="shared" si="4"/>
        <v>80</v>
      </c>
      <c r="AB129">
        <f t="shared" si="5"/>
        <v>1</v>
      </c>
      <c r="AC129">
        <f t="shared" si="6"/>
        <v>1</v>
      </c>
      <c r="AD129">
        <f t="shared" si="7"/>
        <v>0</v>
      </c>
    </row>
    <row r="130" spans="1:30" x14ac:dyDescent="0.3">
      <c r="A130">
        <v>128</v>
      </c>
      <c r="B130">
        <v>222</v>
      </c>
      <c r="C130">
        <v>20</v>
      </c>
      <c r="D130">
        <v>19.43507</v>
      </c>
      <c r="W130">
        <v>127</v>
      </c>
      <c r="X130">
        <v>221</v>
      </c>
      <c r="Y130">
        <v>29</v>
      </c>
      <c r="Z130">
        <v>31.98659</v>
      </c>
      <c r="AA130">
        <f t="shared" si="4"/>
        <v>32</v>
      </c>
      <c r="AB130">
        <f t="shared" si="5"/>
        <v>1</v>
      </c>
      <c r="AC130">
        <f t="shared" si="6"/>
        <v>0</v>
      </c>
      <c r="AD130">
        <f t="shared" si="7"/>
        <v>0</v>
      </c>
    </row>
    <row r="131" spans="1:30" x14ac:dyDescent="0.3">
      <c r="A131">
        <v>129</v>
      </c>
      <c r="B131">
        <v>223</v>
      </c>
      <c r="C131">
        <v>22</v>
      </c>
      <c r="D131">
        <v>19.99532</v>
      </c>
      <c r="W131">
        <v>128</v>
      </c>
      <c r="X131">
        <v>222</v>
      </c>
      <c r="Y131">
        <v>20</v>
      </c>
      <c r="Z131">
        <v>19.43507</v>
      </c>
      <c r="AA131">
        <f t="shared" si="4"/>
        <v>19</v>
      </c>
      <c r="AB131">
        <f t="shared" si="5"/>
        <v>1</v>
      </c>
      <c r="AC131">
        <f t="shared" si="6"/>
        <v>0</v>
      </c>
      <c r="AD131">
        <f t="shared" si="7"/>
        <v>0</v>
      </c>
    </row>
    <row r="132" spans="1:30" x14ac:dyDescent="0.3">
      <c r="A132">
        <v>130</v>
      </c>
      <c r="B132">
        <v>226</v>
      </c>
      <c r="C132">
        <v>1</v>
      </c>
      <c r="D132">
        <v>0.66057999999999995</v>
      </c>
      <c r="W132">
        <v>129</v>
      </c>
      <c r="X132">
        <v>223</v>
      </c>
      <c r="Y132">
        <v>22</v>
      </c>
      <c r="Z132">
        <v>19.99532</v>
      </c>
      <c r="AA132">
        <f t="shared" si="4"/>
        <v>20</v>
      </c>
      <c r="AB132">
        <f t="shared" si="5"/>
        <v>1</v>
      </c>
      <c r="AC132">
        <f t="shared" si="6"/>
        <v>0</v>
      </c>
      <c r="AD132">
        <f t="shared" si="7"/>
        <v>0</v>
      </c>
    </row>
    <row r="133" spans="1:30" x14ac:dyDescent="0.3">
      <c r="A133">
        <v>131</v>
      </c>
      <c r="B133">
        <v>227</v>
      </c>
      <c r="C133">
        <v>13</v>
      </c>
      <c r="D133">
        <v>15.27298</v>
      </c>
      <c r="W133">
        <v>130</v>
      </c>
      <c r="X133">
        <v>226</v>
      </c>
      <c r="Y133">
        <v>1</v>
      </c>
      <c r="Z133">
        <v>0.66057999999999995</v>
      </c>
      <c r="AA133">
        <f t="shared" ref="AA133:AA196" si="8">ROUND(Z133,0)</f>
        <v>1</v>
      </c>
      <c r="AB133">
        <f t="shared" ref="AB133:AB196" si="9">IF(AA133=Y133,0,1)</f>
        <v>0</v>
      </c>
      <c r="AC133">
        <f t="shared" ref="AC133:AC196" si="10">IF(AA133&lt;Y133+5,IF(AA133&gt;Y133-5,0,1),1)</f>
        <v>0</v>
      </c>
      <c r="AD133">
        <f t="shared" ref="AD133:AD196" si="11">IF(AA133&lt;Y133+10,IF(AA133&gt;Y133-10,0,1),1)</f>
        <v>0</v>
      </c>
    </row>
    <row r="134" spans="1:30" x14ac:dyDescent="0.3">
      <c r="A134">
        <v>132</v>
      </c>
      <c r="B134">
        <v>228</v>
      </c>
      <c r="C134">
        <v>50</v>
      </c>
      <c r="D134">
        <v>51.100560000000002</v>
      </c>
      <c r="W134">
        <v>131</v>
      </c>
      <c r="X134">
        <v>227</v>
      </c>
      <c r="Y134">
        <v>13</v>
      </c>
      <c r="Z134">
        <v>15.27298</v>
      </c>
      <c r="AA134">
        <f t="shared" si="8"/>
        <v>15</v>
      </c>
      <c r="AB134">
        <f t="shared" si="9"/>
        <v>1</v>
      </c>
      <c r="AC134">
        <f t="shared" si="10"/>
        <v>0</v>
      </c>
      <c r="AD134">
        <f t="shared" si="11"/>
        <v>0</v>
      </c>
    </row>
    <row r="135" spans="1:30" x14ac:dyDescent="0.3">
      <c r="A135">
        <v>133</v>
      </c>
      <c r="B135">
        <v>230</v>
      </c>
      <c r="C135">
        <v>51</v>
      </c>
      <c r="D135">
        <v>69.627529999999993</v>
      </c>
      <c r="W135">
        <v>132</v>
      </c>
      <c r="X135">
        <v>228</v>
      </c>
      <c r="Y135">
        <v>50</v>
      </c>
      <c r="Z135">
        <v>51.100560000000002</v>
      </c>
      <c r="AA135">
        <f t="shared" si="8"/>
        <v>51</v>
      </c>
      <c r="AB135">
        <f t="shared" si="9"/>
        <v>1</v>
      </c>
      <c r="AC135">
        <f t="shared" si="10"/>
        <v>0</v>
      </c>
      <c r="AD135">
        <f t="shared" si="11"/>
        <v>0</v>
      </c>
    </row>
    <row r="136" spans="1:30" x14ac:dyDescent="0.3">
      <c r="A136">
        <v>134</v>
      </c>
      <c r="B136">
        <v>231</v>
      </c>
      <c r="C136">
        <v>30</v>
      </c>
      <c r="D136">
        <v>42.234960000000001</v>
      </c>
      <c r="W136">
        <v>133</v>
      </c>
      <c r="X136">
        <v>230</v>
      </c>
      <c r="Y136">
        <v>51</v>
      </c>
      <c r="Z136">
        <v>69.627529999999993</v>
      </c>
      <c r="AA136">
        <f t="shared" si="8"/>
        <v>70</v>
      </c>
      <c r="AB136">
        <f t="shared" si="9"/>
        <v>1</v>
      </c>
      <c r="AC136">
        <f t="shared" si="10"/>
        <v>1</v>
      </c>
      <c r="AD136">
        <f t="shared" si="11"/>
        <v>1</v>
      </c>
    </row>
    <row r="137" spans="1:30" x14ac:dyDescent="0.3">
      <c r="A137">
        <v>135</v>
      </c>
      <c r="B137">
        <v>234</v>
      </c>
      <c r="C137">
        <v>17</v>
      </c>
      <c r="D137">
        <v>20.469390000000001</v>
      </c>
      <c r="W137">
        <v>134</v>
      </c>
      <c r="X137">
        <v>231</v>
      </c>
      <c r="Y137">
        <v>30</v>
      </c>
      <c r="Z137">
        <v>42.234960000000001</v>
      </c>
      <c r="AA137">
        <f t="shared" si="8"/>
        <v>42</v>
      </c>
      <c r="AB137">
        <f t="shared" si="9"/>
        <v>1</v>
      </c>
      <c r="AC137">
        <f t="shared" si="10"/>
        <v>1</v>
      </c>
      <c r="AD137">
        <f t="shared" si="11"/>
        <v>1</v>
      </c>
    </row>
    <row r="138" spans="1:30" x14ac:dyDescent="0.3">
      <c r="A138">
        <v>136</v>
      </c>
      <c r="B138">
        <v>235</v>
      </c>
      <c r="C138">
        <v>17</v>
      </c>
      <c r="D138">
        <v>21.784279999999999</v>
      </c>
      <c r="W138">
        <v>135</v>
      </c>
      <c r="X138">
        <v>234</v>
      </c>
      <c r="Y138">
        <v>17</v>
      </c>
      <c r="Z138">
        <v>20.469390000000001</v>
      </c>
      <c r="AA138">
        <f t="shared" si="8"/>
        <v>20</v>
      </c>
      <c r="AB138">
        <f t="shared" si="9"/>
        <v>1</v>
      </c>
      <c r="AC138">
        <f t="shared" si="10"/>
        <v>0</v>
      </c>
      <c r="AD138">
        <f t="shared" si="11"/>
        <v>0</v>
      </c>
    </row>
    <row r="139" spans="1:30" x14ac:dyDescent="0.3">
      <c r="A139">
        <v>137</v>
      </c>
      <c r="B139">
        <v>236</v>
      </c>
      <c r="C139">
        <v>9</v>
      </c>
      <c r="D139">
        <v>9.95641</v>
      </c>
      <c r="W139">
        <v>136</v>
      </c>
      <c r="X139">
        <v>235</v>
      </c>
      <c r="Y139">
        <v>17</v>
      </c>
      <c r="Z139">
        <v>21.784279999999999</v>
      </c>
      <c r="AA139">
        <f t="shared" si="8"/>
        <v>22</v>
      </c>
      <c r="AB139">
        <f t="shared" si="9"/>
        <v>1</v>
      </c>
      <c r="AC139">
        <f t="shared" si="10"/>
        <v>1</v>
      </c>
      <c r="AD139">
        <f t="shared" si="11"/>
        <v>0</v>
      </c>
    </row>
    <row r="140" spans="1:30" x14ac:dyDescent="0.3">
      <c r="A140">
        <v>138</v>
      </c>
      <c r="B140">
        <v>238</v>
      </c>
      <c r="C140">
        <v>4</v>
      </c>
      <c r="D140">
        <v>1.5348599999999999</v>
      </c>
      <c r="W140">
        <v>137</v>
      </c>
      <c r="X140">
        <v>236</v>
      </c>
      <c r="Y140">
        <v>9</v>
      </c>
      <c r="Z140">
        <v>9.95641</v>
      </c>
      <c r="AA140">
        <f t="shared" si="8"/>
        <v>10</v>
      </c>
      <c r="AB140">
        <f t="shared" si="9"/>
        <v>1</v>
      </c>
      <c r="AC140">
        <f t="shared" si="10"/>
        <v>0</v>
      </c>
      <c r="AD140">
        <f t="shared" si="11"/>
        <v>0</v>
      </c>
    </row>
    <row r="141" spans="1:30" x14ac:dyDescent="0.3">
      <c r="A141">
        <v>139</v>
      </c>
      <c r="B141">
        <v>239</v>
      </c>
      <c r="C141">
        <v>44</v>
      </c>
      <c r="D141">
        <v>37.859459999999999</v>
      </c>
      <c r="W141">
        <v>138</v>
      </c>
      <c r="X141">
        <v>238</v>
      </c>
      <c r="Y141">
        <v>4</v>
      </c>
      <c r="Z141">
        <v>1.5348599999999999</v>
      </c>
      <c r="AA141">
        <f t="shared" si="8"/>
        <v>2</v>
      </c>
      <c r="AB141">
        <f t="shared" si="9"/>
        <v>1</v>
      </c>
      <c r="AC141">
        <f t="shared" si="10"/>
        <v>0</v>
      </c>
      <c r="AD141">
        <f t="shared" si="11"/>
        <v>0</v>
      </c>
    </row>
    <row r="142" spans="1:30" x14ac:dyDescent="0.3">
      <c r="A142">
        <v>140</v>
      </c>
      <c r="B142">
        <v>242</v>
      </c>
      <c r="C142">
        <v>206</v>
      </c>
      <c r="D142">
        <v>197.80257</v>
      </c>
      <c r="W142">
        <v>139</v>
      </c>
      <c r="X142">
        <v>239</v>
      </c>
      <c r="Y142">
        <v>44</v>
      </c>
      <c r="Z142">
        <v>37.859459999999999</v>
      </c>
      <c r="AA142">
        <f t="shared" si="8"/>
        <v>38</v>
      </c>
      <c r="AB142">
        <f t="shared" si="9"/>
        <v>1</v>
      </c>
      <c r="AC142">
        <f t="shared" si="10"/>
        <v>1</v>
      </c>
      <c r="AD142">
        <f t="shared" si="11"/>
        <v>0</v>
      </c>
    </row>
    <row r="143" spans="1:30" x14ac:dyDescent="0.3">
      <c r="A143">
        <v>141</v>
      </c>
      <c r="B143">
        <v>243</v>
      </c>
      <c r="C143">
        <v>94</v>
      </c>
      <c r="D143">
        <v>98.154470000000003</v>
      </c>
      <c r="W143">
        <v>140</v>
      </c>
      <c r="X143">
        <v>242</v>
      </c>
      <c r="Y143">
        <v>206</v>
      </c>
      <c r="Z143">
        <v>197.80257</v>
      </c>
      <c r="AA143">
        <f t="shared" si="8"/>
        <v>198</v>
      </c>
      <c r="AB143">
        <f t="shared" si="9"/>
        <v>1</v>
      </c>
      <c r="AC143">
        <f t="shared" si="10"/>
        <v>1</v>
      </c>
      <c r="AD143">
        <f t="shared" si="11"/>
        <v>0</v>
      </c>
    </row>
    <row r="144" spans="1:30" x14ac:dyDescent="0.3">
      <c r="A144">
        <v>142</v>
      </c>
      <c r="B144">
        <v>246</v>
      </c>
      <c r="C144">
        <v>18</v>
      </c>
      <c r="D144">
        <v>17.399460000000001</v>
      </c>
      <c r="W144">
        <v>141</v>
      </c>
      <c r="X144">
        <v>243</v>
      </c>
      <c r="Y144">
        <v>94</v>
      </c>
      <c r="Z144">
        <v>98.154470000000003</v>
      </c>
      <c r="AA144">
        <f t="shared" si="8"/>
        <v>98</v>
      </c>
      <c r="AB144">
        <f t="shared" si="9"/>
        <v>1</v>
      </c>
      <c r="AC144">
        <f t="shared" si="10"/>
        <v>0</v>
      </c>
      <c r="AD144">
        <f t="shared" si="11"/>
        <v>0</v>
      </c>
    </row>
    <row r="145" spans="1:30" x14ac:dyDescent="0.3">
      <c r="A145">
        <v>143</v>
      </c>
      <c r="B145">
        <v>247</v>
      </c>
      <c r="C145">
        <v>15</v>
      </c>
      <c r="D145">
        <v>17.335049999999999</v>
      </c>
      <c r="W145">
        <v>142</v>
      </c>
      <c r="X145">
        <v>246</v>
      </c>
      <c r="Y145">
        <v>18</v>
      </c>
      <c r="Z145">
        <v>17.399460000000001</v>
      </c>
      <c r="AA145">
        <f t="shared" si="8"/>
        <v>17</v>
      </c>
      <c r="AB145">
        <f t="shared" si="9"/>
        <v>1</v>
      </c>
      <c r="AC145">
        <f t="shared" si="10"/>
        <v>0</v>
      </c>
      <c r="AD145">
        <f t="shared" si="11"/>
        <v>0</v>
      </c>
    </row>
    <row r="146" spans="1:30" x14ac:dyDescent="0.3">
      <c r="A146">
        <v>144</v>
      </c>
      <c r="B146">
        <v>250</v>
      </c>
      <c r="C146">
        <v>2</v>
      </c>
      <c r="D146">
        <v>10.84638</v>
      </c>
      <c r="W146">
        <v>143</v>
      </c>
      <c r="X146">
        <v>247</v>
      </c>
      <c r="Y146">
        <v>15</v>
      </c>
      <c r="Z146">
        <v>17.335049999999999</v>
      </c>
      <c r="AA146">
        <f t="shared" si="8"/>
        <v>17</v>
      </c>
      <c r="AB146">
        <f t="shared" si="9"/>
        <v>1</v>
      </c>
      <c r="AC146">
        <f t="shared" si="10"/>
        <v>0</v>
      </c>
      <c r="AD146">
        <f t="shared" si="11"/>
        <v>0</v>
      </c>
    </row>
    <row r="147" spans="1:30" x14ac:dyDescent="0.3">
      <c r="A147">
        <v>145</v>
      </c>
      <c r="B147">
        <v>254</v>
      </c>
      <c r="C147">
        <v>55</v>
      </c>
      <c r="D147">
        <v>57.698210000000003</v>
      </c>
      <c r="W147">
        <v>144</v>
      </c>
      <c r="X147">
        <v>250</v>
      </c>
      <c r="Y147">
        <v>2</v>
      </c>
      <c r="Z147">
        <v>10.84638</v>
      </c>
      <c r="AA147">
        <f t="shared" si="8"/>
        <v>11</v>
      </c>
      <c r="AB147">
        <f t="shared" si="9"/>
        <v>1</v>
      </c>
      <c r="AC147">
        <f t="shared" si="10"/>
        <v>1</v>
      </c>
      <c r="AD147">
        <f t="shared" si="11"/>
        <v>0</v>
      </c>
    </row>
    <row r="148" spans="1:30" x14ac:dyDescent="0.3">
      <c r="A148">
        <v>146</v>
      </c>
      <c r="B148">
        <v>255</v>
      </c>
      <c r="C148">
        <v>50</v>
      </c>
      <c r="D148">
        <v>63.12679</v>
      </c>
      <c r="W148">
        <v>145</v>
      </c>
      <c r="X148">
        <v>254</v>
      </c>
      <c r="Y148">
        <v>55</v>
      </c>
      <c r="Z148">
        <v>57.698210000000003</v>
      </c>
      <c r="AA148">
        <f t="shared" si="8"/>
        <v>58</v>
      </c>
      <c r="AB148">
        <f t="shared" si="9"/>
        <v>1</v>
      </c>
      <c r="AC148">
        <f t="shared" si="10"/>
        <v>0</v>
      </c>
      <c r="AD148">
        <f t="shared" si="11"/>
        <v>0</v>
      </c>
    </row>
    <row r="149" spans="1:30" x14ac:dyDescent="0.3">
      <c r="A149">
        <v>147</v>
      </c>
      <c r="B149">
        <v>256</v>
      </c>
      <c r="C149">
        <v>19</v>
      </c>
      <c r="D149">
        <v>18.056899999999999</v>
      </c>
      <c r="W149">
        <v>146</v>
      </c>
      <c r="X149">
        <v>255</v>
      </c>
      <c r="Y149">
        <v>50</v>
      </c>
      <c r="Z149">
        <v>63.12679</v>
      </c>
      <c r="AA149">
        <f t="shared" si="8"/>
        <v>63</v>
      </c>
      <c r="AB149">
        <f t="shared" si="9"/>
        <v>1</v>
      </c>
      <c r="AC149">
        <f t="shared" si="10"/>
        <v>1</v>
      </c>
      <c r="AD149">
        <f t="shared" si="11"/>
        <v>1</v>
      </c>
    </row>
    <row r="150" spans="1:30" x14ac:dyDescent="0.3">
      <c r="A150">
        <v>148</v>
      </c>
      <c r="B150">
        <v>258</v>
      </c>
      <c r="C150">
        <v>113</v>
      </c>
      <c r="D150">
        <v>124.69458</v>
      </c>
      <c r="W150">
        <v>147</v>
      </c>
      <c r="X150">
        <v>256</v>
      </c>
      <c r="Y150">
        <v>19</v>
      </c>
      <c r="Z150">
        <v>18.056899999999999</v>
      </c>
      <c r="AA150">
        <f t="shared" si="8"/>
        <v>18</v>
      </c>
      <c r="AB150">
        <f t="shared" si="9"/>
        <v>1</v>
      </c>
      <c r="AC150">
        <f t="shared" si="10"/>
        <v>0</v>
      </c>
      <c r="AD150">
        <f t="shared" si="11"/>
        <v>0</v>
      </c>
    </row>
    <row r="151" spans="1:30" x14ac:dyDescent="0.3">
      <c r="A151">
        <v>149</v>
      </c>
      <c r="B151">
        <v>259</v>
      </c>
      <c r="C151">
        <v>115</v>
      </c>
      <c r="D151">
        <v>128.75769</v>
      </c>
      <c r="W151">
        <v>148</v>
      </c>
      <c r="X151">
        <v>258</v>
      </c>
      <c r="Y151">
        <v>113</v>
      </c>
      <c r="Z151">
        <v>124.69458</v>
      </c>
      <c r="AA151">
        <f t="shared" si="8"/>
        <v>125</v>
      </c>
      <c r="AB151">
        <f t="shared" si="9"/>
        <v>1</v>
      </c>
      <c r="AC151">
        <f t="shared" si="10"/>
        <v>1</v>
      </c>
      <c r="AD151">
        <f t="shared" si="11"/>
        <v>1</v>
      </c>
    </row>
    <row r="152" spans="1:30" x14ac:dyDescent="0.3">
      <c r="A152">
        <v>150</v>
      </c>
      <c r="B152">
        <v>265</v>
      </c>
      <c r="C152">
        <v>43</v>
      </c>
      <c r="D152">
        <v>28.824110000000001</v>
      </c>
      <c r="W152">
        <v>149</v>
      </c>
      <c r="X152">
        <v>259</v>
      </c>
      <c r="Y152">
        <v>115</v>
      </c>
      <c r="Z152">
        <v>128.75769</v>
      </c>
      <c r="AA152">
        <f t="shared" si="8"/>
        <v>129</v>
      </c>
      <c r="AB152">
        <f t="shared" si="9"/>
        <v>1</v>
      </c>
      <c r="AC152">
        <f t="shared" si="10"/>
        <v>1</v>
      </c>
      <c r="AD152">
        <f t="shared" si="11"/>
        <v>1</v>
      </c>
    </row>
    <row r="153" spans="1:30" x14ac:dyDescent="0.3">
      <c r="A153">
        <v>151</v>
      </c>
      <c r="B153">
        <v>273</v>
      </c>
      <c r="C153">
        <v>4</v>
      </c>
      <c r="D153">
        <v>9.96814</v>
      </c>
      <c r="W153">
        <v>150</v>
      </c>
      <c r="X153">
        <v>265</v>
      </c>
      <c r="Y153">
        <v>43</v>
      </c>
      <c r="Z153">
        <v>28.824110000000001</v>
      </c>
      <c r="AA153">
        <f t="shared" si="8"/>
        <v>29</v>
      </c>
      <c r="AB153">
        <f t="shared" si="9"/>
        <v>1</v>
      </c>
      <c r="AC153">
        <f t="shared" si="10"/>
        <v>1</v>
      </c>
      <c r="AD153">
        <f t="shared" si="11"/>
        <v>1</v>
      </c>
    </row>
    <row r="154" spans="1:30" x14ac:dyDescent="0.3">
      <c r="A154">
        <v>152</v>
      </c>
      <c r="B154">
        <v>274</v>
      </c>
      <c r="C154">
        <v>3</v>
      </c>
      <c r="D154">
        <v>4.1412500000000003</v>
      </c>
      <c r="W154">
        <v>151</v>
      </c>
      <c r="X154">
        <v>273</v>
      </c>
      <c r="Y154">
        <v>4</v>
      </c>
      <c r="Z154">
        <v>9.96814</v>
      </c>
      <c r="AA154">
        <f t="shared" si="8"/>
        <v>10</v>
      </c>
      <c r="AB154">
        <f t="shared" si="9"/>
        <v>1</v>
      </c>
      <c r="AC154">
        <f t="shared" si="10"/>
        <v>1</v>
      </c>
      <c r="AD154">
        <f t="shared" si="11"/>
        <v>0</v>
      </c>
    </row>
    <row r="155" spans="1:30" x14ac:dyDescent="0.3">
      <c r="A155">
        <v>153</v>
      </c>
      <c r="B155">
        <v>275</v>
      </c>
      <c r="C155">
        <v>5</v>
      </c>
      <c r="D155">
        <v>9.5778599999999994</v>
      </c>
      <c r="W155">
        <v>152</v>
      </c>
      <c r="X155">
        <v>274</v>
      </c>
      <c r="Y155">
        <v>3</v>
      </c>
      <c r="Z155">
        <v>4.1412500000000003</v>
      </c>
      <c r="AA155">
        <f t="shared" si="8"/>
        <v>4</v>
      </c>
      <c r="AB155">
        <f t="shared" si="9"/>
        <v>1</v>
      </c>
      <c r="AC155">
        <f t="shared" si="10"/>
        <v>0</v>
      </c>
      <c r="AD155">
        <f t="shared" si="11"/>
        <v>0</v>
      </c>
    </row>
    <row r="156" spans="1:30" x14ac:dyDescent="0.3">
      <c r="A156">
        <v>154</v>
      </c>
      <c r="B156">
        <v>277</v>
      </c>
      <c r="C156">
        <v>139</v>
      </c>
      <c r="D156">
        <v>143.95186000000001</v>
      </c>
      <c r="W156">
        <v>153</v>
      </c>
      <c r="X156">
        <v>275</v>
      </c>
      <c r="Y156">
        <v>5</v>
      </c>
      <c r="Z156">
        <v>9.5778599999999994</v>
      </c>
      <c r="AA156">
        <f t="shared" si="8"/>
        <v>10</v>
      </c>
      <c r="AB156">
        <f t="shared" si="9"/>
        <v>1</v>
      </c>
      <c r="AC156">
        <f t="shared" si="10"/>
        <v>1</v>
      </c>
      <c r="AD156">
        <f t="shared" si="11"/>
        <v>0</v>
      </c>
    </row>
    <row r="157" spans="1:30" x14ac:dyDescent="0.3">
      <c r="A157">
        <v>155</v>
      </c>
      <c r="B157">
        <v>280</v>
      </c>
      <c r="C157">
        <v>23</v>
      </c>
      <c r="D157">
        <v>9.0162099999999992</v>
      </c>
      <c r="W157">
        <v>154</v>
      </c>
      <c r="X157">
        <v>277</v>
      </c>
      <c r="Y157">
        <v>139</v>
      </c>
      <c r="Z157">
        <v>143.95186000000001</v>
      </c>
      <c r="AA157">
        <f t="shared" si="8"/>
        <v>144</v>
      </c>
      <c r="AB157">
        <f t="shared" si="9"/>
        <v>1</v>
      </c>
      <c r="AC157">
        <f t="shared" si="10"/>
        <v>1</v>
      </c>
      <c r="AD157">
        <f t="shared" si="11"/>
        <v>0</v>
      </c>
    </row>
    <row r="158" spans="1:30" x14ac:dyDescent="0.3">
      <c r="A158">
        <v>156</v>
      </c>
      <c r="B158">
        <v>284</v>
      </c>
      <c r="C158">
        <v>14</v>
      </c>
      <c r="D158">
        <v>24.154499999999999</v>
      </c>
      <c r="W158">
        <v>155</v>
      </c>
      <c r="X158">
        <v>280</v>
      </c>
      <c r="Y158">
        <v>23</v>
      </c>
      <c r="Z158">
        <v>9.0162099999999992</v>
      </c>
      <c r="AA158">
        <f t="shared" si="8"/>
        <v>9</v>
      </c>
      <c r="AB158">
        <f t="shared" si="9"/>
        <v>1</v>
      </c>
      <c r="AC158">
        <f t="shared" si="10"/>
        <v>1</v>
      </c>
      <c r="AD158">
        <f t="shared" si="11"/>
        <v>1</v>
      </c>
    </row>
    <row r="159" spans="1:30" x14ac:dyDescent="0.3">
      <c r="A159">
        <v>157</v>
      </c>
      <c r="B159">
        <v>285</v>
      </c>
      <c r="C159">
        <v>12</v>
      </c>
      <c r="D159">
        <v>18.835999999999999</v>
      </c>
      <c r="W159">
        <v>156</v>
      </c>
      <c r="X159">
        <v>284</v>
      </c>
      <c r="Y159">
        <v>14</v>
      </c>
      <c r="Z159">
        <v>24.154499999999999</v>
      </c>
      <c r="AA159">
        <f t="shared" si="8"/>
        <v>24</v>
      </c>
      <c r="AB159">
        <f t="shared" si="9"/>
        <v>1</v>
      </c>
      <c r="AC159">
        <f t="shared" si="10"/>
        <v>1</v>
      </c>
      <c r="AD159">
        <f t="shared" si="11"/>
        <v>1</v>
      </c>
    </row>
    <row r="160" spans="1:30" x14ac:dyDescent="0.3">
      <c r="A160">
        <v>158</v>
      </c>
      <c r="B160">
        <v>289</v>
      </c>
      <c r="C160">
        <v>12</v>
      </c>
      <c r="D160">
        <v>16.07742</v>
      </c>
      <c r="W160">
        <v>157</v>
      </c>
      <c r="X160">
        <v>285</v>
      </c>
      <c r="Y160">
        <v>12</v>
      </c>
      <c r="Z160">
        <v>18.835999999999999</v>
      </c>
      <c r="AA160">
        <f t="shared" si="8"/>
        <v>19</v>
      </c>
      <c r="AB160">
        <f t="shared" si="9"/>
        <v>1</v>
      </c>
      <c r="AC160">
        <f t="shared" si="10"/>
        <v>1</v>
      </c>
      <c r="AD160">
        <f t="shared" si="11"/>
        <v>0</v>
      </c>
    </row>
    <row r="161" spans="1:30" x14ac:dyDescent="0.3">
      <c r="A161">
        <v>159</v>
      </c>
      <c r="B161">
        <v>292</v>
      </c>
      <c r="C161">
        <v>1</v>
      </c>
      <c r="D161">
        <v>2.0578500000000002</v>
      </c>
      <c r="W161">
        <v>158</v>
      </c>
      <c r="X161">
        <v>289</v>
      </c>
      <c r="Y161">
        <v>12</v>
      </c>
      <c r="Z161">
        <v>16.07742</v>
      </c>
      <c r="AA161">
        <f t="shared" si="8"/>
        <v>16</v>
      </c>
      <c r="AB161">
        <f t="shared" si="9"/>
        <v>1</v>
      </c>
      <c r="AC161">
        <f t="shared" si="10"/>
        <v>0</v>
      </c>
      <c r="AD161">
        <f t="shared" si="11"/>
        <v>0</v>
      </c>
    </row>
    <row r="162" spans="1:30" x14ac:dyDescent="0.3">
      <c r="A162">
        <v>160</v>
      </c>
      <c r="B162">
        <v>293</v>
      </c>
      <c r="C162">
        <v>38</v>
      </c>
      <c r="D162">
        <v>39.156210000000002</v>
      </c>
      <c r="W162">
        <v>159</v>
      </c>
      <c r="X162">
        <v>292</v>
      </c>
      <c r="Y162">
        <v>1</v>
      </c>
      <c r="Z162">
        <v>2.0578500000000002</v>
      </c>
      <c r="AA162">
        <f t="shared" si="8"/>
        <v>2</v>
      </c>
      <c r="AB162">
        <f t="shared" si="9"/>
        <v>1</v>
      </c>
      <c r="AC162">
        <f t="shared" si="10"/>
        <v>0</v>
      </c>
      <c r="AD162">
        <f t="shared" si="11"/>
        <v>0</v>
      </c>
    </row>
    <row r="163" spans="1:30" x14ac:dyDescent="0.3">
      <c r="A163">
        <v>161</v>
      </c>
      <c r="B163">
        <v>296</v>
      </c>
      <c r="C163">
        <v>36</v>
      </c>
      <c r="D163">
        <v>21.7881</v>
      </c>
      <c r="W163">
        <v>160</v>
      </c>
      <c r="X163">
        <v>293</v>
      </c>
      <c r="Y163">
        <v>38</v>
      </c>
      <c r="Z163">
        <v>39.156210000000002</v>
      </c>
      <c r="AA163">
        <f t="shared" si="8"/>
        <v>39</v>
      </c>
      <c r="AB163">
        <f t="shared" si="9"/>
        <v>1</v>
      </c>
      <c r="AC163">
        <f t="shared" si="10"/>
        <v>0</v>
      </c>
      <c r="AD163">
        <f t="shared" si="11"/>
        <v>0</v>
      </c>
    </row>
    <row r="164" spans="1:30" x14ac:dyDescent="0.3">
      <c r="A164">
        <v>162</v>
      </c>
      <c r="B164">
        <v>297</v>
      </c>
      <c r="C164">
        <v>40</v>
      </c>
      <c r="D164">
        <v>26.10934</v>
      </c>
      <c r="W164">
        <v>161</v>
      </c>
      <c r="X164">
        <v>296</v>
      </c>
      <c r="Y164">
        <v>36</v>
      </c>
      <c r="Z164">
        <v>21.7881</v>
      </c>
      <c r="AA164">
        <f t="shared" si="8"/>
        <v>22</v>
      </c>
      <c r="AB164">
        <f t="shared" si="9"/>
        <v>1</v>
      </c>
      <c r="AC164">
        <f t="shared" si="10"/>
        <v>1</v>
      </c>
      <c r="AD164">
        <f t="shared" si="11"/>
        <v>1</v>
      </c>
    </row>
    <row r="165" spans="1:30" x14ac:dyDescent="0.3">
      <c r="A165">
        <v>163</v>
      </c>
      <c r="B165">
        <v>300</v>
      </c>
      <c r="C165">
        <v>3</v>
      </c>
      <c r="D165">
        <v>11.35365</v>
      </c>
      <c r="W165">
        <v>162</v>
      </c>
      <c r="X165">
        <v>297</v>
      </c>
      <c r="Y165">
        <v>40</v>
      </c>
      <c r="Z165">
        <v>26.10934</v>
      </c>
      <c r="AA165">
        <f t="shared" si="8"/>
        <v>26</v>
      </c>
      <c r="AB165">
        <f t="shared" si="9"/>
        <v>1</v>
      </c>
      <c r="AC165">
        <f t="shared" si="10"/>
        <v>1</v>
      </c>
      <c r="AD165">
        <f t="shared" si="11"/>
        <v>1</v>
      </c>
    </row>
    <row r="166" spans="1:30" x14ac:dyDescent="0.3">
      <c r="A166">
        <v>164</v>
      </c>
      <c r="B166">
        <v>301</v>
      </c>
      <c r="C166">
        <v>6</v>
      </c>
      <c r="D166">
        <v>16.34065</v>
      </c>
      <c r="W166">
        <v>163</v>
      </c>
      <c r="X166">
        <v>300</v>
      </c>
      <c r="Y166">
        <v>3</v>
      </c>
      <c r="Z166">
        <v>11.35365</v>
      </c>
      <c r="AA166">
        <f t="shared" si="8"/>
        <v>11</v>
      </c>
      <c r="AB166">
        <f t="shared" si="9"/>
        <v>1</v>
      </c>
      <c r="AC166">
        <f t="shared" si="10"/>
        <v>1</v>
      </c>
      <c r="AD166">
        <f t="shared" si="11"/>
        <v>0</v>
      </c>
    </row>
    <row r="167" spans="1:30" x14ac:dyDescent="0.3">
      <c r="A167">
        <v>165</v>
      </c>
      <c r="B167">
        <v>303</v>
      </c>
      <c r="C167">
        <v>19</v>
      </c>
      <c r="D167">
        <v>40.312170000000002</v>
      </c>
      <c r="W167">
        <v>164</v>
      </c>
      <c r="X167">
        <v>301</v>
      </c>
      <c r="Y167">
        <v>6</v>
      </c>
      <c r="Z167">
        <v>16.34065</v>
      </c>
      <c r="AA167">
        <f t="shared" si="8"/>
        <v>16</v>
      </c>
      <c r="AB167">
        <f t="shared" si="9"/>
        <v>1</v>
      </c>
      <c r="AC167">
        <f t="shared" si="10"/>
        <v>1</v>
      </c>
      <c r="AD167">
        <f t="shared" si="11"/>
        <v>1</v>
      </c>
    </row>
    <row r="168" spans="1:30" x14ac:dyDescent="0.3">
      <c r="A168">
        <v>166</v>
      </c>
      <c r="B168">
        <v>304</v>
      </c>
      <c r="C168">
        <v>39</v>
      </c>
      <c r="D168">
        <v>45.283239999999999</v>
      </c>
      <c r="W168">
        <v>165</v>
      </c>
      <c r="X168">
        <v>303</v>
      </c>
      <c r="Y168">
        <v>19</v>
      </c>
      <c r="Z168">
        <v>40.312170000000002</v>
      </c>
      <c r="AA168">
        <f t="shared" si="8"/>
        <v>40</v>
      </c>
      <c r="AB168">
        <f t="shared" si="9"/>
        <v>1</v>
      </c>
      <c r="AC168">
        <f t="shared" si="10"/>
        <v>1</v>
      </c>
      <c r="AD168">
        <f t="shared" si="11"/>
        <v>1</v>
      </c>
    </row>
    <row r="169" spans="1:30" x14ac:dyDescent="0.3">
      <c r="A169">
        <v>167</v>
      </c>
      <c r="B169">
        <v>307</v>
      </c>
      <c r="C169">
        <v>36</v>
      </c>
      <c r="D169">
        <v>44.907029999999999</v>
      </c>
      <c r="W169">
        <v>166</v>
      </c>
      <c r="X169">
        <v>304</v>
      </c>
      <c r="Y169">
        <v>39</v>
      </c>
      <c r="Z169">
        <v>45.283239999999999</v>
      </c>
      <c r="AA169">
        <f t="shared" si="8"/>
        <v>45</v>
      </c>
      <c r="AB169">
        <f t="shared" si="9"/>
        <v>1</v>
      </c>
      <c r="AC169">
        <f t="shared" si="10"/>
        <v>1</v>
      </c>
      <c r="AD169">
        <f t="shared" si="11"/>
        <v>0</v>
      </c>
    </row>
    <row r="170" spans="1:30" x14ac:dyDescent="0.3">
      <c r="A170">
        <v>168</v>
      </c>
      <c r="B170">
        <v>308</v>
      </c>
      <c r="C170">
        <v>36</v>
      </c>
      <c r="D170">
        <v>40.09928</v>
      </c>
      <c r="W170">
        <v>167</v>
      </c>
      <c r="X170">
        <v>307</v>
      </c>
      <c r="Y170">
        <v>36</v>
      </c>
      <c r="Z170">
        <v>44.907029999999999</v>
      </c>
      <c r="AA170">
        <f t="shared" si="8"/>
        <v>45</v>
      </c>
      <c r="AB170">
        <f t="shared" si="9"/>
        <v>1</v>
      </c>
      <c r="AC170">
        <f t="shared" si="10"/>
        <v>1</v>
      </c>
      <c r="AD170">
        <f t="shared" si="11"/>
        <v>0</v>
      </c>
    </row>
    <row r="171" spans="1:30" x14ac:dyDescent="0.3">
      <c r="A171">
        <v>169</v>
      </c>
      <c r="B171">
        <v>309</v>
      </c>
      <c r="C171">
        <v>4</v>
      </c>
      <c r="D171">
        <v>8.8463200000000004</v>
      </c>
      <c r="W171">
        <v>168</v>
      </c>
      <c r="X171">
        <v>308</v>
      </c>
      <c r="Y171">
        <v>36</v>
      </c>
      <c r="Z171">
        <v>40.09928</v>
      </c>
      <c r="AA171">
        <f t="shared" si="8"/>
        <v>40</v>
      </c>
      <c r="AB171">
        <f t="shared" si="9"/>
        <v>1</v>
      </c>
      <c r="AC171">
        <f t="shared" si="10"/>
        <v>0</v>
      </c>
      <c r="AD171">
        <f t="shared" si="11"/>
        <v>0</v>
      </c>
    </row>
    <row r="172" spans="1:30" x14ac:dyDescent="0.3">
      <c r="A172">
        <v>170</v>
      </c>
      <c r="B172">
        <v>315</v>
      </c>
      <c r="C172">
        <v>15</v>
      </c>
      <c r="D172">
        <v>25.645810000000001</v>
      </c>
      <c r="W172">
        <v>169</v>
      </c>
      <c r="X172">
        <v>309</v>
      </c>
      <c r="Y172">
        <v>4</v>
      </c>
      <c r="Z172">
        <v>8.8463200000000004</v>
      </c>
      <c r="AA172">
        <f t="shared" si="8"/>
        <v>9</v>
      </c>
      <c r="AB172">
        <f t="shared" si="9"/>
        <v>1</v>
      </c>
      <c r="AC172">
        <f t="shared" si="10"/>
        <v>1</v>
      </c>
      <c r="AD172">
        <f t="shared" si="11"/>
        <v>0</v>
      </c>
    </row>
    <row r="173" spans="1:30" x14ac:dyDescent="0.3">
      <c r="A173">
        <v>171</v>
      </c>
      <c r="B173">
        <v>317</v>
      </c>
      <c r="C173">
        <v>91</v>
      </c>
      <c r="D173">
        <v>77.791700000000006</v>
      </c>
      <c r="W173">
        <v>170</v>
      </c>
      <c r="X173">
        <v>315</v>
      </c>
      <c r="Y173">
        <v>15</v>
      </c>
      <c r="Z173">
        <v>25.645810000000001</v>
      </c>
      <c r="AA173">
        <f t="shared" si="8"/>
        <v>26</v>
      </c>
      <c r="AB173">
        <f t="shared" si="9"/>
        <v>1</v>
      </c>
      <c r="AC173">
        <f t="shared" si="10"/>
        <v>1</v>
      </c>
      <c r="AD173">
        <f t="shared" si="11"/>
        <v>1</v>
      </c>
    </row>
    <row r="174" spans="1:30" x14ac:dyDescent="0.3">
      <c r="A174">
        <v>172</v>
      </c>
      <c r="B174">
        <v>318</v>
      </c>
      <c r="C174">
        <v>173</v>
      </c>
      <c r="D174">
        <v>169.97103000000001</v>
      </c>
      <c r="W174">
        <v>171</v>
      </c>
      <c r="X174">
        <v>317</v>
      </c>
      <c r="Y174">
        <v>91</v>
      </c>
      <c r="Z174">
        <v>77.791700000000006</v>
      </c>
      <c r="AA174">
        <f t="shared" si="8"/>
        <v>78</v>
      </c>
      <c r="AB174">
        <f t="shared" si="9"/>
        <v>1</v>
      </c>
      <c r="AC174">
        <f t="shared" si="10"/>
        <v>1</v>
      </c>
      <c r="AD174">
        <f t="shared" si="11"/>
        <v>1</v>
      </c>
    </row>
    <row r="175" spans="1:30" x14ac:dyDescent="0.3">
      <c r="A175">
        <v>173</v>
      </c>
      <c r="B175">
        <v>319</v>
      </c>
      <c r="C175">
        <v>77</v>
      </c>
      <c r="D175">
        <v>75.339789999999994</v>
      </c>
      <c r="W175">
        <v>172</v>
      </c>
      <c r="X175">
        <v>318</v>
      </c>
      <c r="Y175">
        <v>173</v>
      </c>
      <c r="Z175">
        <v>169.97103000000001</v>
      </c>
      <c r="AA175">
        <f t="shared" si="8"/>
        <v>170</v>
      </c>
      <c r="AB175">
        <f t="shared" si="9"/>
        <v>1</v>
      </c>
      <c r="AC175">
        <f t="shared" si="10"/>
        <v>0</v>
      </c>
      <c r="AD175">
        <f t="shared" si="11"/>
        <v>0</v>
      </c>
    </row>
    <row r="176" spans="1:30" x14ac:dyDescent="0.3">
      <c r="A176">
        <v>174</v>
      </c>
      <c r="B176">
        <v>321</v>
      </c>
      <c r="C176">
        <v>1</v>
      </c>
      <c r="D176">
        <v>3.2139700000000002</v>
      </c>
      <c r="W176">
        <v>173</v>
      </c>
      <c r="X176">
        <v>319</v>
      </c>
      <c r="Y176">
        <v>77</v>
      </c>
      <c r="Z176">
        <v>75.339789999999994</v>
      </c>
      <c r="AA176">
        <f t="shared" si="8"/>
        <v>75</v>
      </c>
      <c r="AB176">
        <f t="shared" si="9"/>
        <v>1</v>
      </c>
      <c r="AC176">
        <f t="shared" si="10"/>
        <v>0</v>
      </c>
      <c r="AD176">
        <f t="shared" si="11"/>
        <v>0</v>
      </c>
    </row>
    <row r="177" spans="1:30" x14ac:dyDescent="0.3">
      <c r="A177">
        <v>175</v>
      </c>
      <c r="B177">
        <v>322</v>
      </c>
      <c r="C177">
        <v>2</v>
      </c>
      <c r="D177">
        <v>4.2115799999999997</v>
      </c>
      <c r="W177">
        <v>174</v>
      </c>
      <c r="X177">
        <v>321</v>
      </c>
      <c r="Y177">
        <v>1</v>
      </c>
      <c r="Z177">
        <v>3.2139700000000002</v>
      </c>
      <c r="AA177">
        <f t="shared" si="8"/>
        <v>3</v>
      </c>
      <c r="AB177">
        <f t="shared" si="9"/>
        <v>1</v>
      </c>
      <c r="AC177">
        <f t="shared" si="10"/>
        <v>0</v>
      </c>
      <c r="AD177">
        <f t="shared" si="11"/>
        <v>0</v>
      </c>
    </row>
    <row r="178" spans="1:30" x14ac:dyDescent="0.3">
      <c r="A178">
        <v>176</v>
      </c>
      <c r="B178">
        <v>323</v>
      </c>
      <c r="C178">
        <v>214</v>
      </c>
      <c r="D178">
        <v>158.54248000000001</v>
      </c>
      <c r="W178">
        <v>175</v>
      </c>
      <c r="X178">
        <v>322</v>
      </c>
      <c r="Y178">
        <v>2</v>
      </c>
      <c r="Z178">
        <v>4.2115799999999997</v>
      </c>
      <c r="AA178">
        <f t="shared" si="8"/>
        <v>4</v>
      </c>
      <c r="AB178">
        <f t="shared" si="9"/>
        <v>1</v>
      </c>
      <c r="AC178">
        <f t="shared" si="10"/>
        <v>0</v>
      </c>
      <c r="AD178">
        <f t="shared" si="11"/>
        <v>0</v>
      </c>
    </row>
    <row r="179" spans="1:30" x14ac:dyDescent="0.3">
      <c r="A179">
        <v>177</v>
      </c>
      <c r="B179">
        <v>324</v>
      </c>
      <c r="C179">
        <v>66</v>
      </c>
      <c r="D179">
        <v>43.57761</v>
      </c>
      <c r="W179">
        <v>176</v>
      </c>
      <c r="X179">
        <v>323</v>
      </c>
      <c r="Y179">
        <v>214</v>
      </c>
      <c r="Z179">
        <v>158.54248000000001</v>
      </c>
      <c r="AA179">
        <f t="shared" si="8"/>
        <v>159</v>
      </c>
      <c r="AB179">
        <f t="shared" si="9"/>
        <v>1</v>
      </c>
      <c r="AC179">
        <f t="shared" si="10"/>
        <v>1</v>
      </c>
      <c r="AD179">
        <f t="shared" si="11"/>
        <v>1</v>
      </c>
    </row>
    <row r="180" spans="1:30" x14ac:dyDescent="0.3">
      <c r="A180">
        <v>178</v>
      </c>
      <c r="B180">
        <v>327</v>
      </c>
      <c r="C180">
        <v>19</v>
      </c>
      <c r="D180">
        <v>14.05386</v>
      </c>
      <c r="W180">
        <v>177</v>
      </c>
      <c r="X180">
        <v>324</v>
      </c>
      <c r="Y180">
        <v>66</v>
      </c>
      <c r="Z180">
        <v>43.57761</v>
      </c>
      <c r="AA180">
        <f t="shared" si="8"/>
        <v>44</v>
      </c>
      <c r="AB180">
        <f t="shared" si="9"/>
        <v>1</v>
      </c>
      <c r="AC180">
        <f t="shared" si="10"/>
        <v>1</v>
      </c>
      <c r="AD180">
        <f t="shared" si="11"/>
        <v>1</v>
      </c>
    </row>
    <row r="181" spans="1:30" x14ac:dyDescent="0.3">
      <c r="A181">
        <v>179</v>
      </c>
      <c r="B181">
        <v>328</v>
      </c>
      <c r="C181">
        <v>32</v>
      </c>
      <c r="D181">
        <v>48.030299999999997</v>
      </c>
      <c r="W181">
        <v>178</v>
      </c>
      <c r="X181">
        <v>327</v>
      </c>
      <c r="Y181">
        <v>19</v>
      </c>
      <c r="Z181">
        <v>14.05386</v>
      </c>
      <c r="AA181">
        <f t="shared" si="8"/>
        <v>14</v>
      </c>
      <c r="AB181">
        <f t="shared" si="9"/>
        <v>1</v>
      </c>
      <c r="AC181">
        <f t="shared" si="10"/>
        <v>1</v>
      </c>
      <c r="AD181">
        <f t="shared" si="11"/>
        <v>0</v>
      </c>
    </row>
    <row r="182" spans="1:30" x14ac:dyDescent="0.3">
      <c r="A182">
        <v>180</v>
      </c>
      <c r="B182">
        <v>330</v>
      </c>
      <c r="C182">
        <v>32</v>
      </c>
      <c r="D182">
        <v>27.044350000000001</v>
      </c>
      <c r="W182">
        <v>179</v>
      </c>
      <c r="X182">
        <v>328</v>
      </c>
      <c r="Y182">
        <v>32</v>
      </c>
      <c r="Z182">
        <v>48.030299999999997</v>
      </c>
      <c r="AA182">
        <f t="shared" si="8"/>
        <v>48</v>
      </c>
      <c r="AB182">
        <f t="shared" si="9"/>
        <v>1</v>
      </c>
      <c r="AC182">
        <f t="shared" si="10"/>
        <v>1</v>
      </c>
      <c r="AD182">
        <f t="shared" si="11"/>
        <v>1</v>
      </c>
    </row>
    <row r="183" spans="1:30" x14ac:dyDescent="0.3">
      <c r="A183">
        <v>181</v>
      </c>
      <c r="B183">
        <v>331</v>
      </c>
      <c r="C183">
        <v>51</v>
      </c>
      <c r="D183">
        <v>47.463169999999998</v>
      </c>
      <c r="W183">
        <v>180</v>
      </c>
      <c r="X183">
        <v>330</v>
      </c>
      <c r="Y183">
        <v>32</v>
      </c>
      <c r="Z183">
        <v>27.044350000000001</v>
      </c>
      <c r="AA183">
        <f t="shared" si="8"/>
        <v>27</v>
      </c>
      <c r="AB183">
        <f t="shared" si="9"/>
        <v>1</v>
      </c>
      <c r="AC183">
        <f t="shared" si="10"/>
        <v>1</v>
      </c>
      <c r="AD183">
        <f t="shared" si="11"/>
        <v>0</v>
      </c>
    </row>
    <row r="184" spans="1:30" x14ac:dyDescent="0.3">
      <c r="A184">
        <v>182</v>
      </c>
      <c r="B184">
        <v>332</v>
      </c>
      <c r="C184">
        <v>26</v>
      </c>
      <c r="D184">
        <v>23.652529999999999</v>
      </c>
      <c r="W184">
        <v>181</v>
      </c>
      <c r="X184">
        <v>331</v>
      </c>
      <c r="Y184">
        <v>51</v>
      </c>
      <c r="Z184">
        <v>47.463169999999998</v>
      </c>
      <c r="AA184">
        <f t="shared" si="8"/>
        <v>47</v>
      </c>
      <c r="AB184">
        <f t="shared" si="9"/>
        <v>1</v>
      </c>
      <c r="AC184">
        <f t="shared" si="10"/>
        <v>0</v>
      </c>
      <c r="AD184">
        <f t="shared" si="11"/>
        <v>0</v>
      </c>
    </row>
    <row r="185" spans="1:30" x14ac:dyDescent="0.3">
      <c r="A185">
        <v>183</v>
      </c>
      <c r="B185">
        <v>334</v>
      </c>
      <c r="C185">
        <v>24</v>
      </c>
      <c r="D185">
        <v>24.050850000000001</v>
      </c>
      <c r="W185">
        <v>182</v>
      </c>
      <c r="X185">
        <v>332</v>
      </c>
      <c r="Y185">
        <v>26</v>
      </c>
      <c r="Z185">
        <v>23.652529999999999</v>
      </c>
      <c r="AA185">
        <f t="shared" si="8"/>
        <v>24</v>
      </c>
      <c r="AB185">
        <f t="shared" si="9"/>
        <v>1</v>
      </c>
      <c r="AC185">
        <f t="shared" si="10"/>
        <v>0</v>
      </c>
      <c r="AD185">
        <f t="shared" si="11"/>
        <v>0</v>
      </c>
    </row>
    <row r="186" spans="1:30" x14ac:dyDescent="0.3">
      <c r="A186">
        <v>184</v>
      </c>
      <c r="B186">
        <v>335</v>
      </c>
      <c r="C186">
        <v>25</v>
      </c>
      <c r="D186">
        <v>24.815560000000001</v>
      </c>
      <c r="W186">
        <v>183</v>
      </c>
      <c r="X186">
        <v>334</v>
      </c>
      <c r="Y186">
        <v>24</v>
      </c>
      <c r="Z186">
        <v>24.050850000000001</v>
      </c>
      <c r="AA186">
        <f t="shared" si="8"/>
        <v>24</v>
      </c>
      <c r="AB186">
        <f t="shared" si="9"/>
        <v>0</v>
      </c>
      <c r="AC186">
        <f t="shared" si="10"/>
        <v>0</v>
      </c>
      <c r="AD186">
        <f t="shared" si="11"/>
        <v>0</v>
      </c>
    </row>
    <row r="187" spans="1:30" x14ac:dyDescent="0.3">
      <c r="A187">
        <v>185</v>
      </c>
      <c r="B187">
        <v>336</v>
      </c>
      <c r="C187">
        <v>72</v>
      </c>
      <c r="D187">
        <v>66.134559999999993</v>
      </c>
      <c r="W187">
        <v>184</v>
      </c>
      <c r="X187">
        <v>335</v>
      </c>
      <c r="Y187">
        <v>25</v>
      </c>
      <c r="Z187">
        <v>24.815560000000001</v>
      </c>
      <c r="AA187">
        <f t="shared" si="8"/>
        <v>25</v>
      </c>
      <c r="AB187">
        <f t="shared" si="9"/>
        <v>0</v>
      </c>
      <c r="AC187">
        <f t="shared" si="10"/>
        <v>0</v>
      </c>
      <c r="AD187">
        <f t="shared" si="11"/>
        <v>0</v>
      </c>
    </row>
    <row r="188" spans="1:30" x14ac:dyDescent="0.3">
      <c r="A188">
        <v>186</v>
      </c>
      <c r="B188">
        <v>337</v>
      </c>
      <c r="C188">
        <v>42</v>
      </c>
      <c r="D188">
        <v>31.264230000000001</v>
      </c>
      <c r="W188">
        <v>185</v>
      </c>
      <c r="X188">
        <v>336</v>
      </c>
      <c r="Y188">
        <v>72</v>
      </c>
      <c r="Z188">
        <v>66.134559999999993</v>
      </c>
      <c r="AA188">
        <f t="shared" si="8"/>
        <v>66</v>
      </c>
      <c r="AB188">
        <f t="shared" si="9"/>
        <v>1</v>
      </c>
      <c r="AC188">
        <f t="shared" si="10"/>
        <v>1</v>
      </c>
      <c r="AD188">
        <f t="shared" si="11"/>
        <v>0</v>
      </c>
    </row>
    <row r="189" spans="1:30" x14ac:dyDescent="0.3">
      <c r="A189">
        <v>187</v>
      </c>
      <c r="B189">
        <v>340</v>
      </c>
      <c r="C189">
        <v>23</v>
      </c>
      <c r="D189">
        <v>19.280169999999998</v>
      </c>
      <c r="W189">
        <v>186</v>
      </c>
      <c r="X189">
        <v>337</v>
      </c>
      <c r="Y189">
        <v>42</v>
      </c>
      <c r="Z189">
        <v>31.264230000000001</v>
      </c>
      <c r="AA189">
        <f t="shared" si="8"/>
        <v>31</v>
      </c>
      <c r="AB189">
        <f t="shared" si="9"/>
        <v>1</v>
      </c>
      <c r="AC189">
        <f t="shared" si="10"/>
        <v>1</v>
      </c>
      <c r="AD189">
        <f t="shared" si="11"/>
        <v>1</v>
      </c>
    </row>
    <row r="190" spans="1:30" x14ac:dyDescent="0.3">
      <c r="A190">
        <v>188</v>
      </c>
      <c r="B190">
        <v>341</v>
      </c>
      <c r="C190">
        <v>21</v>
      </c>
      <c r="D190">
        <v>9.7690800000000007</v>
      </c>
      <c r="W190">
        <v>187</v>
      </c>
      <c r="X190">
        <v>340</v>
      </c>
      <c r="Y190">
        <v>23</v>
      </c>
      <c r="Z190">
        <v>19.280169999999998</v>
      </c>
      <c r="AA190">
        <f t="shared" si="8"/>
        <v>19</v>
      </c>
      <c r="AB190">
        <f t="shared" si="9"/>
        <v>1</v>
      </c>
      <c r="AC190">
        <f t="shared" si="10"/>
        <v>0</v>
      </c>
      <c r="AD190">
        <f t="shared" si="11"/>
        <v>0</v>
      </c>
    </row>
    <row r="191" spans="1:30" x14ac:dyDescent="0.3">
      <c r="A191">
        <v>189</v>
      </c>
      <c r="B191">
        <v>342</v>
      </c>
      <c r="C191">
        <v>43</v>
      </c>
      <c r="D191">
        <v>35.334180000000003</v>
      </c>
      <c r="W191">
        <v>188</v>
      </c>
      <c r="X191">
        <v>341</v>
      </c>
      <c r="Y191">
        <v>21</v>
      </c>
      <c r="Z191">
        <v>9.7690800000000007</v>
      </c>
      <c r="AA191">
        <f t="shared" si="8"/>
        <v>10</v>
      </c>
      <c r="AB191">
        <f t="shared" si="9"/>
        <v>1</v>
      </c>
      <c r="AC191">
        <f t="shared" si="10"/>
        <v>1</v>
      </c>
      <c r="AD191">
        <f t="shared" si="11"/>
        <v>1</v>
      </c>
    </row>
    <row r="192" spans="1:30" x14ac:dyDescent="0.3">
      <c r="A192">
        <v>190</v>
      </c>
      <c r="B192">
        <v>343</v>
      </c>
      <c r="C192">
        <v>48</v>
      </c>
      <c r="D192">
        <v>31.839099999999998</v>
      </c>
      <c r="W192">
        <v>189</v>
      </c>
      <c r="X192">
        <v>342</v>
      </c>
      <c r="Y192">
        <v>43</v>
      </c>
      <c r="Z192">
        <v>35.334180000000003</v>
      </c>
      <c r="AA192">
        <f t="shared" si="8"/>
        <v>35</v>
      </c>
      <c r="AB192">
        <f t="shared" si="9"/>
        <v>1</v>
      </c>
      <c r="AC192">
        <f t="shared" si="10"/>
        <v>1</v>
      </c>
      <c r="AD192">
        <f t="shared" si="11"/>
        <v>0</v>
      </c>
    </row>
    <row r="193" spans="1:30" x14ac:dyDescent="0.3">
      <c r="A193">
        <v>191</v>
      </c>
      <c r="B193">
        <v>344</v>
      </c>
      <c r="C193">
        <v>6</v>
      </c>
      <c r="D193">
        <v>7.2227300000000003</v>
      </c>
      <c r="W193">
        <v>190</v>
      </c>
      <c r="X193">
        <v>343</v>
      </c>
      <c r="Y193">
        <v>48</v>
      </c>
      <c r="Z193">
        <v>31.839099999999998</v>
      </c>
      <c r="AA193">
        <f t="shared" si="8"/>
        <v>32</v>
      </c>
      <c r="AB193">
        <f t="shared" si="9"/>
        <v>1</v>
      </c>
      <c r="AC193">
        <f t="shared" si="10"/>
        <v>1</v>
      </c>
      <c r="AD193">
        <f t="shared" si="11"/>
        <v>1</v>
      </c>
    </row>
    <row r="194" spans="1:30" x14ac:dyDescent="0.3">
      <c r="A194">
        <v>192</v>
      </c>
      <c r="B194">
        <v>345</v>
      </c>
      <c r="C194">
        <v>13</v>
      </c>
      <c r="D194">
        <v>9.9756400000000003</v>
      </c>
      <c r="W194">
        <v>191</v>
      </c>
      <c r="X194">
        <v>344</v>
      </c>
      <c r="Y194">
        <v>6</v>
      </c>
      <c r="Z194">
        <v>7.2227300000000003</v>
      </c>
      <c r="AA194">
        <f t="shared" si="8"/>
        <v>7</v>
      </c>
      <c r="AB194">
        <f t="shared" si="9"/>
        <v>1</v>
      </c>
      <c r="AC194">
        <f t="shared" si="10"/>
        <v>0</v>
      </c>
      <c r="AD194">
        <f t="shared" si="11"/>
        <v>0</v>
      </c>
    </row>
    <row r="195" spans="1:30" x14ac:dyDescent="0.3">
      <c r="A195">
        <v>193</v>
      </c>
      <c r="B195">
        <v>346</v>
      </c>
      <c r="C195">
        <v>5</v>
      </c>
      <c r="D195">
        <v>7.9171899999999997</v>
      </c>
      <c r="W195">
        <v>192</v>
      </c>
      <c r="X195">
        <v>345</v>
      </c>
      <c r="Y195">
        <v>13</v>
      </c>
      <c r="Z195">
        <v>9.9756400000000003</v>
      </c>
      <c r="AA195">
        <f t="shared" si="8"/>
        <v>10</v>
      </c>
      <c r="AB195">
        <f t="shared" si="9"/>
        <v>1</v>
      </c>
      <c r="AC195">
        <f t="shared" si="10"/>
        <v>0</v>
      </c>
      <c r="AD195">
        <f t="shared" si="11"/>
        <v>0</v>
      </c>
    </row>
    <row r="196" spans="1:30" x14ac:dyDescent="0.3">
      <c r="A196">
        <v>194</v>
      </c>
      <c r="B196">
        <v>348</v>
      </c>
      <c r="C196">
        <v>5</v>
      </c>
      <c r="D196">
        <v>1.41554</v>
      </c>
      <c r="W196">
        <v>193</v>
      </c>
      <c r="X196">
        <v>346</v>
      </c>
      <c r="Y196">
        <v>5</v>
      </c>
      <c r="Z196">
        <v>7.9171899999999997</v>
      </c>
      <c r="AA196">
        <f t="shared" si="8"/>
        <v>8</v>
      </c>
      <c r="AB196">
        <f t="shared" si="9"/>
        <v>1</v>
      </c>
      <c r="AC196">
        <f t="shared" si="10"/>
        <v>0</v>
      </c>
      <c r="AD196">
        <f t="shared" si="11"/>
        <v>0</v>
      </c>
    </row>
    <row r="197" spans="1:30" x14ac:dyDescent="0.3">
      <c r="A197">
        <v>195</v>
      </c>
      <c r="B197">
        <v>352</v>
      </c>
      <c r="C197">
        <v>3</v>
      </c>
      <c r="D197">
        <v>10.252610000000001</v>
      </c>
      <c r="W197">
        <v>194</v>
      </c>
      <c r="X197">
        <v>348</v>
      </c>
      <c r="Y197">
        <v>5</v>
      </c>
      <c r="Z197">
        <v>1.41554</v>
      </c>
      <c r="AA197">
        <f t="shared" ref="AA197:AA260" si="12">ROUND(Z197,0)</f>
        <v>1</v>
      </c>
      <c r="AB197">
        <f t="shared" ref="AB197:AB260" si="13">IF(AA197=Y197,0,1)</f>
        <v>1</v>
      </c>
      <c r="AC197">
        <f t="shared" ref="AC197:AC260" si="14">IF(AA197&lt;Y197+5,IF(AA197&gt;Y197-5,0,1),1)</f>
        <v>0</v>
      </c>
      <c r="AD197">
        <f t="shared" ref="AD197:AD260" si="15">IF(AA197&lt;Y197+10,IF(AA197&gt;Y197-10,0,1),1)</f>
        <v>0</v>
      </c>
    </row>
    <row r="198" spans="1:30" x14ac:dyDescent="0.3">
      <c r="A198">
        <v>196</v>
      </c>
      <c r="B198">
        <v>356</v>
      </c>
      <c r="C198">
        <v>36</v>
      </c>
      <c r="D198">
        <v>38.013010000000001</v>
      </c>
      <c r="W198">
        <v>195</v>
      </c>
      <c r="X198">
        <v>352</v>
      </c>
      <c r="Y198">
        <v>3</v>
      </c>
      <c r="Z198">
        <v>10.252610000000001</v>
      </c>
      <c r="AA198">
        <f t="shared" si="12"/>
        <v>10</v>
      </c>
      <c r="AB198">
        <f t="shared" si="13"/>
        <v>1</v>
      </c>
      <c r="AC198">
        <f t="shared" si="14"/>
        <v>1</v>
      </c>
      <c r="AD198">
        <f t="shared" si="15"/>
        <v>0</v>
      </c>
    </row>
    <row r="199" spans="1:30" x14ac:dyDescent="0.3">
      <c r="A199">
        <v>197</v>
      </c>
      <c r="B199">
        <v>357</v>
      </c>
      <c r="C199">
        <v>87</v>
      </c>
      <c r="D199">
        <v>81.528570000000002</v>
      </c>
      <c r="W199">
        <v>196</v>
      </c>
      <c r="X199">
        <v>356</v>
      </c>
      <c r="Y199">
        <v>36</v>
      </c>
      <c r="Z199">
        <v>38.013010000000001</v>
      </c>
      <c r="AA199">
        <f t="shared" si="12"/>
        <v>38</v>
      </c>
      <c r="AB199">
        <f t="shared" si="13"/>
        <v>1</v>
      </c>
      <c r="AC199">
        <f t="shared" si="14"/>
        <v>0</v>
      </c>
      <c r="AD199">
        <f t="shared" si="15"/>
        <v>0</v>
      </c>
    </row>
    <row r="200" spans="1:30" x14ac:dyDescent="0.3">
      <c r="A200">
        <v>198</v>
      </c>
      <c r="B200">
        <v>358</v>
      </c>
      <c r="C200">
        <v>32</v>
      </c>
      <c r="D200">
        <v>25.92182</v>
      </c>
      <c r="W200">
        <v>197</v>
      </c>
      <c r="X200">
        <v>357</v>
      </c>
      <c r="Y200">
        <v>87</v>
      </c>
      <c r="Z200">
        <v>81.528570000000002</v>
      </c>
      <c r="AA200">
        <f t="shared" si="12"/>
        <v>82</v>
      </c>
      <c r="AB200">
        <f t="shared" si="13"/>
        <v>1</v>
      </c>
      <c r="AC200">
        <f t="shared" si="14"/>
        <v>1</v>
      </c>
      <c r="AD200">
        <f t="shared" si="15"/>
        <v>0</v>
      </c>
    </row>
    <row r="201" spans="1:30" x14ac:dyDescent="0.3">
      <c r="A201">
        <v>199</v>
      </c>
      <c r="B201">
        <v>360</v>
      </c>
      <c r="C201">
        <v>3</v>
      </c>
      <c r="D201">
        <v>10.57207</v>
      </c>
      <c r="W201">
        <v>198</v>
      </c>
      <c r="X201">
        <v>358</v>
      </c>
      <c r="Y201">
        <v>32</v>
      </c>
      <c r="Z201">
        <v>25.92182</v>
      </c>
      <c r="AA201">
        <f t="shared" si="12"/>
        <v>26</v>
      </c>
      <c r="AB201">
        <f t="shared" si="13"/>
        <v>1</v>
      </c>
      <c r="AC201">
        <f t="shared" si="14"/>
        <v>1</v>
      </c>
      <c r="AD201">
        <f t="shared" si="15"/>
        <v>0</v>
      </c>
    </row>
    <row r="202" spans="1:30" x14ac:dyDescent="0.3">
      <c r="A202">
        <v>200</v>
      </c>
      <c r="B202">
        <v>361</v>
      </c>
      <c r="C202">
        <v>9</v>
      </c>
      <c r="D202">
        <v>10.72856</v>
      </c>
      <c r="W202">
        <v>199</v>
      </c>
      <c r="X202">
        <v>360</v>
      </c>
      <c r="Y202">
        <v>3</v>
      </c>
      <c r="Z202">
        <v>10.57207</v>
      </c>
      <c r="AA202">
        <f t="shared" si="12"/>
        <v>11</v>
      </c>
      <c r="AB202">
        <f t="shared" si="13"/>
        <v>1</v>
      </c>
      <c r="AC202">
        <f t="shared" si="14"/>
        <v>1</v>
      </c>
      <c r="AD202">
        <f t="shared" si="15"/>
        <v>0</v>
      </c>
    </row>
    <row r="203" spans="1:30" x14ac:dyDescent="0.3">
      <c r="A203">
        <v>201</v>
      </c>
      <c r="B203">
        <v>362</v>
      </c>
      <c r="C203">
        <v>15</v>
      </c>
      <c r="D203">
        <v>24.79044</v>
      </c>
      <c r="W203">
        <v>200</v>
      </c>
      <c r="X203">
        <v>361</v>
      </c>
      <c r="Y203">
        <v>9</v>
      </c>
      <c r="Z203">
        <v>10.72856</v>
      </c>
      <c r="AA203">
        <f t="shared" si="12"/>
        <v>11</v>
      </c>
      <c r="AB203">
        <f t="shared" si="13"/>
        <v>1</v>
      </c>
      <c r="AC203">
        <f t="shared" si="14"/>
        <v>0</v>
      </c>
      <c r="AD203">
        <f t="shared" si="15"/>
        <v>0</v>
      </c>
    </row>
    <row r="204" spans="1:30" x14ac:dyDescent="0.3">
      <c r="A204">
        <v>202</v>
      </c>
      <c r="B204">
        <v>364</v>
      </c>
      <c r="C204">
        <v>16</v>
      </c>
      <c r="D204">
        <v>11.402659999999999</v>
      </c>
      <c r="W204">
        <v>201</v>
      </c>
      <c r="X204">
        <v>362</v>
      </c>
      <c r="Y204">
        <v>15</v>
      </c>
      <c r="Z204">
        <v>24.79044</v>
      </c>
      <c r="AA204">
        <f t="shared" si="12"/>
        <v>25</v>
      </c>
      <c r="AB204">
        <f t="shared" si="13"/>
        <v>1</v>
      </c>
      <c r="AC204">
        <f t="shared" si="14"/>
        <v>1</v>
      </c>
      <c r="AD204">
        <f t="shared" si="15"/>
        <v>1</v>
      </c>
    </row>
    <row r="205" spans="1:30" x14ac:dyDescent="0.3">
      <c r="A205">
        <v>203</v>
      </c>
      <c r="B205">
        <v>365</v>
      </c>
      <c r="C205">
        <v>62</v>
      </c>
      <c r="D205">
        <v>84.579300000000003</v>
      </c>
      <c r="W205">
        <v>202</v>
      </c>
      <c r="X205">
        <v>364</v>
      </c>
      <c r="Y205">
        <v>16</v>
      </c>
      <c r="Z205">
        <v>11.402659999999999</v>
      </c>
      <c r="AA205">
        <f t="shared" si="12"/>
        <v>11</v>
      </c>
      <c r="AB205">
        <f t="shared" si="13"/>
        <v>1</v>
      </c>
      <c r="AC205">
        <f t="shared" si="14"/>
        <v>1</v>
      </c>
      <c r="AD205">
        <f t="shared" si="15"/>
        <v>0</v>
      </c>
    </row>
    <row r="206" spans="1:30" x14ac:dyDescent="0.3">
      <c r="A206">
        <v>204</v>
      </c>
      <c r="B206">
        <v>368</v>
      </c>
      <c r="C206">
        <v>30</v>
      </c>
      <c r="D206">
        <v>29.682580000000002</v>
      </c>
      <c r="W206">
        <v>203</v>
      </c>
      <c r="X206">
        <v>365</v>
      </c>
      <c r="Y206">
        <v>62</v>
      </c>
      <c r="Z206">
        <v>84.579300000000003</v>
      </c>
      <c r="AA206">
        <f t="shared" si="12"/>
        <v>85</v>
      </c>
      <c r="AB206">
        <f t="shared" si="13"/>
        <v>1</v>
      </c>
      <c r="AC206">
        <f t="shared" si="14"/>
        <v>1</v>
      </c>
      <c r="AD206">
        <f t="shared" si="15"/>
        <v>1</v>
      </c>
    </row>
    <row r="207" spans="1:30" x14ac:dyDescent="0.3">
      <c r="A207">
        <v>205</v>
      </c>
      <c r="B207">
        <v>372</v>
      </c>
      <c r="C207">
        <v>14</v>
      </c>
      <c r="D207">
        <v>7.2043299999999997</v>
      </c>
      <c r="W207">
        <v>204</v>
      </c>
      <c r="X207">
        <v>368</v>
      </c>
      <c r="Y207">
        <v>30</v>
      </c>
      <c r="Z207">
        <v>29.682580000000002</v>
      </c>
      <c r="AA207">
        <f t="shared" si="12"/>
        <v>30</v>
      </c>
      <c r="AB207">
        <f t="shared" si="13"/>
        <v>0</v>
      </c>
      <c r="AC207">
        <f t="shared" si="14"/>
        <v>0</v>
      </c>
      <c r="AD207">
        <f t="shared" si="15"/>
        <v>0</v>
      </c>
    </row>
    <row r="208" spans="1:30" x14ac:dyDescent="0.3">
      <c r="A208">
        <v>206</v>
      </c>
      <c r="B208">
        <v>375</v>
      </c>
      <c r="C208">
        <v>4</v>
      </c>
      <c r="D208">
        <v>10.44997</v>
      </c>
      <c r="W208">
        <v>205</v>
      </c>
      <c r="X208">
        <v>372</v>
      </c>
      <c r="Y208">
        <v>14</v>
      </c>
      <c r="Z208">
        <v>7.2043299999999997</v>
      </c>
      <c r="AA208">
        <f t="shared" si="12"/>
        <v>7</v>
      </c>
      <c r="AB208">
        <f t="shared" si="13"/>
        <v>1</v>
      </c>
      <c r="AC208">
        <f t="shared" si="14"/>
        <v>1</v>
      </c>
      <c r="AD208">
        <f t="shared" si="15"/>
        <v>0</v>
      </c>
    </row>
    <row r="209" spans="1:30" x14ac:dyDescent="0.3">
      <c r="A209">
        <v>207</v>
      </c>
      <c r="B209">
        <v>376</v>
      </c>
      <c r="C209">
        <v>3</v>
      </c>
      <c r="D209">
        <v>14.20373</v>
      </c>
      <c r="W209">
        <v>206</v>
      </c>
      <c r="X209">
        <v>375</v>
      </c>
      <c r="Y209">
        <v>4</v>
      </c>
      <c r="Z209">
        <v>10.44997</v>
      </c>
      <c r="AA209">
        <f t="shared" si="12"/>
        <v>10</v>
      </c>
      <c r="AB209">
        <f t="shared" si="13"/>
        <v>1</v>
      </c>
      <c r="AC209">
        <f t="shared" si="14"/>
        <v>1</v>
      </c>
      <c r="AD209">
        <f t="shared" si="15"/>
        <v>0</v>
      </c>
    </row>
    <row r="210" spans="1:30" x14ac:dyDescent="0.3">
      <c r="A210">
        <v>208</v>
      </c>
      <c r="B210">
        <v>377</v>
      </c>
      <c r="C210">
        <v>10</v>
      </c>
      <c r="D210">
        <v>22.26473</v>
      </c>
      <c r="W210">
        <v>207</v>
      </c>
      <c r="X210">
        <v>376</v>
      </c>
      <c r="Y210">
        <v>3</v>
      </c>
      <c r="Z210">
        <v>14.20373</v>
      </c>
      <c r="AA210">
        <f t="shared" si="12"/>
        <v>14</v>
      </c>
      <c r="AB210">
        <f t="shared" si="13"/>
        <v>1</v>
      </c>
      <c r="AC210">
        <f t="shared" si="14"/>
        <v>1</v>
      </c>
      <c r="AD210">
        <f t="shared" si="15"/>
        <v>1</v>
      </c>
    </row>
    <row r="211" spans="1:30" x14ac:dyDescent="0.3">
      <c r="A211">
        <v>209</v>
      </c>
      <c r="B211">
        <v>379</v>
      </c>
      <c r="C211">
        <v>72</v>
      </c>
      <c r="D211">
        <v>48.880760000000002</v>
      </c>
      <c r="W211">
        <v>208</v>
      </c>
      <c r="X211">
        <v>377</v>
      </c>
      <c r="Y211">
        <v>10</v>
      </c>
      <c r="Z211">
        <v>22.26473</v>
      </c>
      <c r="AA211">
        <f t="shared" si="12"/>
        <v>22</v>
      </c>
      <c r="AB211">
        <f t="shared" si="13"/>
        <v>1</v>
      </c>
      <c r="AC211">
        <f t="shared" si="14"/>
        <v>1</v>
      </c>
      <c r="AD211">
        <f t="shared" si="15"/>
        <v>1</v>
      </c>
    </row>
    <row r="212" spans="1:30" x14ac:dyDescent="0.3">
      <c r="A212">
        <v>210</v>
      </c>
      <c r="B212">
        <v>380</v>
      </c>
      <c r="C212">
        <v>143</v>
      </c>
      <c r="D212">
        <v>143.24457000000001</v>
      </c>
      <c r="W212">
        <v>209</v>
      </c>
      <c r="X212">
        <v>379</v>
      </c>
      <c r="Y212">
        <v>72</v>
      </c>
      <c r="Z212">
        <v>48.880760000000002</v>
      </c>
      <c r="AA212">
        <f t="shared" si="12"/>
        <v>49</v>
      </c>
      <c r="AB212">
        <f t="shared" si="13"/>
        <v>1</v>
      </c>
      <c r="AC212">
        <f t="shared" si="14"/>
        <v>1</v>
      </c>
      <c r="AD212">
        <f t="shared" si="15"/>
        <v>1</v>
      </c>
    </row>
    <row r="213" spans="1:30" x14ac:dyDescent="0.3">
      <c r="A213">
        <v>211</v>
      </c>
      <c r="B213">
        <v>382</v>
      </c>
      <c r="C213">
        <v>84</v>
      </c>
      <c r="D213">
        <v>42.120899999999999</v>
      </c>
      <c r="W213">
        <v>210</v>
      </c>
      <c r="X213">
        <v>380</v>
      </c>
      <c r="Y213">
        <v>143</v>
      </c>
      <c r="Z213">
        <v>143.24457000000001</v>
      </c>
      <c r="AA213">
        <f t="shared" si="12"/>
        <v>143</v>
      </c>
      <c r="AB213">
        <f t="shared" si="13"/>
        <v>0</v>
      </c>
      <c r="AC213">
        <f t="shared" si="14"/>
        <v>0</v>
      </c>
      <c r="AD213">
        <f t="shared" si="15"/>
        <v>0</v>
      </c>
    </row>
    <row r="214" spans="1:30" x14ac:dyDescent="0.3">
      <c r="A214">
        <v>212</v>
      </c>
      <c r="B214">
        <v>383</v>
      </c>
      <c r="C214">
        <v>32</v>
      </c>
      <c r="D214">
        <v>32.384720000000002</v>
      </c>
      <c r="W214">
        <v>211</v>
      </c>
      <c r="X214">
        <v>382</v>
      </c>
      <c r="Y214">
        <v>84</v>
      </c>
      <c r="Z214">
        <v>42.120899999999999</v>
      </c>
      <c r="AA214">
        <f t="shared" si="12"/>
        <v>42</v>
      </c>
      <c r="AB214">
        <f t="shared" si="13"/>
        <v>1</v>
      </c>
      <c r="AC214">
        <f t="shared" si="14"/>
        <v>1</v>
      </c>
      <c r="AD214">
        <f t="shared" si="15"/>
        <v>1</v>
      </c>
    </row>
    <row r="215" spans="1:30" x14ac:dyDescent="0.3">
      <c r="A215">
        <v>213</v>
      </c>
      <c r="B215">
        <v>389</v>
      </c>
      <c r="C215">
        <v>24</v>
      </c>
      <c r="D215">
        <v>30.38786</v>
      </c>
      <c r="W215">
        <v>212</v>
      </c>
      <c r="X215">
        <v>383</v>
      </c>
      <c r="Y215">
        <v>32</v>
      </c>
      <c r="Z215">
        <v>32.384720000000002</v>
      </c>
      <c r="AA215">
        <f t="shared" si="12"/>
        <v>32</v>
      </c>
      <c r="AB215">
        <f t="shared" si="13"/>
        <v>0</v>
      </c>
      <c r="AC215">
        <f t="shared" si="14"/>
        <v>0</v>
      </c>
      <c r="AD215">
        <f t="shared" si="15"/>
        <v>0</v>
      </c>
    </row>
    <row r="216" spans="1:30" x14ac:dyDescent="0.3">
      <c r="A216">
        <v>214</v>
      </c>
      <c r="B216">
        <v>390</v>
      </c>
      <c r="C216">
        <v>69</v>
      </c>
      <c r="D216">
        <v>59.569629999999997</v>
      </c>
      <c r="W216">
        <v>213</v>
      </c>
      <c r="X216">
        <v>389</v>
      </c>
      <c r="Y216">
        <v>24</v>
      </c>
      <c r="Z216">
        <v>30.38786</v>
      </c>
      <c r="AA216">
        <f t="shared" si="12"/>
        <v>30</v>
      </c>
      <c r="AB216">
        <f t="shared" si="13"/>
        <v>1</v>
      </c>
      <c r="AC216">
        <f t="shared" si="14"/>
        <v>1</v>
      </c>
      <c r="AD216">
        <f t="shared" si="15"/>
        <v>0</v>
      </c>
    </row>
    <row r="217" spans="1:30" x14ac:dyDescent="0.3">
      <c r="A217">
        <v>215</v>
      </c>
      <c r="B217">
        <v>391</v>
      </c>
      <c r="C217">
        <v>72</v>
      </c>
      <c r="D217">
        <v>60.405419999999999</v>
      </c>
      <c r="W217">
        <v>214</v>
      </c>
      <c r="X217">
        <v>390</v>
      </c>
      <c r="Y217">
        <v>69</v>
      </c>
      <c r="Z217">
        <v>59.569629999999997</v>
      </c>
      <c r="AA217">
        <f t="shared" si="12"/>
        <v>60</v>
      </c>
      <c r="AB217">
        <f t="shared" si="13"/>
        <v>1</v>
      </c>
      <c r="AC217">
        <f t="shared" si="14"/>
        <v>1</v>
      </c>
      <c r="AD217">
        <f t="shared" si="15"/>
        <v>0</v>
      </c>
    </row>
    <row r="218" spans="1:30" x14ac:dyDescent="0.3">
      <c r="A218">
        <v>216</v>
      </c>
      <c r="B218">
        <v>392</v>
      </c>
      <c r="C218">
        <v>24</v>
      </c>
      <c r="D218">
        <v>23.00404</v>
      </c>
      <c r="W218">
        <v>215</v>
      </c>
      <c r="X218">
        <v>391</v>
      </c>
      <c r="Y218">
        <v>72</v>
      </c>
      <c r="Z218">
        <v>60.405419999999999</v>
      </c>
      <c r="AA218">
        <f t="shared" si="12"/>
        <v>60</v>
      </c>
      <c r="AB218">
        <f t="shared" si="13"/>
        <v>1</v>
      </c>
      <c r="AC218">
        <f t="shared" si="14"/>
        <v>1</v>
      </c>
      <c r="AD218">
        <f t="shared" si="15"/>
        <v>1</v>
      </c>
    </row>
    <row r="219" spans="1:30" x14ac:dyDescent="0.3">
      <c r="A219">
        <v>217</v>
      </c>
      <c r="B219">
        <v>396</v>
      </c>
      <c r="C219">
        <v>3</v>
      </c>
      <c r="D219">
        <v>5.5334599999999998</v>
      </c>
      <c r="W219">
        <v>216</v>
      </c>
      <c r="X219">
        <v>392</v>
      </c>
      <c r="Y219">
        <v>24</v>
      </c>
      <c r="Z219">
        <v>23.00404</v>
      </c>
      <c r="AA219">
        <f t="shared" si="12"/>
        <v>23</v>
      </c>
      <c r="AB219">
        <f t="shared" si="13"/>
        <v>1</v>
      </c>
      <c r="AC219">
        <f t="shared" si="14"/>
        <v>0</v>
      </c>
      <c r="AD219">
        <f t="shared" si="15"/>
        <v>0</v>
      </c>
    </row>
    <row r="220" spans="1:30" x14ac:dyDescent="0.3">
      <c r="A220">
        <v>218</v>
      </c>
      <c r="B220">
        <v>399</v>
      </c>
      <c r="C220">
        <v>14</v>
      </c>
      <c r="D220">
        <v>10.582890000000001</v>
      </c>
      <c r="W220">
        <v>217</v>
      </c>
      <c r="X220">
        <v>396</v>
      </c>
      <c r="Y220">
        <v>3</v>
      </c>
      <c r="Z220">
        <v>5.5334599999999998</v>
      </c>
      <c r="AA220">
        <f t="shared" si="12"/>
        <v>6</v>
      </c>
      <c r="AB220">
        <f t="shared" si="13"/>
        <v>1</v>
      </c>
      <c r="AC220">
        <f t="shared" si="14"/>
        <v>0</v>
      </c>
      <c r="AD220">
        <f t="shared" si="15"/>
        <v>0</v>
      </c>
    </row>
    <row r="221" spans="1:30" x14ac:dyDescent="0.3">
      <c r="A221">
        <v>219</v>
      </c>
      <c r="B221">
        <v>400</v>
      </c>
      <c r="C221">
        <v>9</v>
      </c>
      <c r="D221">
        <v>6.3163</v>
      </c>
      <c r="W221">
        <v>218</v>
      </c>
      <c r="X221">
        <v>399</v>
      </c>
      <c r="Y221">
        <v>14</v>
      </c>
      <c r="Z221">
        <v>10.582890000000001</v>
      </c>
      <c r="AA221">
        <f t="shared" si="12"/>
        <v>11</v>
      </c>
      <c r="AB221">
        <f t="shared" si="13"/>
        <v>1</v>
      </c>
      <c r="AC221">
        <f t="shared" si="14"/>
        <v>0</v>
      </c>
      <c r="AD221">
        <f t="shared" si="15"/>
        <v>0</v>
      </c>
    </row>
    <row r="222" spans="1:30" x14ac:dyDescent="0.3">
      <c r="A222">
        <v>220</v>
      </c>
      <c r="B222">
        <v>403</v>
      </c>
      <c r="C222">
        <v>41</v>
      </c>
      <c r="D222">
        <v>47.635910000000003</v>
      </c>
      <c r="W222">
        <v>219</v>
      </c>
      <c r="X222">
        <v>400</v>
      </c>
      <c r="Y222">
        <v>9</v>
      </c>
      <c r="Z222">
        <v>6.3163</v>
      </c>
      <c r="AA222">
        <f t="shared" si="12"/>
        <v>6</v>
      </c>
      <c r="AB222">
        <f t="shared" si="13"/>
        <v>1</v>
      </c>
      <c r="AC222">
        <f t="shared" si="14"/>
        <v>0</v>
      </c>
      <c r="AD222">
        <f t="shared" si="15"/>
        <v>0</v>
      </c>
    </row>
    <row r="223" spans="1:30" x14ac:dyDescent="0.3">
      <c r="A223">
        <v>221</v>
      </c>
      <c r="B223">
        <v>407</v>
      </c>
      <c r="C223">
        <v>42</v>
      </c>
      <c r="D223">
        <v>46.430509999999998</v>
      </c>
      <c r="W223">
        <v>220</v>
      </c>
      <c r="X223">
        <v>403</v>
      </c>
      <c r="Y223">
        <v>41</v>
      </c>
      <c r="Z223">
        <v>47.635910000000003</v>
      </c>
      <c r="AA223">
        <f t="shared" si="12"/>
        <v>48</v>
      </c>
      <c r="AB223">
        <f t="shared" si="13"/>
        <v>1</v>
      </c>
      <c r="AC223">
        <f t="shared" si="14"/>
        <v>1</v>
      </c>
      <c r="AD223">
        <f t="shared" si="15"/>
        <v>0</v>
      </c>
    </row>
    <row r="224" spans="1:30" x14ac:dyDescent="0.3">
      <c r="A224">
        <v>222</v>
      </c>
      <c r="B224">
        <v>408</v>
      </c>
      <c r="C224">
        <v>15</v>
      </c>
      <c r="D224">
        <v>13.889659999999999</v>
      </c>
      <c r="W224">
        <v>221</v>
      </c>
      <c r="X224">
        <v>407</v>
      </c>
      <c r="Y224">
        <v>42</v>
      </c>
      <c r="Z224">
        <v>46.430509999999998</v>
      </c>
      <c r="AA224">
        <f t="shared" si="12"/>
        <v>46</v>
      </c>
      <c r="AB224">
        <f t="shared" si="13"/>
        <v>1</v>
      </c>
      <c r="AC224">
        <f t="shared" si="14"/>
        <v>0</v>
      </c>
      <c r="AD224">
        <f t="shared" si="15"/>
        <v>0</v>
      </c>
    </row>
    <row r="225" spans="1:30" x14ac:dyDescent="0.3">
      <c r="A225">
        <v>223</v>
      </c>
      <c r="B225">
        <v>410</v>
      </c>
      <c r="C225">
        <v>36</v>
      </c>
      <c r="D225">
        <v>28.101030000000002</v>
      </c>
      <c r="W225">
        <v>222</v>
      </c>
      <c r="X225">
        <v>408</v>
      </c>
      <c r="Y225">
        <v>15</v>
      </c>
      <c r="Z225">
        <v>13.889659999999999</v>
      </c>
      <c r="AA225">
        <f t="shared" si="12"/>
        <v>14</v>
      </c>
      <c r="AB225">
        <f t="shared" si="13"/>
        <v>1</v>
      </c>
      <c r="AC225">
        <f t="shared" si="14"/>
        <v>0</v>
      </c>
      <c r="AD225">
        <f t="shared" si="15"/>
        <v>0</v>
      </c>
    </row>
    <row r="226" spans="1:30" x14ac:dyDescent="0.3">
      <c r="A226">
        <v>224</v>
      </c>
      <c r="B226">
        <v>413</v>
      </c>
      <c r="C226">
        <v>7</v>
      </c>
      <c r="D226">
        <v>1.9704299999999999</v>
      </c>
      <c r="W226">
        <v>223</v>
      </c>
      <c r="X226">
        <v>410</v>
      </c>
      <c r="Y226">
        <v>36</v>
      </c>
      <c r="Z226">
        <v>28.101030000000002</v>
      </c>
      <c r="AA226">
        <f t="shared" si="12"/>
        <v>28</v>
      </c>
      <c r="AB226">
        <f t="shared" si="13"/>
        <v>1</v>
      </c>
      <c r="AC226">
        <f t="shared" si="14"/>
        <v>1</v>
      </c>
      <c r="AD226">
        <f t="shared" si="15"/>
        <v>0</v>
      </c>
    </row>
    <row r="227" spans="1:30" x14ac:dyDescent="0.3">
      <c r="A227">
        <v>225</v>
      </c>
      <c r="B227">
        <v>414</v>
      </c>
      <c r="C227">
        <v>17</v>
      </c>
      <c r="D227">
        <v>17.558979999999998</v>
      </c>
      <c r="W227">
        <v>224</v>
      </c>
      <c r="X227">
        <v>413</v>
      </c>
      <c r="Y227">
        <v>7</v>
      </c>
      <c r="Z227">
        <v>1.9704299999999999</v>
      </c>
      <c r="AA227">
        <f t="shared" si="12"/>
        <v>2</v>
      </c>
      <c r="AB227">
        <f t="shared" si="13"/>
        <v>1</v>
      </c>
      <c r="AC227">
        <f t="shared" si="14"/>
        <v>1</v>
      </c>
      <c r="AD227">
        <f t="shared" si="15"/>
        <v>0</v>
      </c>
    </row>
    <row r="228" spans="1:30" x14ac:dyDescent="0.3">
      <c r="A228">
        <v>226</v>
      </c>
      <c r="B228">
        <v>3</v>
      </c>
      <c r="C228">
        <v>78</v>
      </c>
      <c r="D228">
        <v>58.493229999999997</v>
      </c>
      <c r="W228">
        <v>225</v>
      </c>
      <c r="X228">
        <v>414</v>
      </c>
      <c r="Y228">
        <v>17</v>
      </c>
      <c r="Z228">
        <v>17.558979999999998</v>
      </c>
      <c r="AA228">
        <f t="shared" si="12"/>
        <v>18</v>
      </c>
      <c r="AB228">
        <f t="shared" si="13"/>
        <v>1</v>
      </c>
      <c r="AC228">
        <f t="shared" si="14"/>
        <v>0</v>
      </c>
      <c r="AD228">
        <f t="shared" si="15"/>
        <v>0</v>
      </c>
    </row>
    <row r="229" spans="1:30" x14ac:dyDescent="0.3">
      <c r="A229">
        <v>227</v>
      </c>
      <c r="B229">
        <v>5</v>
      </c>
      <c r="C229">
        <v>5</v>
      </c>
      <c r="D229">
        <v>8.1133500000000005</v>
      </c>
      <c r="W229">
        <v>226</v>
      </c>
      <c r="X229">
        <v>3</v>
      </c>
      <c r="Y229">
        <v>78</v>
      </c>
      <c r="Z229">
        <v>58.493229999999997</v>
      </c>
      <c r="AA229">
        <f t="shared" si="12"/>
        <v>58</v>
      </c>
      <c r="AB229">
        <f t="shared" si="13"/>
        <v>1</v>
      </c>
      <c r="AC229">
        <f t="shared" si="14"/>
        <v>1</v>
      </c>
      <c r="AD229">
        <f t="shared" si="15"/>
        <v>1</v>
      </c>
    </row>
    <row r="230" spans="1:30" x14ac:dyDescent="0.3">
      <c r="A230">
        <v>228</v>
      </c>
      <c r="B230">
        <v>6</v>
      </c>
      <c r="C230">
        <v>5</v>
      </c>
      <c r="D230">
        <v>8.0620499999999993</v>
      </c>
      <c r="W230">
        <v>227</v>
      </c>
      <c r="X230">
        <v>5</v>
      </c>
      <c r="Y230">
        <v>5</v>
      </c>
      <c r="Z230">
        <v>8.1133500000000005</v>
      </c>
      <c r="AA230">
        <f t="shared" si="12"/>
        <v>8</v>
      </c>
      <c r="AB230">
        <f t="shared" si="13"/>
        <v>1</v>
      </c>
      <c r="AC230">
        <f t="shared" si="14"/>
        <v>0</v>
      </c>
      <c r="AD230">
        <f t="shared" si="15"/>
        <v>0</v>
      </c>
    </row>
    <row r="231" spans="1:30" x14ac:dyDescent="0.3">
      <c r="A231">
        <v>229</v>
      </c>
      <c r="B231">
        <v>13</v>
      </c>
      <c r="C231">
        <v>47</v>
      </c>
      <c r="D231">
        <v>44.269170000000003</v>
      </c>
      <c r="W231">
        <v>228</v>
      </c>
      <c r="X231">
        <v>6</v>
      </c>
      <c r="Y231">
        <v>5</v>
      </c>
      <c r="Z231">
        <v>8.0620499999999993</v>
      </c>
      <c r="AA231">
        <f t="shared" si="12"/>
        <v>8</v>
      </c>
      <c r="AB231">
        <f t="shared" si="13"/>
        <v>1</v>
      </c>
      <c r="AC231">
        <f t="shared" si="14"/>
        <v>0</v>
      </c>
      <c r="AD231">
        <f t="shared" si="15"/>
        <v>0</v>
      </c>
    </row>
    <row r="232" spans="1:30" x14ac:dyDescent="0.3">
      <c r="A232">
        <v>230</v>
      </c>
      <c r="B232">
        <v>16</v>
      </c>
      <c r="C232">
        <v>71</v>
      </c>
      <c r="D232">
        <v>58.119529999999997</v>
      </c>
      <c r="W232">
        <v>229</v>
      </c>
      <c r="X232">
        <v>13</v>
      </c>
      <c r="Y232">
        <v>47</v>
      </c>
      <c r="Z232">
        <v>44.269170000000003</v>
      </c>
      <c r="AA232">
        <f t="shared" si="12"/>
        <v>44</v>
      </c>
      <c r="AB232">
        <f t="shared" si="13"/>
        <v>1</v>
      </c>
      <c r="AC232">
        <f t="shared" si="14"/>
        <v>0</v>
      </c>
      <c r="AD232">
        <f t="shared" si="15"/>
        <v>0</v>
      </c>
    </row>
    <row r="233" spans="1:30" x14ac:dyDescent="0.3">
      <c r="A233">
        <v>231</v>
      </c>
      <c r="B233">
        <v>20</v>
      </c>
      <c r="C233">
        <v>39</v>
      </c>
      <c r="D233">
        <v>33.959220000000002</v>
      </c>
      <c r="W233">
        <v>230</v>
      </c>
      <c r="X233">
        <v>16</v>
      </c>
      <c r="Y233">
        <v>71</v>
      </c>
      <c r="Z233">
        <v>58.119529999999997</v>
      </c>
      <c r="AA233">
        <f t="shared" si="12"/>
        <v>58</v>
      </c>
      <c r="AB233">
        <f t="shared" si="13"/>
        <v>1</v>
      </c>
      <c r="AC233">
        <f t="shared" si="14"/>
        <v>1</v>
      </c>
      <c r="AD233">
        <f t="shared" si="15"/>
        <v>1</v>
      </c>
    </row>
    <row r="234" spans="1:30" x14ac:dyDescent="0.3">
      <c r="A234">
        <v>232</v>
      </c>
      <c r="B234">
        <v>25</v>
      </c>
      <c r="C234">
        <v>43</v>
      </c>
      <c r="D234">
        <v>48.487810000000003</v>
      </c>
      <c r="W234">
        <v>231</v>
      </c>
      <c r="X234">
        <v>20</v>
      </c>
      <c r="Y234">
        <v>39</v>
      </c>
      <c r="Z234">
        <v>33.959220000000002</v>
      </c>
      <c r="AA234">
        <f t="shared" si="12"/>
        <v>34</v>
      </c>
      <c r="AB234">
        <f t="shared" si="13"/>
        <v>1</v>
      </c>
      <c r="AC234">
        <f t="shared" si="14"/>
        <v>1</v>
      </c>
      <c r="AD234">
        <f t="shared" si="15"/>
        <v>0</v>
      </c>
    </row>
    <row r="235" spans="1:30" x14ac:dyDescent="0.3">
      <c r="A235">
        <v>233</v>
      </c>
      <c r="B235">
        <v>27</v>
      </c>
      <c r="C235">
        <v>15</v>
      </c>
      <c r="D235">
        <v>12.91168</v>
      </c>
      <c r="W235">
        <v>232</v>
      </c>
      <c r="X235">
        <v>25</v>
      </c>
      <c r="Y235">
        <v>43</v>
      </c>
      <c r="Z235">
        <v>48.487810000000003</v>
      </c>
      <c r="AA235">
        <f t="shared" si="12"/>
        <v>48</v>
      </c>
      <c r="AB235">
        <f t="shared" si="13"/>
        <v>1</v>
      </c>
      <c r="AC235">
        <f t="shared" si="14"/>
        <v>1</v>
      </c>
      <c r="AD235">
        <f t="shared" si="15"/>
        <v>0</v>
      </c>
    </row>
    <row r="236" spans="1:30" x14ac:dyDescent="0.3">
      <c r="A236">
        <v>234</v>
      </c>
      <c r="B236">
        <v>30</v>
      </c>
      <c r="C236">
        <v>46</v>
      </c>
      <c r="D236">
        <v>16.072949999999999</v>
      </c>
      <c r="W236">
        <v>233</v>
      </c>
      <c r="X236">
        <v>27</v>
      </c>
      <c r="Y236">
        <v>15</v>
      </c>
      <c r="Z236">
        <v>12.91168</v>
      </c>
      <c r="AA236">
        <f t="shared" si="12"/>
        <v>13</v>
      </c>
      <c r="AB236">
        <f t="shared" si="13"/>
        <v>1</v>
      </c>
      <c r="AC236">
        <f t="shared" si="14"/>
        <v>0</v>
      </c>
      <c r="AD236">
        <f t="shared" si="15"/>
        <v>0</v>
      </c>
    </row>
    <row r="237" spans="1:30" x14ac:dyDescent="0.3">
      <c r="A237">
        <v>235</v>
      </c>
      <c r="B237">
        <v>31</v>
      </c>
      <c r="C237">
        <v>59</v>
      </c>
      <c r="D237">
        <v>16.321100000000001</v>
      </c>
      <c r="W237">
        <v>234</v>
      </c>
      <c r="X237">
        <v>30</v>
      </c>
      <c r="Y237">
        <v>46</v>
      </c>
      <c r="Z237">
        <v>16.072949999999999</v>
      </c>
      <c r="AA237">
        <f t="shared" si="12"/>
        <v>16</v>
      </c>
      <c r="AB237">
        <f t="shared" si="13"/>
        <v>1</v>
      </c>
      <c r="AC237">
        <f t="shared" si="14"/>
        <v>1</v>
      </c>
      <c r="AD237">
        <f t="shared" si="15"/>
        <v>1</v>
      </c>
    </row>
    <row r="238" spans="1:30" x14ac:dyDescent="0.3">
      <c r="A238">
        <v>236</v>
      </c>
      <c r="B238">
        <v>36</v>
      </c>
      <c r="C238">
        <v>8</v>
      </c>
      <c r="D238">
        <v>0.72080999999999995</v>
      </c>
      <c r="W238">
        <v>235</v>
      </c>
      <c r="X238">
        <v>31</v>
      </c>
      <c r="Y238">
        <v>59</v>
      </c>
      <c r="Z238">
        <v>16.321100000000001</v>
      </c>
      <c r="AA238">
        <f t="shared" si="12"/>
        <v>16</v>
      </c>
      <c r="AB238">
        <f t="shared" si="13"/>
        <v>1</v>
      </c>
      <c r="AC238">
        <f t="shared" si="14"/>
        <v>1</v>
      </c>
      <c r="AD238">
        <f t="shared" si="15"/>
        <v>1</v>
      </c>
    </row>
    <row r="239" spans="1:30" x14ac:dyDescent="0.3">
      <c r="A239">
        <v>237</v>
      </c>
      <c r="B239">
        <v>51</v>
      </c>
      <c r="C239">
        <v>6</v>
      </c>
      <c r="D239">
        <v>7.2789900000000003</v>
      </c>
      <c r="W239">
        <v>236</v>
      </c>
      <c r="X239">
        <v>36</v>
      </c>
      <c r="Y239">
        <v>8</v>
      </c>
      <c r="Z239">
        <v>0.72080999999999995</v>
      </c>
      <c r="AA239">
        <f t="shared" si="12"/>
        <v>1</v>
      </c>
      <c r="AB239">
        <f t="shared" si="13"/>
        <v>1</v>
      </c>
      <c r="AC239">
        <f t="shared" si="14"/>
        <v>1</v>
      </c>
      <c r="AD239">
        <f t="shared" si="15"/>
        <v>0</v>
      </c>
    </row>
    <row r="240" spans="1:30" x14ac:dyDescent="0.3">
      <c r="A240">
        <v>238</v>
      </c>
      <c r="B240">
        <v>61</v>
      </c>
      <c r="C240">
        <v>235</v>
      </c>
      <c r="D240">
        <v>233.12248</v>
      </c>
      <c r="W240">
        <v>237</v>
      </c>
      <c r="X240">
        <v>51</v>
      </c>
      <c r="Y240">
        <v>6</v>
      </c>
      <c r="Z240">
        <v>7.2789900000000003</v>
      </c>
      <c r="AA240">
        <f t="shared" si="12"/>
        <v>7</v>
      </c>
      <c r="AB240">
        <f t="shared" si="13"/>
        <v>1</v>
      </c>
      <c r="AC240">
        <f t="shared" si="14"/>
        <v>0</v>
      </c>
      <c r="AD240">
        <f t="shared" si="15"/>
        <v>0</v>
      </c>
    </row>
    <row r="241" spans="1:30" x14ac:dyDescent="0.3">
      <c r="A241">
        <v>239</v>
      </c>
      <c r="B241">
        <v>71</v>
      </c>
      <c r="C241">
        <v>42</v>
      </c>
      <c r="D241">
        <v>51.437530000000002</v>
      </c>
      <c r="W241">
        <v>238</v>
      </c>
      <c r="X241">
        <v>61</v>
      </c>
      <c r="Y241">
        <v>235</v>
      </c>
      <c r="Z241">
        <v>233.12248</v>
      </c>
      <c r="AA241">
        <f t="shared" si="12"/>
        <v>233</v>
      </c>
      <c r="AB241">
        <f t="shared" si="13"/>
        <v>1</v>
      </c>
      <c r="AC241">
        <f t="shared" si="14"/>
        <v>0</v>
      </c>
      <c r="AD241">
        <f t="shared" si="15"/>
        <v>0</v>
      </c>
    </row>
    <row r="242" spans="1:30" x14ac:dyDescent="0.3">
      <c r="A242">
        <v>240</v>
      </c>
      <c r="B242">
        <v>72</v>
      </c>
      <c r="C242">
        <v>16</v>
      </c>
      <c r="D242">
        <v>7.8568499999999997</v>
      </c>
      <c r="W242">
        <v>239</v>
      </c>
      <c r="X242">
        <v>71</v>
      </c>
      <c r="Y242">
        <v>42</v>
      </c>
      <c r="Z242">
        <v>51.437530000000002</v>
      </c>
      <c r="AA242">
        <f t="shared" si="12"/>
        <v>51</v>
      </c>
      <c r="AB242">
        <f t="shared" si="13"/>
        <v>1</v>
      </c>
      <c r="AC242">
        <f t="shared" si="14"/>
        <v>1</v>
      </c>
      <c r="AD242">
        <f t="shared" si="15"/>
        <v>0</v>
      </c>
    </row>
    <row r="243" spans="1:30" x14ac:dyDescent="0.3">
      <c r="A243">
        <v>241</v>
      </c>
      <c r="B243">
        <v>75</v>
      </c>
      <c r="C243">
        <v>66</v>
      </c>
      <c r="D243">
        <v>54.837319999999998</v>
      </c>
      <c r="W243">
        <v>240</v>
      </c>
      <c r="X243">
        <v>72</v>
      </c>
      <c r="Y243">
        <v>16</v>
      </c>
      <c r="Z243">
        <v>7.8568499999999997</v>
      </c>
      <c r="AA243">
        <f t="shared" si="12"/>
        <v>8</v>
      </c>
      <c r="AB243">
        <f t="shared" si="13"/>
        <v>1</v>
      </c>
      <c r="AC243">
        <f t="shared" si="14"/>
        <v>1</v>
      </c>
      <c r="AD243">
        <f t="shared" si="15"/>
        <v>0</v>
      </c>
    </row>
    <row r="244" spans="1:30" x14ac:dyDescent="0.3">
      <c r="A244">
        <v>242</v>
      </c>
      <c r="B244">
        <v>80</v>
      </c>
      <c r="C244">
        <v>49</v>
      </c>
      <c r="D244">
        <v>50.06953</v>
      </c>
      <c r="W244">
        <v>241</v>
      </c>
      <c r="X244">
        <v>75</v>
      </c>
      <c r="Y244">
        <v>66</v>
      </c>
      <c r="Z244">
        <v>54.837319999999998</v>
      </c>
      <c r="AA244">
        <f t="shared" si="12"/>
        <v>55</v>
      </c>
      <c r="AB244">
        <f t="shared" si="13"/>
        <v>1</v>
      </c>
      <c r="AC244">
        <f t="shared" si="14"/>
        <v>1</v>
      </c>
      <c r="AD244">
        <f t="shared" si="15"/>
        <v>1</v>
      </c>
    </row>
    <row r="245" spans="1:30" x14ac:dyDescent="0.3">
      <c r="A245">
        <v>243</v>
      </c>
      <c r="B245">
        <v>87</v>
      </c>
      <c r="C245">
        <v>14</v>
      </c>
      <c r="D245">
        <v>21.728719999999999</v>
      </c>
      <c r="W245">
        <v>242</v>
      </c>
      <c r="X245">
        <v>80</v>
      </c>
      <c r="Y245">
        <v>49</v>
      </c>
      <c r="Z245">
        <v>50.06953</v>
      </c>
      <c r="AA245">
        <f t="shared" si="12"/>
        <v>50</v>
      </c>
      <c r="AB245">
        <f t="shared" si="13"/>
        <v>1</v>
      </c>
      <c r="AC245">
        <f t="shared" si="14"/>
        <v>0</v>
      </c>
      <c r="AD245">
        <f t="shared" si="15"/>
        <v>0</v>
      </c>
    </row>
    <row r="246" spans="1:30" x14ac:dyDescent="0.3">
      <c r="A246">
        <v>244</v>
      </c>
      <c r="B246">
        <v>88</v>
      </c>
      <c r="C246">
        <v>76</v>
      </c>
      <c r="D246">
        <v>75.513300000000001</v>
      </c>
      <c r="W246">
        <v>243</v>
      </c>
      <c r="X246">
        <v>87</v>
      </c>
      <c r="Y246">
        <v>14</v>
      </c>
      <c r="Z246">
        <v>21.728719999999999</v>
      </c>
      <c r="AA246">
        <f t="shared" si="12"/>
        <v>22</v>
      </c>
      <c r="AB246">
        <f t="shared" si="13"/>
        <v>1</v>
      </c>
      <c r="AC246">
        <f t="shared" si="14"/>
        <v>1</v>
      </c>
      <c r="AD246">
        <f t="shared" si="15"/>
        <v>0</v>
      </c>
    </row>
    <row r="247" spans="1:30" x14ac:dyDescent="0.3">
      <c r="A247">
        <v>245</v>
      </c>
      <c r="B247">
        <v>99</v>
      </c>
      <c r="C247">
        <v>75</v>
      </c>
      <c r="D247">
        <v>71.135810000000006</v>
      </c>
      <c r="W247">
        <v>244</v>
      </c>
      <c r="X247">
        <v>88</v>
      </c>
      <c r="Y247">
        <v>76</v>
      </c>
      <c r="Z247">
        <v>75.513300000000001</v>
      </c>
      <c r="AA247">
        <f t="shared" si="12"/>
        <v>76</v>
      </c>
      <c r="AB247">
        <f t="shared" si="13"/>
        <v>0</v>
      </c>
      <c r="AC247">
        <f t="shared" si="14"/>
        <v>0</v>
      </c>
      <c r="AD247">
        <f t="shared" si="15"/>
        <v>0</v>
      </c>
    </row>
    <row r="248" spans="1:30" x14ac:dyDescent="0.3">
      <c r="A248">
        <v>246</v>
      </c>
      <c r="B248">
        <v>102</v>
      </c>
      <c r="C248">
        <v>170</v>
      </c>
      <c r="D248">
        <v>185.48508000000001</v>
      </c>
      <c r="W248">
        <v>245</v>
      </c>
      <c r="X248">
        <v>99</v>
      </c>
      <c r="Y248">
        <v>75</v>
      </c>
      <c r="Z248">
        <v>71.135810000000006</v>
      </c>
      <c r="AA248">
        <f t="shared" si="12"/>
        <v>71</v>
      </c>
      <c r="AB248">
        <f t="shared" si="13"/>
        <v>1</v>
      </c>
      <c r="AC248">
        <f t="shared" si="14"/>
        <v>0</v>
      </c>
      <c r="AD248">
        <f t="shared" si="15"/>
        <v>0</v>
      </c>
    </row>
    <row r="249" spans="1:30" x14ac:dyDescent="0.3">
      <c r="A249">
        <v>247</v>
      </c>
      <c r="B249">
        <v>104</v>
      </c>
      <c r="C249">
        <v>4</v>
      </c>
      <c r="D249">
        <v>11.60347</v>
      </c>
      <c r="W249">
        <v>246</v>
      </c>
      <c r="X249">
        <v>102</v>
      </c>
      <c r="Y249">
        <v>170</v>
      </c>
      <c r="Z249">
        <v>185.48508000000001</v>
      </c>
      <c r="AA249">
        <f t="shared" si="12"/>
        <v>185</v>
      </c>
      <c r="AB249">
        <f t="shared" si="13"/>
        <v>1</v>
      </c>
      <c r="AC249">
        <f t="shared" si="14"/>
        <v>1</v>
      </c>
      <c r="AD249">
        <f t="shared" si="15"/>
        <v>1</v>
      </c>
    </row>
    <row r="250" spans="1:30" x14ac:dyDescent="0.3">
      <c r="A250">
        <v>248</v>
      </c>
      <c r="B250">
        <v>105</v>
      </c>
      <c r="C250">
        <v>1</v>
      </c>
      <c r="D250">
        <v>2.0682100000000001</v>
      </c>
      <c r="W250">
        <v>247</v>
      </c>
      <c r="X250">
        <v>104</v>
      </c>
      <c r="Y250">
        <v>4</v>
      </c>
      <c r="Z250">
        <v>11.60347</v>
      </c>
      <c r="AA250">
        <f t="shared" si="12"/>
        <v>12</v>
      </c>
      <c r="AB250">
        <f t="shared" si="13"/>
        <v>1</v>
      </c>
      <c r="AC250">
        <f t="shared" si="14"/>
        <v>1</v>
      </c>
      <c r="AD250">
        <f t="shared" si="15"/>
        <v>0</v>
      </c>
    </row>
    <row r="251" spans="1:30" x14ac:dyDescent="0.3">
      <c r="A251">
        <v>249</v>
      </c>
      <c r="B251">
        <v>109</v>
      </c>
      <c r="C251">
        <v>1</v>
      </c>
      <c r="D251">
        <v>1.62625</v>
      </c>
      <c r="W251">
        <v>248</v>
      </c>
      <c r="X251">
        <v>105</v>
      </c>
      <c r="Y251">
        <v>1</v>
      </c>
      <c r="Z251">
        <v>2.0682100000000001</v>
      </c>
      <c r="AA251">
        <f t="shared" si="12"/>
        <v>2</v>
      </c>
      <c r="AB251">
        <f t="shared" si="13"/>
        <v>1</v>
      </c>
      <c r="AC251">
        <f t="shared" si="14"/>
        <v>0</v>
      </c>
      <c r="AD251">
        <f t="shared" si="15"/>
        <v>0</v>
      </c>
    </row>
    <row r="252" spans="1:30" x14ac:dyDescent="0.3">
      <c r="A252">
        <v>250</v>
      </c>
      <c r="B252">
        <v>116</v>
      </c>
      <c r="C252">
        <v>185</v>
      </c>
      <c r="D252">
        <v>181.52251999999999</v>
      </c>
      <c r="W252">
        <v>249</v>
      </c>
      <c r="X252">
        <v>109</v>
      </c>
      <c r="Y252">
        <v>1</v>
      </c>
      <c r="Z252">
        <v>1.62625</v>
      </c>
      <c r="AA252">
        <f t="shared" si="12"/>
        <v>2</v>
      </c>
      <c r="AB252">
        <f t="shared" si="13"/>
        <v>1</v>
      </c>
      <c r="AC252">
        <f t="shared" si="14"/>
        <v>0</v>
      </c>
      <c r="AD252">
        <f t="shared" si="15"/>
        <v>0</v>
      </c>
    </row>
    <row r="253" spans="1:30" x14ac:dyDescent="0.3">
      <c r="A253">
        <v>251</v>
      </c>
      <c r="B253">
        <v>120</v>
      </c>
      <c r="C253">
        <v>37</v>
      </c>
      <c r="D253">
        <v>36.364780000000003</v>
      </c>
      <c r="W253">
        <v>250</v>
      </c>
      <c r="X253">
        <v>116</v>
      </c>
      <c r="Y253">
        <v>185</v>
      </c>
      <c r="Z253">
        <v>181.52251999999999</v>
      </c>
      <c r="AA253">
        <f t="shared" si="12"/>
        <v>182</v>
      </c>
      <c r="AB253">
        <f t="shared" si="13"/>
        <v>1</v>
      </c>
      <c r="AC253">
        <f t="shared" si="14"/>
        <v>0</v>
      </c>
      <c r="AD253">
        <f t="shared" si="15"/>
        <v>0</v>
      </c>
    </row>
    <row r="254" spans="1:30" x14ac:dyDescent="0.3">
      <c r="A254">
        <v>252</v>
      </c>
      <c r="B254">
        <v>124</v>
      </c>
      <c r="C254">
        <v>12</v>
      </c>
      <c r="D254">
        <v>10.9428</v>
      </c>
      <c r="W254">
        <v>251</v>
      </c>
      <c r="X254">
        <v>120</v>
      </c>
      <c r="Y254">
        <v>37</v>
      </c>
      <c r="Z254">
        <v>36.364780000000003</v>
      </c>
      <c r="AA254">
        <f t="shared" si="12"/>
        <v>36</v>
      </c>
      <c r="AB254">
        <f t="shared" si="13"/>
        <v>1</v>
      </c>
      <c r="AC254">
        <f t="shared" si="14"/>
        <v>0</v>
      </c>
      <c r="AD254">
        <f t="shared" si="15"/>
        <v>0</v>
      </c>
    </row>
    <row r="255" spans="1:30" x14ac:dyDescent="0.3">
      <c r="A255">
        <v>253</v>
      </c>
      <c r="B255">
        <v>130</v>
      </c>
      <c r="C255">
        <v>15</v>
      </c>
      <c r="D255">
        <v>10.98462</v>
      </c>
      <c r="W255">
        <v>252</v>
      </c>
      <c r="X255">
        <v>124</v>
      </c>
      <c r="Y255">
        <v>12</v>
      </c>
      <c r="Z255">
        <v>10.9428</v>
      </c>
      <c r="AA255">
        <f t="shared" si="12"/>
        <v>11</v>
      </c>
      <c r="AB255">
        <f t="shared" si="13"/>
        <v>1</v>
      </c>
      <c r="AC255">
        <f t="shared" si="14"/>
        <v>0</v>
      </c>
      <c r="AD255">
        <f t="shared" si="15"/>
        <v>0</v>
      </c>
    </row>
    <row r="256" spans="1:30" x14ac:dyDescent="0.3">
      <c r="A256">
        <v>254</v>
      </c>
      <c r="B256">
        <v>133</v>
      </c>
      <c r="C256">
        <v>82</v>
      </c>
      <c r="D256">
        <v>72.898449999999997</v>
      </c>
      <c r="W256">
        <v>253</v>
      </c>
      <c r="X256">
        <v>130</v>
      </c>
      <c r="Y256">
        <v>15</v>
      </c>
      <c r="Z256">
        <v>10.98462</v>
      </c>
      <c r="AA256">
        <f t="shared" si="12"/>
        <v>11</v>
      </c>
      <c r="AB256">
        <f t="shared" si="13"/>
        <v>1</v>
      </c>
      <c r="AC256">
        <f t="shared" si="14"/>
        <v>0</v>
      </c>
      <c r="AD256">
        <f t="shared" si="15"/>
        <v>0</v>
      </c>
    </row>
    <row r="257" spans="1:30" x14ac:dyDescent="0.3">
      <c r="A257">
        <v>255</v>
      </c>
      <c r="B257">
        <v>134</v>
      </c>
      <c r="C257">
        <v>83</v>
      </c>
      <c r="D257">
        <v>65.245959999999997</v>
      </c>
      <c r="W257">
        <v>254</v>
      </c>
      <c r="X257">
        <v>133</v>
      </c>
      <c r="Y257">
        <v>82</v>
      </c>
      <c r="Z257">
        <v>72.898449999999997</v>
      </c>
      <c r="AA257">
        <f t="shared" si="12"/>
        <v>73</v>
      </c>
      <c r="AB257">
        <f t="shared" si="13"/>
        <v>1</v>
      </c>
      <c r="AC257">
        <f t="shared" si="14"/>
        <v>1</v>
      </c>
      <c r="AD257">
        <f t="shared" si="15"/>
        <v>0</v>
      </c>
    </row>
    <row r="258" spans="1:30" x14ac:dyDescent="0.3">
      <c r="A258">
        <v>256</v>
      </c>
      <c r="B258">
        <v>138</v>
      </c>
      <c r="C258">
        <v>30</v>
      </c>
      <c r="D258">
        <v>15.25287</v>
      </c>
      <c r="W258">
        <v>255</v>
      </c>
      <c r="X258">
        <v>134</v>
      </c>
      <c r="Y258">
        <v>83</v>
      </c>
      <c r="Z258">
        <v>65.245959999999997</v>
      </c>
      <c r="AA258">
        <f t="shared" si="12"/>
        <v>65</v>
      </c>
      <c r="AB258">
        <f t="shared" si="13"/>
        <v>1</v>
      </c>
      <c r="AC258">
        <f t="shared" si="14"/>
        <v>1</v>
      </c>
      <c r="AD258">
        <f t="shared" si="15"/>
        <v>1</v>
      </c>
    </row>
    <row r="259" spans="1:30" x14ac:dyDescent="0.3">
      <c r="A259">
        <v>257</v>
      </c>
      <c r="B259">
        <v>143</v>
      </c>
      <c r="C259">
        <v>1</v>
      </c>
      <c r="D259">
        <v>0.42155999999999999</v>
      </c>
      <c r="W259">
        <v>256</v>
      </c>
      <c r="X259">
        <v>138</v>
      </c>
      <c r="Y259">
        <v>30</v>
      </c>
      <c r="Z259">
        <v>15.25287</v>
      </c>
      <c r="AA259">
        <f t="shared" si="12"/>
        <v>15</v>
      </c>
      <c r="AB259">
        <f t="shared" si="13"/>
        <v>1</v>
      </c>
      <c r="AC259">
        <f t="shared" si="14"/>
        <v>1</v>
      </c>
      <c r="AD259">
        <f t="shared" si="15"/>
        <v>1</v>
      </c>
    </row>
    <row r="260" spans="1:30" x14ac:dyDescent="0.3">
      <c r="A260">
        <v>258</v>
      </c>
      <c r="B260">
        <v>146</v>
      </c>
      <c r="C260">
        <v>161</v>
      </c>
      <c r="D260">
        <v>142.3047</v>
      </c>
      <c r="W260">
        <v>257</v>
      </c>
      <c r="X260">
        <v>143</v>
      </c>
      <c r="Y260">
        <v>1</v>
      </c>
      <c r="Z260">
        <v>0.42155999999999999</v>
      </c>
      <c r="AA260">
        <f t="shared" si="12"/>
        <v>0</v>
      </c>
      <c r="AB260">
        <f t="shared" si="13"/>
        <v>1</v>
      </c>
      <c r="AC260">
        <f t="shared" si="14"/>
        <v>0</v>
      </c>
      <c r="AD260">
        <f t="shared" si="15"/>
        <v>0</v>
      </c>
    </row>
    <row r="261" spans="1:30" x14ac:dyDescent="0.3">
      <c r="A261">
        <v>259</v>
      </c>
      <c r="B261">
        <v>147</v>
      </c>
      <c r="C261">
        <v>59</v>
      </c>
      <c r="D261">
        <v>60.957380000000001</v>
      </c>
      <c r="W261">
        <v>258</v>
      </c>
      <c r="X261">
        <v>146</v>
      </c>
      <c r="Y261">
        <v>161</v>
      </c>
      <c r="Z261">
        <v>142.3047</v>
      </c>
      <c r="AA261">
        <f t="shared" ref="AA261:AA324" si="16">ROUND(Z261,0)</f>
        <v>142</v>
      </c>
      <c r="AB261">
        <f t="shared" ref="AB261:AB324" si="17">IF(AA261=Y261,0,1)</f>
        <v>1</v>
      </c>
      <c r="AC261">
        <f t="shared" ref="AC261:AC324" si="18">IF(AA261&lt;Y261+5,IF(AA261&gt;Y261-5,0,1),1)</f>
        <v>1</v>
      </c>
      <c r="AD261">
        <f t="shared" ref="AD261:AD324" si="19">IF(AA261&lt;Y261+10,IF(AA261&gt;Y261-10,0,1),1)</f>
        <v>1</v>
      </c>
    </row>
    <row r="262" spans="1:30" x14ac:dyDescent="0.3">
      <c r="A262">
        <v>260</v>
      </c>
      <c r="B262">
        <v>154</v>
      </c>
      <c r="C262">
        <v>11</v>
      </c>
      <c r="D262">
        <v>9.6514399999999991</v>
      </c>
      <c r="W262">
        <v>259</v>
      </c>
      <c r="X262">
        <v>147</v>
      </c>
      <c r="Y262">
        <v>59</v>
      </c>
      <c r="Z262">
        <v>60.957380000000001</v>
      </c>
      <c r="AA262">
        <f t="shared" si="16"/>
        <v>61</v>
      </c>
      <c r="AB262">
        <f t="shared" si="17"/>
        <v>1</v>
      </c>
      <c r="AC262">
        <f t="shared" si="18"/>
        <v>0</v>
      </c>
      <c r="AD262">
        <f t="shared" si="19"/>
        <v>0</v>
      </c>
    </row>
    <row r="263" spans="1:30" x14ac:dyDescent="0.3">
      <c r="A263">
        <v>261</v>
      </c>
      <c r="B263">
        <v>157</v>
      </c>
      <c r="C263">
        <v>79</v>
      </c>
      <c r="D263">
        <v>70.181839999999994</v>
      </c>
      <c r="W263">
        <v>260</v>
      </c>
      <c r="X263">
        <v>154</v>
      </c>
      <c r="Y263">
        <v>11</v>
      </c>
      <c r="Z263">
        <v>9.6514399999999991</v>
      </c>
      <c r="AA263">
        <f t="shared" si="16"/>
        <v>10</v>
      </c>
      <c r="AB263">
        <f t="shared" si="17"/>
        <v>1</v>
      </c>
      <c r="AC263">
        <f t="shared" si="18"/>
        <v>0</v>
      </c>
      <c r="AD263">
        <f t="shared" si="19"/>
        <v>0</v>
      </c>
    </row>
    <row r="264" spans="1:30" x14ac:dyDescent="0.3">
      <c r="A264">
        <v>262</v>
      </c>
      <c r="B264">
        <v>158</v>
      </c>
      <c r="C264">
        <v>226</v>
      </c>
      <c r="D264">
        <v>208.43884</v>
      </c>
      <c r="W264">
        <v>261</v>
      </c>
      <c r="X264">
        <v>157</v>
      </c>
      <c r="Y264">
        <v>79</v>
      </c>
      <c r="Z264">
        <v>70.181839999999994</v>
      </c>
      <c r="AA264">
        <f t="shared" si="16"/>
        <v>70</v>
      </c>
      <c r="AB264">
        <f t="shared" si="17"/>
        <v>1</v>
      </c>
      <c r="AC264">
        <f t="shared" si="18"/>
        <v>1</v>
      </c>
      <c r="AD264">
        <f t="shared" si="19"/>
        <v>0</v>
      </c>
    </row>
    <row r="265" spans="1:30" x14ac:dyDescent="0.3">
      <c r="A265">
        <v>263</v>
      </c>
      <c r="B265">
        <v>159</v>
      </c>
      <c r="C265">
        <v>93</v>
      </c>
      <c r="D265">
        <v>79.585790000000003</v>
      </c>
      <c r="W265">
        <v>262</v>
      </c>
      <c r="X265">
        <v>158</v>
      </c>
      <c r="Y265">
        <v>226</v>
      </c>
      <c r="Z265">
        <v>208.43884</v>
      </c>
      <c r="AA265">
        <f t="shared" si="16"/>
        <v>208</v>
      </c>
      <c r="AB265">
        <f t="shared" si="17"/>
        <v>1</v>
      </c>
      <c r="AC265">
        <f t="shared" si="18"/>
        <v>1</v>
      </c>
      <c r="AD265">
        <f t="shared" si="19"/>
        <v>1</v>
      </c>
    </row>
    <row r="266" spans="1:30" x14ac:dyDescent="0.3">
      <c r="A266">
        <v>264</v>
      </c>
      <c r="B266">
        <v>162</v>
      </c>
      <c r="C266">
        <v>17</v>
      </c>
      <c r="D266">
        <v>16.024069999999998</v>
      </c>
      <c r="W266">
        <v>263</v>
      </c>
      <c r="X266">
        <v>159</v>
      </c>
      <c r="Y266">
        <v>93</v>
      </c>
      <c r="Z266">
        <v>79.585790000000003</v>
      </c>
      <c r="AA266">
        <f t="shared" si="16"/>
        <v>80</v>
      </c>
      <c r="AB266">
        <f t="shared" si="17"/>
        <v>1</v>
      </c>
      <c r="AC266">
        <f t="shared" si="18"/>
        <v>1</v>
      </c>
      <c r="AD266">
        <f t="shared" si="19"/>
        <v>1</v>
      </c>
    </row>
    <row r="267" spans="1:30" x14ac:dyDescent="0.3">
      <c r="A267">
        <v>265</v>
      </c>
      <c r="B267">
        <v>166</v>
      </c>
      <c r="C267">
        <v>83</v>
      </c>
      <c r="D267">
        <v>113.00617</v>
      </c>
      <c r="W267">
        <v>264</v>
      </c>
      <c r="X267">
        <v>162</v>
      </c>
      <c r="Y267">
        <v>17</v>
      </c>
      <c r="Z267">
        <v>16.024069999999998</v>
      </c>
      <c r="AA267">
        <f t="shared" si="16"/>
        <v>16</v>
      </c>
      <c r="AB267">
        <f t="shared" si="17"/>
        <v>1</v>
      </c>
      <c r="AC267">
        <f t="shared" si="18"/>
        <v>0</v>
      </c>
      <c r="AD267">
        <f t="shared" si="19"/>
        <v>0</v>
      </c>
    </row>
    <row r="268" spans="1:30" x14ac:dyDescent="0.3">
      <c r="A268">
        <v>266</v>
      </c>
      <c r="B268">
        <v>177</v>
      </c>
      <c r="C268">
        <v>56</v>
      </c>
      <c r="D268">
        <v>43.657290000000003</v>
      </c>
      <c r="W268">
        <v>265</v>
      </c>
      <c r="X268">
        <v>166</v>
      </c>
      <c r="Y268">
        <v>83</v>
      </c>
      <c r="Z268">
        <v>113.00617</v>
      </c>
      <c r="AA268">
        <f t="shared" si="16"/>
        <v>113</v>
      </c>
      <c r="AB268">
        <f t="shared" si="17"/>
        <v>1</v>
      </c>
      <c r="AC268">
        <f t="shared" si="18"/>
        <v>1</v>
      </c>
      <c r="AD268">
        <f t="shared" si="19"/>
        <v>1</v>
      </c>
    </row>
    <row r="269" spans="1:30" x14ac:dyDescent="0.3">
      <c r="A269">
        <v>267</v>
      </c>
      <c r="B269">
        <v>184</v>
      </c>
      <c r="C269">
        <v>10</v>
      </c>
      <c r="D269">
        <v>16.6907</v>
      </c>
      <c r="W269">
        <v>266</v>
      </c>
      <c r="X269">
        <v>177</v>
      </c>
      <c r="Y269">
        <v>56</v>
      </c>
      <c r="Z269">
        <v>43.657290000000003</v>
      </c>
      <c r="AA269">
        <f t="shared" si="16"/>
        <v>44</v>
      </c>
      <c r="AB269">
        <f t="shared" si="17"/>
        <v>1</v>
      </c>
      <c r="AC269">
        <f t="shared" si="18"/>
        <v>1</v>
      </c>
      <c r="AD269">
        <f t="shared" si="19"/>
        <v>1</v>
      </c>
    </row>
    <row r="270" spans="1:30" x14ac:dyDescent="0.3">
      <c r="A270">
        <v>268</v>
      </c>
      <c r="B270">
        <v>192</v>
      </c>
      <c r="C270">
        <v>201</v>
      </c>
      <c r="D270">
        <v>202.87324000000001</v>
      </c>
      <c r="W270">
        <v>267</v>
      </c>
      <c r="X270">
        <v>184</v>
      </c>
      <c r="Y270">
        <v>10</v>
      </c>
      <c r="Z270">
        <v>16.6907</v>
      </c>
      <c r="AA270">
        <f t="shared" si="16"/>
        <v>17</v>
      </c>
      <c r="AB270">
        <f t="shared" si="17"/>
        <v>1</v>
      </c>
      <c r="AC270">
        <f t="shared" si="18"/>
        <v>1</v>
      </c>
      <c r="AD270">
        <f t="shared" si="19"/>
        <v>0</v>
      </c>
    </row>
    <row r="271" spans="1:30" x14ac:dyDescent="0.3">
      <c r="A271">
        <v>269</v>
      </c>
      <c r="B271">
        <v>204</v>
      </c>
      <c r="C271">
        <v>2</v>
      </c>
      <c r="D271">
        <v>1.1499299999999999</v>
      </c>
      <c r="W271">
        <v>268</v>
      </c>
      <c r="X271">
        <v>192</v>
      </c>
      <c r="Y271">
        <v>201</v>
      </c>
      <c r="Z271">
        <v>202.87324000000001</v>
      </c>
      <c r="AA271">
        <f t="shared" si="16"/>
        <v>203</v>
      </c>
      <c r="AB271">
        <f t="shared" si="17"/>
        <v>1</v>
      </c>
      <c r="AC271">
        <f t="shared" si="18"/>
        <v>0</v>
      </c>
      <c r="AD271">
        <f t="shared" si="19"/>
        <v>0</v>
      </c>
    </row>
    <row r="272" spans="1:30" x14ac:dyDescent="0.3">
      <c r="A272">
        <v>270</v>
      </c>
      <c r="B272">
        <v>210</v>
      </c>
      <c r="C272">
        <v>13</v>
      </c>
      <c r="D272">
        <v>5.7588999999999997</v>
      </c>
      <c r="W272">
        <v>269</v>
      </c>
      <c r="X272">
        <v>204</v>
      </c>
      <c r="Y272">
        <v>2</v>
      </c>
      <c r="Z272">
        <v>1.1499299999999999</v>
      </c>
      <c r="AA272">
        <f t="shared" si="16"/>
        <v>1</v>
      </c>
      <c r="AB272">
        <f t="shared" si="17"/>
        <v>1</v>
      </c>
      <c r="AC272">
        <f t="shared" si="18"/>
        <v>0</v>
      </c>
      <c r="AD272">
        <f t="shared" si="19"/>
        <v>0</v>
      </c>
    </row>
    <row r="273" spans="1:30" x14ac:dyDescent="0.3">
      <c r="A273">
        <v>271</v>
      </c>
      <c r="B273">
        <v>213</v>
      </c>
      <c r="C273">
        <v>2</v>
      </c>
      <c r="D273">
        <v>6.0965299999999996</v>
      </c>
      <c r="W273">
        <v>270</v>
      </c>
      <c r="X273">
        <v>210</v>
      </c>
      <c r="Y273">
        <v>13</v>
      </c>
      <c r="Z273">
        <v>5.7588999999999997</v>
      </c>
      <c r="AA273">
        <f t="shared" si="16"/>
        <v>6</v>
      </c>
      <c r="AB273">
        <f t="shared" si="17"/>
        <v>1</v>
      </c>
      <c r="AC273">
        <f t="shared" si="18"/>
        <v>1</v>
      </c>
      <c r="AD273">
        <f t="shared" si="19"/>
        <v>0</v>
      </c>
    </row>
    <row r="274" spans="1:30" x14ac:dyDescent="0.3">
      <c r="A274">
        <v>272</v>
      </c>
      <c r="B274">
        <v>224</v>
      </c>
      <c r="C274">
        <v>14</v>
      </c>
      <c r="D274">
        <v>6.1504599999999998</v>
      </c>
      <c r="W274">
        <v>271</v>
      </c>
      <c r="X274">
        <v>213</v>
      </c>
      <c r="Y274">
        <v>2</v>
      </c>
      <c r="Z274">
        <v>6.0965299999999996</v>
      </c>
      <c r="AA274">
        <f t="shared" si="16"/>
        <v>6</v>
      </c>
      <c r="AB274">
        <f t="shared" si="17"/>
        <v>1</v>
      </c>
      <c r="AC274">
        <f t="shared" si="18"/>
        <v>0</v>
      </c>
      <c r="AD274">
        <f t="shared" si="19"/>
        <v>0</v>
      </c>
    </row>
    <row r="275" spans="1:30" x14ac:dyDescent="0.3">
      <c r="A275">
        <v>273</v>
      </c>
      <c r="B275">
        <v>229</v>
      </c>
      <c r="C275">
        <v>54</v>
      </c>
      <c r="D275">
        <v>48.921779999999998</v>
      </c>
      <c r="W275">
        <v>272</v>
      </c>
      <c r="X275">
        <v>224</v>
      </c>
      <c r="Y275">
        <v>14</v>
      </c>
      <c r="Z275">
        <v>6.1504599999999998</v>
      </c>
      <c r="AA275">
        <f t="shared" si="16"/>
        <v>6</v>
      </c>
      <c r="AB275">
        <f t="shared" si="17"/>
        <v>1</v>
      </c>
      <c r="AC275">
        <f t="shared" si="18"/>
        <v>1</v>
      </c>
      <c r="AD275">
        <f t="shared" si="19"/>
        <v>0</v>
      </c>
    </row>
    <row r="276" spans="1:30" x14ac:dyDescent="0.3">
      <c r="A276">
        <v>274</v>
      </c>
      <c r="B276">
        <v>232</v>
      </c>
      <c r="C276">
        <v>53</v>
      </c>
      <c r="D276">
        <v>64.282790000000006</v>
      </c>
      <c r="W276">
        <v>273</v>
      </c>
      <c r="X276">
        <v>229</v>
      </c>
      <c r="Y276">
        <v>54</v>
      </c>
      <c r="Z276">
        <v>48.921779999999998</v>
      </c>
      <c r="AA276">
        <f t="shared" si="16"/>
        <v>49</v>
      </c>
      <c r="AB276">
        <f t="shared" si="17"/>
        <v>1</v>
      </c>
      <c r="AC276">
        <f t="shared" si="18"/>
        <v>1</v>
      </c>
      <c r="AD276">
        <f t="shared" si="19"/>
        <v>0</v>
      </c>
    </row>
    <row r="277" spans="1:30" x14ac:dyDescent="0.3">
      <c r="A277">
        <v>275</v>
      </c>
      <c r="B277">
        <v>237</v>
      </c>
      <c r="C277">
        <v>6</v>
      </c>
      <c r="D277">
        <v>8.0851799999999994</v>
      </c>
      <c r="W277">
        <v>274</v>
      </c>
      <c r="X277">
        <v>232</v>
      </c>
      <c r="Y277">
        <v>53</v>
      </c>
      <c r="Z277">
        <v>64.282790000000006</v>
      </c>
      <c r="AA277">
        <f t="shared" si="16"/>
        <v>64</v>
      </c>
      <c r="AB277">
        <f t="shared" si="17"/>
        <v>1</v>
      </c>
      <c r="AC277">
        <f t="shared" si="18"/>
        <v>1</v>
      </c>
      <c r="AD277">
        <f t="shared" si="19"/>
        <v>1</v>
      </c>
    </row>
    <row r="278" spans="1:30" x14ac:dyDescent="0.3">
      <c r="A278">
        <v>276</v>
      </c>
      <c r="B278">
        <v>240</v>
      </c>
      <c r="C278">
        <v>43</v>
      </c>
      <c r="D278">
        <v>39.00864</v>
      </c>
      <c r="W278">
        <v>275</v>
      </c>
      <c r="X278">
        <v>237</v>
      </c>
      <c r="Y278">
        <v>6</v>
      </c>
      <c r="Z278">
        <v>8.0851799999999994</v>
      </c>
      <c r="AA278">
        <f t="shared" si="16"/>
        <v>8</v>
      </c>
      <c r="AB278">
        <f t="shared" si="17"/>
        <v>1</v>
      </c>
      <c r="AC278">
        <f t="shared" si="18"/>
        <v>0</v>
      </c>
      <c r="AD278">
        <f t="shared" si="19"/>
        <v>0</v>
      </c>
    </row>
    <row r="279" spans="1:30" x14ac:dyDescent="0.3">
      <c r="A279">
        <v>277</v>
      </c>
      <c r="B279">
        <v>244</v>
      </c>
      <c r="C279">
        <v>76</v>
      </c>
      <c r="D279">
        <v>82.220190000000002</v>
      </c>
      <c r="W279">
        <v>276</v>
      </c>
      <c r="X279">
        <v>240</v>
      </c>
      <c r="Y279">
        <v>43</v>
      </c>
      <c r="Z279">
        <v>39.00864</v>
      </c>
      <c r="AA279">
        <f t="shared" si="16"/>
        <v>39</v>
      </c>
      <c r="AB279">
        <f t="shared" si="17"/>
        <v>1</v>
      </c>
      <c r="AC279">
        <f t="shared" si="18"/>
        <v>0</v>
      </c>
      <c r="AD279">
        <f t="shared" si="19"/>
        <v>0</v>
      </c>
    </row>
    <row r="280" spans="1:30" x14ac:dyDescent="0.3">
      <c r="A280">
        <v>278</v>
      </c>
      <c r="B280">
        <v>245</v>
      </c>
      <c r="C280">
        <v>205</v>
      </c>
      <c r="D280">
        <v>198.87253999999999</v>
      </c>
      <c r="W280">
        <v>277</v>
      </c>
      <c r="X280">
        <v>244</v>
      </c>
      <c r="Y280">
        <v>76</v>
      </c>
      <c r="Z280">
        <v>82.220190000000002</v>
      </c>
      <c r="AA280">
        <f t="shared" si="16"/>
        <v>82</v>
      </c>
      <c r="AB280">
        <f t="shared" si="17"/>
        <v>1</v>
      </c>
      <c r="AC280">
        <f t="shared" si="18"/>
        <v>1</v>
      </c>
      <c r="AD280">
        <f t="shared" si="19"/>
        <v>0</v>
      </c>
    </row>
    <row r="281" spans="1:30" x14ac:dyDescent="0.3">
      <c r="A281">
        <v>279</v>
      </c>
      <c r="B281">
        <v>248</v>
      </c>
      <c r="C281">
        <v>74</v>
      </c>
      <c r="D281">
        <v>68.174520000000001</v>
      </c>
      <c r="W281">
        <v>278</v>
      </c>
      <c r="X281">
        <v>245</v>
      </c>
      <c r="Y281">
        <v>205</v>
      </c>
      <c r="Z281">
        <v>198.87253999999999</v>
      </c>
      <c r="AA281">
        <f t="shared" si="16"/>
        <v>199</v>
      </c>
      <c r="AB281">
        <f t="shared" si="17"/>
        <v>1</v>
      </c>
      <c r="AC281">
        <f t="shared" si="18"/>
        <v>1</v>
      </c>
      <c r="AD281">
        <f t="shared" si="19"/>
        <v>0</v>
      </c>
    </row>
    <row r="282" spans="1:30" x14ac:dyDescent="0.3">
      <c r="A282">
        <v>280</v>
      </c>
      <c r="B282">
        <v>251</v>
      </c>
      <c r="C282">
        <v>24</v>
      </c>
      <c r="D282">
        <v>26.815020000000001</v>
      </c>
      <c r="W282">
        <v>279</v>
      </c>
      <c r="X282">
        <v>248</v>
      </c>
      <c r="Y282">
        <v>74</v>
      </c>
      <c r="Z282">
        <v>68.174520000000001</v>
      </c>
      <c r="AA282">
        <f t="shared" si="16"/>
        <v>68</v>
      </c>
      <c r="AB282">
        <f t="shared" si="17"/>
        <v>1</v>
      </c>
      <c r="AC282">
        <f t="shared" si="18"/>
        <v>1</v>
      </c>
      <c r="AD282">
        <f t="shared" si="19"/>
        <v>0</v>
      </c>
    </row>
    <row r="283" spans="1:30" x14ac:dyDescent="0.3">
      <c r="A283">
        <v>281</v>
      </c>
      <c r="B283">
        <v>260</v>
      </c>
      <c r="C283">
        <v>39</v>
      </c>
      <c r="D283">
        <v>34.942160000000001</v>
      </c>
      <c r="W283">
        <v>280</v>
      </c>
      <c r="X283">
        <v>251</v>
      </c>
      <c r="Y283">
        <v>24</v>
      </c>
      <c r="Z283">
        <v>26.815020000000001</v>
      </c>
      <c r="AA283">
        <f t="shared" si="16"/>
        <v>27</v>
      </c>
      <c r="AB283">
        <f t="shared" si="17"/>
        <v>1</v>
      </c>
      <c r="AC283">
        <f t="shared" si="18"/>
        <v>0</v>
      </c>
      <c r="AD283">
        <f t="shared" si="19"/>
        <v>0</v>
      </c>
    </row>
    <row r="284" spans="1:30" x14ac:dyDescent="0.3">
      <c r="A284">
        <v>282</v>
      </c>
      <c r="B284">
        <v>261</v>
      </c>
      <c r="C284">
        <v>30</v>
      </c>
      <c r="D284">
        <v>53.311390000000003</v>
      </c>
      <c r="W284">
        <v>281</v>
      </c>
      <c r="X284">
        <v>260</v>
      </c>
      <c r="Y284">
        <v>39</v>
      </c>
      <c r="Z284">
        <v>34.942160000000001</v>
      </c>
      <c r="AA284">
        <f t="shared" si="16"/>
        <v>35</v>
      </c>
      <c r="AB284">
        <f t="shared" si="17"/>
        <v>1</v>
      </c>
      <c r="AC284">
        <f t="shared" si="18"/>
        <v>0</v>
      </c>
      <c r="AD284">
        <f t="shared" si="19"/>
        <v>0</v>
      </c>
    </row>
    <row r="285" spans="1:30" x14ac:dyDescent="0.3">
      <c r="A285">
        <v>283</v>
      </c>
      <c r="B285">
        <v>262</v>
      </c>
      <c r="C285">
        <v>14</v>
      </c>
      <c r="D285">
        <v>18.745290000000001</v>
      </c>
      <c r="W285">
        <v>282</v>
      </c>
      <c r="X285">
        <v>261</v>
      </c>
      <c r="Y285">
        <v>30</v>
      </c>
      <c r="Z285">
        <v>53.311390000000003</v>
      </c>
      <c r="AA285">
        <f t="shared" si="16"/>
        <v>53</v>
      </c>
      <c r="AB285">
        <f t="shared" si="17"/>
        <v>1</v>
      </c>
      <c r="AC285">
        <f t="shared" si="18"/>
        <v>1</v>
      </c>
      <c r="AD285">
        <f t="shared" si="19"/>
        <v>1</v>
      </c>
    </row>
    <row r="286" spans="1:30" x14ac:dyDescent="0.3">
      <c r="A286">
        <v>284</v>
      </c>
      <c r="B286">
        <v>263</v>
      </c>
      <c r="C286">
        <v>18</v>
      </c>
      <c r="D286">
        <v>22.524170000000002</v>
      </c>
      <c r="W286">
        <v>283</v>
      </c>
      <c r="X286">
        <v>262</v>
      </c>
      <c r="Y286">
        <v>14</v>
      </c>
      <c r="Z286">
        <v>18.745290000000001</v>
      </c>
      <c r="AA286">
        <f t="shared" si="16"/>
        <v>19</v>
      </c>
      <c r="AB286">
        <f t="shared" si="17"/>
        <v>1</v>
      </c>
      <c r="AC286">
        <f t="shared" si="18"/>
        <v>1</v>
      </c>
      <c r="AD286">
        <f t="shared" si="19"/>
        <v>0</v>
      </c>
    </row>
    <row r="287" spans="1:30" x14ac:dyDescent="0.3">
      <c r="A287">
        <v>285</v>
      </c>
      <c r="B287">
        <v>266</v>
      </c>
      <c r="C287">
        <v>18</v>
      </c>
      <c r="D287">
        <v>12.70195</v>
      </c>
      <c r="W287">
        <v>284</v>
      </c>
      <c r="X287">
        <v>263</v>
      </c>
      <c r="Y287">
        <v>18</v>
      </c>
      <c r="Z287">
        <v>22.524170000000002</v>
      </c>
      <c r="AA287">
        <f t="shared" si="16"/>
        <v>23</v>
      </c>
      <c r="AB287">
        <f t="shared" si="17"/>
        <v>1</v>
      </c>
      <c r="AC287">
        <f t="shared" si="18"/>
        <v>1</v>
      </c>
      <c r="AD287">
        <f t="shared" si="19"/>
        <v>0</v>
      </c>
    </row>
    <row r="288" spans="1:30" x14ac:dyDescent="0.3">
      <c r="A288">
        <v>286</v>
      </c>
      <c r="B288">
        <v>267</v>
      </c>
      <c r="C288">
        <v>42</v>
      </c>
      <c r="D288">
        <v>28.269459999999999</v>
      </c>
      <c r="W288">
        <v>285</v>
      </c>
      <c r="X288">
        <v>266</v>
      </c>
      <c r="Y288">
        <v>18</v>
      </c>
      <c r="Z288">
        <v>12.70195</v>
      </c>
      <c r="AA288">
        <f t="shared" si="16"/>
        <v>13</v>
      </c>
      <c r="AB288">
        <f t="shared" si="17"/>
        <v>1</v>
      </c>
      <c r="AC288">
        <f t="shared" si="18"/>
        <v>1</v>
      </c>
      <c r="AD288">
        <f t="shared" si="19"/>
        <v>0</v>
      </c>
    </row>
    <row r="289" spans="1:30" x14ac:dyDescent="0.3">
      <c r="A289">
        <v>287</v>
      </c>
      <c r="B289">
        <v>268</v>
      </c>
      <c r="C289">
        <v>20</v>
      </c>
      <c r="D289">
        <v>11.08</v>
      </c>
      <c r="W289">
        <v>286</v>
      </c>
      <c r="X289">
        <v>267</v>
      </c>
      <c r="Y289">
        <v>42</v>
      </c>
      <c r="Z289">
        <v>28.269459999999999</v>
      </c>
      <c r="AA289">
        <f t="shared" si="16"/>
        <v>28</v>
      </c>
      <c r="AB289">
        <f t="shared" si="17"/>
        <v>1</v>
      </c>
      <c r="AC289">
        <f t="shared" si="18"/>
        <v>1</v>
      </c>
      <c r="AD289">
        <f t="shared" si="19"/>
        <v>1</v>
      </c>
    </row>
    <row r="290" spans="1:30" x14ac:dyDescent="0.3">
      <c r="A290">
        <v>288</v>
      </c>
      <c r="B290">
        <v>269</v>
      </c>
      <c r="C290">
        <v>6</v>
      </c>
      <c r="D290">
        <v>7.3357700000000001</v>
      </c>
      <c r="W290">
        <v>287</v>
      </c>
      <c r="X290">
        <v>268</v>
      </c>
      <c r="Y290">
        <v>20</v>
      </c>
      <c r="Z290">
        <v>11.08</v>
      </c>
      <c r="AA290">
        <f t="shared" si="16"/>
        <v>11</v>
      </c>
      <c r="AB290">
        <f t="shared" si="17"/>
        <v>1</v>
      </c>
      <c r="AC290">
        <f t="shared" si="18"/>
        <v>1</v>
      </c>
      <c r="AD290">
        <f t="shared" si="19"/>
        <v>0</v>
      </c>
    </row>
    <row r="291" spans="1:30" x14ac:dyDescent="0.3">
      <c r="A291">
        <v>289</v>
      </c>
      <c r="B291">
        <v>278</v>
      </c>
      <c r="C291">
        <v>31</v>
      </c>
      <c r="D291">
        <v>24.148630000000001</v>
      </c>
      <c r="W291">
        <v>288</v>
      </c>
      <c r="X291">
        <v>269</v>
      </c>
      <c r="Y291">
        <v>6</v>
      </c>
      <c r="Z291">
        <v>7.3357700000000001</v>
      </c>
      <c r="AA291">
        <f t="shared" si="16"/>
        <v>7</v>
      </c>
      <c r="AB291">
        <f t="shared" si="17"/>
        <v>1</v>
      </c>
      <c r="AC291">
        <f t="shared" si="18"/>
        <v>0</v>
      </c>
      <c r="AD291">
        <f t="shared" si="19"/>
        <v>0</v>
      </c>
    </row>
    <row r="292" spans="1:30" x14ac:dyDescent="0.3">
      <c r="A292">
        <v>290</v>
      </c>
      <c r="B292">
        <v>286</v>
      </c>
      <c r="C292">
        <v>45</v>
      </c>
      <c r="D292">
        <v>47.266309999999997</v>
      </c>
      <c r="W292">
        <v>289</v>
      </c>
      <c r="X292">
        <v>278</v>
      </c>
      <c r="Y292">
        <v>31</v>
      </c>
      <c r="Z292">
        <v>24.148630000000001</v>
      </c>
      <c r="AA292">
        <f t="shared" si="16"/>
        <v>24</v>
      </c>
      <c r="AB292">
        <f t="shared" si="17"/>
        <v>1</v>
      </c>
      <c r="AC292">
        <f t="shared" si="18"/>
        <v>1</v>
      </c>
      <c r="AD292">
        <f t="shared" si="19"/>
        <v>0</v>
      </c>
    </row>
    <row r="293" spans="1:30" x14ac:dyDescent="0.3">
      <c r="A293">
        <v>291</v>
      </c>
      <c r="B293">
        <v>288</v>
      </c>
      <c r="C293">
        <v>21</v>
      </c>
      <c r="D293">
        <v>33.896630000000002</v>
      </c>
      <c r="W293">
        <v>290</v>
      </c>
      <c r="X293">
        <v>286</v>
      </c>
      <c r="Y293">
        <v>45</v>
      </c>
      <c r="Z293">
        <v>47.266309999999997</v>
      </c>
      <c r="AA293">
        <f t="shared" si="16"/>
        <v>47</v>
      </c>
      <c r="AB293">
        <f t="shared" si="17"/>
        <v>1</v>
      </c>
      <c r="AC293">
        <f t="shared" si="18"/>
        <v>0</v>
      </c>
      <c r="AD293">
        <f t="shared" si="19"/>
        <v>0</v>
      </c>
    </row>
    <row r="294" spans="1:30" x14ac:dyDescent="0.3">
      <c r="A294">
        <v>292</v>
      </c>
      <c r="B294">
        <v>290</v>
      </c>
      <c r="C294">
        <v>23</v>
      </c>
      <c r="D294">
        <v>33.362969999999997</v>
      </c>
      <c r="W294">
        <v>291</v>
      </c>
      <c r="X294">
        <v>288</v>
      </c>
      <c r="Y294">
        <v>21</v>
      </c>
      <c r="Z294">
        <v>33.896630000000002</v>
      </c>
      <c r="AA294">
        <f t="shared" si="16"/>
        <v>34</v>
      </c>
      <c r="AB294">
        <f t="shared" si="17"/>
        <v>1</v>
      </c>
      <c r="AC294">
        <f t="shared" si="18"/>
        <v>1</v>
      </c>
      <c r="AD294">
        <f t="shared" si="19"/>
        <v>1</v>
      </c>
    </row>
    <row r="295" spans="1:30" x14ac:dyDescent="0.3">
      <c r="A295">
        <v>293</v>
      </c>
      <c r="B295">
        <v>294</v>
      </c>
      <c r="C295">
        <v>35</v>
      </c>
      <c r="D295">
        <v>36.28125</v>
      </c>
      <c r="W295">
        <v>292</v>
      </c>
      <c r="X295">
        <v>290</v>
      </c>
      <c r="Y295">
        <v>23</v>
      </c>
      <c r="Z295">
        <v>33.362969999999997</v>
      </c>
      <c r="AA295">
        <f t="shared" si="16"/>
        <v>33</v>
      </c>
      <c r="AB295">
        <f t="shared" si="17"/>
        <v>1</v>
      </c>
      <c r="AC295">
        <f t="shared" si="18"/>
        <v>1</v>
      </c>
      <c r="AD295">
        <f t="shared" si="19"/>
        <v>1</v>
      </c>
    </row>
    <row r="296" spans="1:30" x14ac:dyDescent="0.3">
      <c r="A296">
        <v>294</v>
      </c>
      <c r="B296">
        <v>298</v>
      </c>
      <c r="C296">
        <v>22</v>
      </c>
      <c r="D296">
        <v>12.539870000000001</v>
      </c>
      <c r="W296">
        <v>293</v>
      </c>
      <c r="X296">
        <v>294</v>
      </c>
      <c r="Y296">
        <v>35</v>
      </c>
      <c r="Z296">
        <v>36.28125</v>
      </c>
      <c r="AA296">
        <f t="shared" si="16"/>
        <v>36</v>
      </c>
      <c r="AB296">
        <f t="shared" si="17"/>
        <v>1</v>
      </c>
      <c r="AC296">
        <f t="shared" si="18"/>
        <v>0</v>
      </c>
      <c r="AD296">
        <f t="shared" si="19"/>
        <v>0</v>
      </c>
    </row>
    <row r="297" spans="1:30" x14ac:dyDescent="0.3">
      <c r="A297">
        <v>295</v>
      </c>
      <c r="B297">
        <v>302</v>
      </c>
      <c r="C297">
        <v>5</v>
      </c>
      <c r="D297">
        <v>17.353729999999999</v>
      </c>
      <c r="W297">
        <v>294</v>
      </c>
      <c r="X297">
        <v>298</v>
      </c>
      <c r="Y297">
        <v>22</v>
      </c>
      <c r="Z297">
        <v>12.539870000000001</v>
      </c>
      <c r="AA297">
        <f t="shared" si="16"/>
        <v>13</v>
      </c>
      <c r="AB297">
        <f t="shared" si="17"/>
        <v>1</v>
      </c>
      <c r="AC297">
        <f t="shared" si="18"/>
        <v>1</v>
      </c>
      <c r="AD297">
        <f t="shared" si="19"/>
        <v>0</v>
      </c>
    </row>
    <row r="298" spans="1:30" x14ac:dyDescent="0.3">
      <c r="A298">
        <v>296</v>
      </c>
      <c r="B298">
        <v>305</v>
      </c>
      <c r="C298">
        <v>7</v>
      </c>
      <c r="D298">
        <v>2.3458899999999998</v>
      </c>
      <c r="W298">
        <v>295</v>
      </c>
      <c r="X298">
        <v>302</v>
      </c>
      <c r="Y298">
        <v>5</v>
      </c>
      <c r="Z298">
        <v>17.353729999999999</v>
      </c>
      <c r="AA298">
        <f t="shared" si="16"/>
        <v>17</v>
      </c>
      <c r="AB298">
        <f t="shared" si="17"/>
        <v>1</v>
      </c>
      <c r="AC298">
        <f t="shared" si="18"/>
        <v>1</v>
      </c>
      <c r="AD298">
        <f t="shared" si="19"/>
        <v>1</v>
      </c>
    </row>
    <row r="299" spans="1:30" x14ac:dyDescent="0.3">
      <c r="A299">
        <v>297</v>
      </c>
      <c r="B299">
        <v>306</v>
      </c>
      <c r="C299">
        <v>39</v>
      </c>
      <c r="D299">
        <v>33.106870000000001</v>
      </c>
      <c r="W299">
        <v>296</v>
      </c>
      <c r="X299">
        <v>305</v>
      </c>
      <c r="Y299">
        <v>7</v>
      </c>
      <c r="Z299">
        <v>2.3458899999999998</v>
      </c>
      <c r="AA299">
        <f t="shared" si="16"/>
        <v>2</v>
      </c>
      <c r="AB299">
        <f t="shared" si="17"/>
        <v>1</v>
      </c>
      <c r="AC299">
        <f t="shared" si="18"/>
        <v>1</v>
      </c>
      <c r="AD299">
        <f t="shared" si="19"/>
        <v>0</v>
      </c>
    </row>
    <row r="300" spans="1:30" x14ac:dyDescent="0.3">
      <c r="A300">
        <v>298</v>
      </c>
      <c r="B300">
        <v>311</v>
      </c>
      <c r="C300">
        <v>56</v>
      </c>
      <c r="D300">
        <v>71.909080000000003</v>
      </c>
      <c r="W300">
        <v>297</v>
      </c>
      <c r="X300">
        <v>306</v>
      </c>
      <c r="Y300">
        <v>39</v>
      </c>
      <c r="Z300">
        <v>33.106870000000001</v>
      </c>
      <c r="AA300">
        <f t="shared" si="16"/>
        <v>33</v>
      </c>
      <c r="AB300">
        <f t="shared" si="17"/>
        <v>1</v>
      </c>
      <c r="AC300">
        <f t="shared" si="18"/>
        <v>1</v>
      </c>
      <c r="AD300">
        <f t="shared" si="19"/>
        <v>0</v>
      </c>
    </row>
    <row r="301" spans="1:30" x14ac:dyDescent="0.3">
      <c r="A301">
        <v>299</v>
      </c>
      <c r="B301">
        <v>312</v>
      </c>
      <c r="C301">
        <v>56</v>
      </c>
      <c r="D301">
        <v>61.22748</v>
      </c>
      <c r="W301">
        <v>298</v>
      </c>
      <c r="X301">
        <v>311</v>
      </c>
      <c r="Y301">
        <v>56</v>
      </c>
      <c r="Z301">
        <v>71.909080000000003</v>
      </c>
      <c r="AA301">
        <f t="shared" si="16"/>
        <v>72</v>
      </c>
      <c r="AB301">
        <f t="shared" si="17"/>
        <v>1</v>
      </c>
      <c r="AC301">
        <f t="shared" si="18"/>
        <v>1</v>
      </c>
      <c r="AD301">
        <f t="shared" si="19"/>
        <v>1</v>
      </c>
    </row>
    <row r="302" spans="1:30" x14ac:dyDescent="0.3">
      <c r="A302">
        <v>300</v>
      </c>
      <c r="B302">
        <v>325</v>
      </c>
      <c r="C302">
        <v>56</v>
      </c>
      <c r="D302">
        <v>65.730009999999993</v>
      </c>
      <c r="W302">
        <v>299</v>
      </c>
      <c r="X302">
        <v>312</v>
      </c>
      <c r="Y302">
        <v>56</v>
      </c>
      <c r="Z302">
        <v>61.22748</v>
      </c>
      <c r="AA302">
        <f t="shared" si="16"/>
        <v>61</v>
      </c>
      <c r="AB302">
        <f t="shared" si="17"/>
        <v>1</v>
      </c>
      <c r="AC302">
        <f t="shared" si="18"/>
        <v>1</v>
      </c>
      <c r="AD302">
        <f t="shared" si="19"/>
        <v>0</v>
      </c>
    </row>
    <row r="303" spans="1:30" x14ac:dyDescent="0.3">
      <c r="A303">
        <v>301</v>
      </c>
      <c r="B303">
        <v>333</v>
      </c>
      <c r="C303">
        <v>50</v>
      </c>
      <c r="D303">
        <v>43.850389999999997</v>
      </c>
      <c r="W303">
        <v>300</v>
      </c>
      <c r="X303">
        <v>325</v>
      </c>
      <c r="Y303">
        <v>56</v>
      </c>
      <c r="Z303">
        <v>65.730009999999993</v>
      </c>
      <c r="AA303">
        <f t="shared" si="16"/>
        <v>66</v>
      </c>
      <c r="AB303">
        <f t="shared" si="17"/>
        <v>1</v>
      </c>
      <c r="AC303">
        <f t="shared" si="18"/>
        <v>1</v>
      </c>
      <c r="AD303">
        <f t="shared" si="19"/>
        <v>1</v>
      </c>
    </row>
    <row r="304" spans="1:30" x14ac:dyDescent="0.3">
      <c r="A304">
        <v>302</v>
      </c>
      <c r="B304">
        <v>349</v>
      </c>
      <c r="C304">
        <v>26</v>
      </c>
      <c r="D304">
        <v>31.775580000000001</v>
      </c>
      <c r="W304">
        <v>301</v>
      </c>
      <c r="X304">
        <v>333</v>
      </c>
      <c r="Y304">
        <v>50</v>
      </c>
      <c r="Z304">
        <v>43.850389999999997</v>
      </c>
      <c r="AA304">
        <f t="shared" si="16"/>
        <v>44</v>
      </c>
      <c r="AB304">
        <f t="shared" si="17"/>
        <v>1</v>
      </c>
      <c r="AC304">
        <f t="shared" si="18"/>
        <v>1</v>
      </c>
      <c r="AD304">
        <f t="shared" si="19"/>
        <v>0</v>
      </c>
    </row>
    <row r="305" spans="1:30" x14ac:dyDescent="0.3">
      <c r="A305">
        <v>303</v>
      </c>
      <c r="B305">
        <v>353</v>
      </c>
      <c r="C305">
        <v>9</v>
      </c>
      <c r="D305">
        <v>11.56043</v>
      </c>
      <c r="W305">
        <v>302</v>
      </c>
      <c r="X305">
        <v>349</v>
      </c>
      <c r="Y305">
        <v>26</v>
      </c>
      <c r="Z305">
        <v>31.775580000000001</v>
      </c>
      <c r="AA305">
        <f t="shared" si="16"/>
        <v>32</v>
      </c>
      <c r="AB305">
        <f t="shared" si="17"/>
        <v>1</v>
      </c>
      <c r="AC305">
        <f t="shared" si="18"/>
        <v>1</v>
      </c>
      <c r="AD305">
        <f t="shared" si="19"/>
        <v>0</v>
      </c>
    </row>
    <row r="306" spans="1:30" x14ac:dyDescent="0.3">
      <c r="A306">
        <v>304</v>
      </c>
      <c r="B306">
        <v>354</v>
      </c>
      <c r="C306">
        <v>13</v>
      </c>
      <c r="D306">
        <v>18.945820000000001</v>
      </c>
      <c r="W306">
        <v>303</v>
      </c>
      <c r="X306">
        <v>353</v>
      </c>
      <c r="Y306">
        <v>9</v>
      </c>
      <c r="Z306">
        <v>11.56043</v>
      </c>
      <c r="AA306">
        <f t="shared" si="16"/>
        <v>12</v>
      </c>
      <c r="AB306">
        <f t="shared" si="17"/>
        <v>1</v>
      </c>
      <c r="AC306">
        <f t="shared" si="18"/>
        <v>0</v>
      </c>
      <c r="AD306">
        <f t="shared" si="19"/>
        <v>0</v>
      </c>
    </row>
    <row r="307" spans="1:30" x14ac:dyDescent="0.3">
      <c r="A307">
        <v>305</v>
      </c>
      <c r="B307">
        <v>366</v>
      </c>
      <c r="C307">
        <v>23</v>
      </c>
      <c r="D307">
        <v>19.78876</v>
      </c>
      <c r="W307">
        <v>304</v>
      </c>
      <c r="X307">
        <v>354</v>
      </c>
      <c r="Y307">
        <v>13</v>
      </c>
      <c r="Z307">
        <v>18.945820000000001</v>
      </c>
      <c r="AA307">
        <f t="shared" si="16"/>
        <v>19</v>
      </c>
      <c r="AB307">
        <f t="shared" si="17"/>
        <v>1</v>
      </c>
      <c r="AC307">
        <f t="shared" si="18"/>
        <v>1</v>
      </c>
      <c r="AD307">
        <f t="shared" si="19"/>
        <v>0</v>
      </c>
    </row>
    <row r="308" spans="1:30" x14ac:dyDescent="0.3">
      <c r="A308">
        <v>306</v>
      </c>
      <c r="B308">
        <v>373</v>
      </c>
      <c r="C308">
        <v>12</v>
      </c>
      <c r="D308">
        <v>4.2987000000000002</v>
      </c>
      <c r="W308">
        <v>305</v>
      </c>
      <c r="X308">
        <v>366</v>
      </c>
      <c r="Y308">
        <v>23</v>
      </c>
      <c r="Z308">
        <v>19.78876</v>
      </c>
      <c r="AA308">
        <f t="shared" si="16"/>
        <v>20</v>
      </c>
      <c r="AB308">
        <f t="shared" si="17"/>
        <v>1</v>
      </c>
      <c r="AC308">
        <f t="shared" si="18"/>
        <v>0</v>
      </c>
      <c r="AD308">
        <f t="shared" si="19"/>
        <v>0</v>
      </c>
    </row>
    <row r="309" spans="1:30" x14ac:dyDescent="0.3">
      <c r="A309">
        <v>307</v>
      </c>
      <c r="B309">
        <v>374</v>
      </c>
      <c r="C309">
        <v>13</v>
      </c>
      <c r="D309">
        <v>5.0530400000000002</v>
      </c>
      <c r="W309">
        <v>306</v>
      </c>
      <c r="X309">
        <v>373</v>
      </c>
      <c r="Y309">
        <v>12</v>
      </c>
      <c r="Z309">
        <v>4.2987000000000002</v>
      </c>
      <c r="AA309">
        <f t="shared" si="16"/>
        <v>4</v>
      </c>
      <c r="AB309">
        <f t="shared" si="17"/>
        <v>1</v>
      </c>
      <c r="AC309">
        <f t="shared" si="18"/>
        <v>1</v>
      </c>
      <c r="AD309">
        <f t="shared" si="19"/>
        <v>0</v>
      </c>
    </row>
    <row r="310" spans="1:30" x14ac:dyDescent="0.3">
      <c r="A310">
        <v>308</v>
      </c>
      <c r="B310">
        <v>378</v>
      </c>
      <c r="C310">
        <v>9</v>
      </c>
      <c r="D310">
        <v>27.97317</v>
      </c>
      <c r="W310">
        <v>307</v>
      </c>
      <c r="X310">
        <v>374</v>
      </c>
      <c r="Y310">
        <v>13</v>
      </c>
      <c r="Z310">
        <v>5.0530400000000002</v>
      </c>
      <c r="AA310">
        <f t="shared" si="16"/>
        <v>5</v>
      </c>
      <c r="AB310">
        <f t="shared" si="17"/>
        <v>1</v>
      </c>
      <c r="AC310">
        <f t="shared" si="18"/>
        <v>1</v>
      </c>
      <c r="AD310">
        <f t="shared" si="19"/>
        <v>0</v>
      </c>
    </row>
    <row r="311" spans="1:30" x14ac:dyDescent="0.3">
      <c r="A311">
        <v>309</v>
      </c>
      <c r="B311">
        <v>384</v>
      </c>
      <c r="C311">
        <v>24</v>
      </c>
      <c r="D311">
        <v>15.836539999999999</v>
      </c>
      <c r="W311">
        <v>308</v>
      </c>
      <c r="X311">
        <v>378</v>
      </c>
      <c r="Y311">
        <v>9</v>
      </c>
      <c r="Z311">
        <v>27.97317</v>
      </c>
      <c r="AA311">
        <f t="shared" si="16"/>
        <v>28</v>
      </c>
      <c r="AB311">
        <f t="shared" si="17"/>
        <v>1</v>
      </c>
      <c r="AC311">
        <f t="shared" si="18"/>
        <v>1</v>
      </c>
      <c r="AD311">
        <f t="shared" si="19"/>
        <v>1</v>
      </c>
    </row>
    <row r="312" spans="1:30" x14ac:dyDescent="0.3">
      <c r="A312">
        <v>310</v>
      </c>
      <c r="B312">
        <v>385</v>
      </c>
      <c r="C312">
        <v>87</v>
      </c>
      <c r="D312">
        <v>41.421959999999999</v>
      </c>
      <c r="W312">
        <v>309</v>
      </c>
      <c r="X312">
        <v>384</v>
      </c>
      <c r="Y312">
        <v>24</v>
      </c>
      <c r="Z312">
        <v>15.836539999999999</v>
      </c>
      <c r="AA312">
        <f t="shared" si="16"/>
        <v>16</v>
      </c>
      <c r="AB312">
        <f t="shared" si="17"/>
        <v>1</v>
      </c>
      <c r="AC312">
        <f t="shared" si="18"/>
        <v>1</v>
      </c>
      <c r="AD312">
        <f t="shared" si="19"/>
        <v>0</v>
      </c>
    </row>
    <row r="313" spans="1:30" x14ac:dyDescent="0.3">
      <c r="A313">
        <v>311</v>
      </c>
      <c r="B313">
        <v>386</v>
      </c>
      <c r="C313">
        <v>10</v>
      </c>
      <c r="D313">
        <v>0.12972</v>
      </c>
      <c r="W313">
        <v>310</v>
      </c>
      <c r="X313">
        <v>385</v>
      </c>
      <c r="Y313">
        <v>87</v>
      </c>
      <c r="Z313">
        <v>41.421959999999999</v>
      </c>
      <c r="AA313">
        <f t="shared" si="16"/>
        <v>41</v>
      </c>
      <c r="AB313">
        <f t="shared" si="17"/>
        <v>1</v>
      </c>
      <c r="AC313">
        <f t="shared" si="18"/>
        <v>1</v>
      </c>
      <c r="AD313">
        <f t="shared" si="19"/>
        <v>1</v>
      </c>
    </row>
    <row r="314" spans="1:30" x14ac:dyDescent="0.3">
      <c r="A314">
        <v>312</v>
      </c>
      <c r="B314">
        <v>387</v>
      </c>
      <c r="C314">
        <v>2</v>
      </c>
      <c r="D314">
        <v>1.24655</v>
      </c>
      <c r="W314">
        <v>311</v>
      </c>
      <c r="X314">
        <v>386</v>
      </c>
      <c r="Y314">
        <v>10</v>
      </c>
      <c r="Z314">
        <v>0.12972</v>
      </c>
      <c r="AA314">
        <f t="shared" si="16"/>
        <v>0</v>
      </c>
      <c r="AB314">
        <f t="shared" si="17"/>
        <v>1</v>
      </c>
      <c r="AC314">
        <f t="shared" si="18"/>
        <v>1</v>
      </c>
      <c r="AD314">
        <f t="shared" si="19"/>
        <v>1</v>
      </c>
    </row>
    <row r="315" spans="1:30" x14ac:dyDescent="0.3">
      <c r="A315">
        <v>313</v>
      </c>
      <c r="B315">
        <v>393</v>
      </c>
      <c r="C315">
        <v>53</v>
      </c>
      <c r="D315">
        <v>78.213740000000001</v>
      </c>
      <c r="W315">
        <v>312</v>
      </c>
      <c r="X315">
        <v>387</v>
      </c>
      <c r="Y315">
        <v>2</v>
      </c>
      <c r="Z315">
        <v>1.24655</v>
      </c>
      <c r="AA315">
        <f t="shared" si="16"/>
        <v>1</v>
      </c>
      <c r="AB315">
        <f t="shared" si="17"/>
        <v>1</v>
      </c>
      <c r="AC315">
        <f t="shared" si="18"/>
        <v>0</v>
      </c>
      <c r="AD315">
        <f t="shared" si="19"/>
        <v>0</v>
      </c>
    </row>
    <row r="316" spans="1:30" x14ac:dyDescent="0.3">
      <c r="A316">
        <v>314</v>
      </c>
      <c r="B316">
        <v>397</v>
      </c>
      <c r="C316">
        <v>12</v>
      </c>
      <c r="D316">
        <v>9.4425100000000004</v>
      </c>
      <c r="W316">
        <v>313</v>
      </c>
      <c r="X316">
        <v>393</v>
      </c>
      <c r="Y316">
        <v>53</v>
      </c>
      <c r="Z316">
        <v>78.213740000000001</v>
      </c>
      <c r="AA316">
        <f t="shared" si="16"/>
        <v>78</v>
      </c>
      <c r="AB316">
        <f t="shared" si="17"/>
        <v>1</v>
      </c>
      <c r="AC316">
        <f t="shared" si="18"/>
        <v>1</v>
      </c>
      <c r="AD316">
        <f t="shared" si="19"/>
        <v>1</v>
      </c>
    </row>
    <row r="317" spans="1:30" x14ac:dyDescent="0.3">
      <c r="A317">
        <v>315</v>
      </c>
      <c r="B317">
        <v>398</v>
      </c>
      <c r="C317">
        <v>12</v>
      </c>
      <c r="D317">
        <v>9.1126400000000007</v>
      </c>
      <c r="W317">
        <v>314</v>
      </c>
      <c r="X317">
        <v>397</v>
      </c>
      <c r="Y317">
        <v>12</v>
      </c>
      <c r="Z317">
        <v>9.4425100000000004</v>
      </c>
      <c r="AA317">
        <f t="shared" si="16"/>
        <v>9</v>
      </c>
      <c r="AB317">
        <f t="shared" si="17"/>
        <v>1</v>
      </c>
      <c r="AC317">
        <f t="shared" si="18"/>
        <v>0</v>
      </c>
      <c r="AD317">
        <f t="shared" si="19"/>
        <v>0</v>
      </c>
    </row>
    <row r="318" spans="1:30" x14ac:dyDescent="0.3">
      <c r="A318">
        <v>316</v>
      </c>
      <c r="B318">
        <v>401</v>
      </c>
      <c r="C318">
        <v>4</v>
      </c>
      <c r="D318">
        <v>1.9314800000000001</v>
      </c>
      <c r="W318">
        <v>315</v>
      </c>
      <c r="X318">
        <v>398</v>
      </c>
      <c r="Y318">
        <v>12</v>
      </c>
      <c r="Z318">
        <v>9.1126400000000007</v>
      </c>
      <c r="AA318">
        <f t="shared" si="16"/>
        <v>9</v>
      </c>
      <c r="AB318">
        <f t="shared" si="17"/>
        <v>1</v>
      </c>
      <c r="AC318">
        <f t="shared" si="18"/>
        <v>0</v>
      </c>
      <c r="AD318">
        <f t="shared" si="19"/>
        <v>0</v>
      </c>
    </row>
    <row r="319" spans="1:30" x14ac:dyDescent="0.3">
      <c r="A319">
        <v>317</v>
      </c>
      <c r="B319">
        <v>402</v>
      </c>
      <c r="C319">
        <v>14</v>
      </c>
      <c r="D319">
        <v>17.944739999999999</v>
      </c>
      <c r="W319">
        <v>316</v>
      </c>
      <c r="X319">
        <v>401</v>
      </c>
      <c r="Y319">
        <v>4</v>
      </c>
      <c r="Z319">
        <v>1.9314800000000001</v>
      </c>
      <c r="AA319">
        <f t="shared" si="16"/>
        <v>2</v>
      </c>
      <c r="AB319">
        <f t="shared" si="17"/>
        <v>1</v>
      </c>
      <c r="AC319">
        <f t="shared" si="18"/>
        <v>0</v>
      </c>
      <c r="AD319">
        <f t="shared" si="19"/>
        <v>0</v>
      </c>
    </row>
    <row r="320" spans="1:30" x14ac:dyDescent="0.3">
      <c r="A320">
        <v>318</v>
      </c>
      <c r="B320">
        <v>404</v>
      </c>
      <c r="C320">
        <v>142</v>
      </c>
      <c r="D320">
        <v>133.40396000000001</v>
      </c>
      <c r="W320">
        <v>317</v>
      </c>
      <c r="X320">
        <v>402</v>
      </c>
      <c r="Y320">
        <v>14</v>
      </c>
      <c r="Z320">
        <v>17.944739999999999</v>
      </c>
      <c r="AA320">
        <f t="shared" si="16"/>
        <v>18</v>
      </c>
      <c r="AB320">
        <f t="shared" si="17"/>
        <v>1</v>
      </c>
      <c r="AC320">
        <f t="shared" si="18"/>
        <v>0</v>
      </c>
      <c r="AD320">
        <f t="shared" si="19"/>
        <v>0</v>
      </c>
    </row>
    <row r="321" spans="1:30" x14ac:dyDescent="0.3">
      <c r="A321">
        <v>319</v>
      </c>
      <c r="B321">
        <v>405</v>
      </c>
      <c r="C321">
        <v>141</v>
      </c>
      <c r="D321">
        <v>141.0515</v>
      </c>
      <c r="W321">
        <v>318</v>
      </c>
      <c r="X321">
        <v>404</v>
      </c>
      <c r="Y321">
        <v>142</v>
      </c>
      <c r="Z321">
        <v>133.40396000000001</v>
      </c>
      <c r="AA321">
        <f t="shared" si="16"/>
        <v>133</v>
      </c>
      <c r="AB321">
        <f t="shared" si="17"/>
        <v>1</v>
      </c>
      <c r="AC321">
        <f t="shared" si="18"/>
        <v>1</v>
      </c>
      <c r="AD321">
        <f t="shared" si="19"/>
        <v>0</v>
      </c>
    </row>
    <row r="322" spans="1:30" x14ac:dyDescent="0.3">
      <c r="A322">
        <v>320</v>
      </c>
      <c r="B322">
        <v>409</v>
      </c>
      <c r="C322">
        <v>45</v>
      </c>
      <c r="D322">
        <v>46.797220000000003</v>
      </c>
      <c r="W322">
        <v>319</v>
      </c>
      <c r="X322">
        <v>405</v>
      </c>
      <c r="Y322">
        <v>141</v>
      </c>
      <c r="Z322">
        <v>141.0515</v>
      </c>
      <c r="AA322">
        <f t="shared" si="16"/>
        <v>141</v>
      </c>
      <c r="AB322">
        <f t="shared" si="17"/>
        <v>0</v>
      </c>
      <c r="AC322">
        <f t="shared" si="18"/>
        <v>0</v>
      </c>
      <c r="AD322">
        <f t="shared" si="19"/>
        <v>0</v>
      </c>
    </row>
    <row r="323" spans="1:30" x14ac:dyDescent="0.3">
      <c r="A323">
        <v>321</v>
      </c>
      <c r="B323">
        <v>415</v>
      </c>
      <c r="C323">
        <v>17</v>
      </c>
      <c r="D323">
        <v>15.638590000000001</v>
      </c>
      <c r="W323">
        <v>320</v>
      </c>
      <c r="X323">
        <v>409</v>
      </c>
      <c r="Y323">
        <v>45</v>
      </c>
      <c r="Z323">
        <v>46.797220000000003</v>
      </c>
      <c r="AA323">
        <f t="shared" si="16"/>
        <v>47</v>
      </c>
      <c r="AB323">
        <f t="shared" si="17"/>
        <v>1</v>
      </c>
      <c r="AC323">
        <f t="shared" si="18"/>
        <v>0</v>
      </c>
      <c r="AD323">
        <f t="shared" si="19"/>
        <v>0</v>
      </c>
    </row>
    <row r="324" spans="1:30" x14ac:dyDescent="0.3">
      <c r="A324">
        <v>322</v>
      </c>
      <c r="B324">
        <v>4</v>
      </c>
      <c r="C324">
        <v>162</v>
      </c>
      <c r="D324">
        <v>139.74109999999999</v>
      </c>
      <c r="W324">
        <v>321</v>
      </c>
      <c r="X324">
        <v>415</v>
      </c>
      <c r="Y324">
        <v>17</v>
      </c>
      <c r="Z324">
        <v>15.638590000000001</v>
      </c>
      <c r="AA324">
        <f t="shared" si="16"/>
        <v>16</v>
      </c>
      <c r="AB324">
        <f t="shared" si="17"/>
        <v>1</v>
      </c>
      <c r="AC324">
        <f t="shared" si="18"/>
        <v>0</v>
      </c>
      <c r="AD324">
        <f t="shared" si="19"/>
        <v>0</v>
      </c>
    </row>
    <row r="325" spans="1:30" x14ac:dyDescent="0.3">
      <c r="A325">
        <v>323</v>
      </c>
      <c r="B325">
        <v>7</v>
      </c>
      <c r="C325">
        <v>2</v>
      </c>
      <c r="D325">
        <v>4.1460800000000004</v>
      </c>
      <c r="W325">
        <v>322</v>
      </c>
      <c r="X325">
        <v>4</v>
      </c>
      <c r="Y325">
        <v>162</v>
      </c>
      <c r="Z325">
        <v>139.74109999999999</v>
      </c>
      <c r="AA325">
        <f t="shared" ref="AA325:AA388" si="20">ROUND(Z325,0)</f>
        <v>140</v>
      </c>
      <c r="AB325">
        <f t="shared" ref="AB325:AB388" si="21">IF(AA325=Y325,0,1)</f>
        <v>1</v>
      </c>
      <c r="AC325">
        <f t="shared" ref="AC325:AC388" si="22">IF(AA325&lt;Y325+5,IF(AA325&gt;Y325-5,0,1),1)</f>
        <v>1</v>
      </c>
      <c r="AD325">
        <f t="shared" ref="AD325:AD388" si="23">IF(AA325&lt;Y325+10,IF(AA325&gt;Y325-10,0,1),1)</f>
        <v>1</v>
      </c>
    </row>
    <row r="326" spans="1:30" x14ac:dyDescent="0.3">
      <c r="A326">
        <v>324</v>
      </c>
      <c r="B326">
        <v>17</v>
      </c>
      <c r="C326">
        <v>181</v>
      </c>
      <c r="D326">
        <v>175.48741000000001</v>
      </c>
      <c r="W326">
        <v>323</v>
      </c>
      <c r="X326">
        <v>7</v>
      </c>
      <c r="Y326">
        <v>2</v>
      </c>
      <c r="Z326">
        <v>4.1460800000000004</v>
      </c>
      <c r="AA326">
        <f t="shared" si="20"/>
        <v>4</v>
      </c>
      <c r="AB326">
        <f t="shared" si="21"/>
        <v>1</v>
      </c>
      <c r="AC326">
        <f t="shared" si="22"/>
        <v>0</v>
      </c>
      <c r="AD326">
        <f t="shared" si="23"/>
        <v>0</v>
      </c>
    </row>
    <row r="327" spans="1:30" x14ac:dyDescent="0.3">
      <c r="A327">
        <v>325</v>
      </c>
      <c r="B327">
        <v>22</v>
      </c>
      <c r="C327">
        <v>6</v>
      </c>
      <c r="D327">
        <v>8.8200000000000001E-2</v>
      </c>
      <c r="W327">
        <v>324</v>
      </c>
      <c r="X327">
        <v>17</v>
      </c>
      <c r="Y327">
        <v>181</v>
      </c>
      <c r="Z327">
        <v>175.48741000000001</v>
      </c>
      <c r="AA327">
        <f t="shared" si="20"/>
        <v>175</v>
      </c>
      <c r="AB327">
        <f t="shared" si="21"/>
        <v>1</v>
      </c>
      <c r="AC327">
        <f t="shared" si="22"/>
        <v>1</v>
      </c>
      <c r="AD327">
        <f t="shared" si="23"/>
        <v>0</v>
      </c>
    </row>
    <row r="328" spans="1:30" x14ac:dyDescent="0.3">
      <c r="A328">
        <v>326</v>
      </c>
      <c r="B328">
        <v>28</v>
      </c>
      <c r="C328">
        <v>57</v>
      </c>
      <c r="D328">
        <v>42.954889999999999</v>
      </c>
      <c r="W328">
        <v>325</v>
      </c>
      <c r="X328">
        <v>22</v>
      </c>
      <c r="Y328">
        <v>6</v>
      </c>
      <c r="Z328">
        <v>8.8200000000000001E-2</v>
      </c>
      <c r="AA328">
        <f t="shared" si="20"/>
        <v>0</v>
      </c>
      <c r="AB328">
        <f t="shared" si="21"/>
        <v>1</v>
      </c>
      <c r="AC328">
        <f t="shared" si="22"/>
        <v>1</v>
      </c>
      <c r="AD328">
        <f t="shared" si="23"/>
        <v>0</v>
      </c>
    </row>
    <row r="329" spans="1:30" x14ac:dyDescent="0.3">
      <c r="A329">
        <v>327</v>
      </c>
      <c r="B329">
        <v>29</v>
      </c>
      <c r="C329">
        <v>12</v>
      </c>
      <c r="D329">
        <v>10.104279999999999</v>
      </c>
      <c r="W329">
        <v>326</v>
      </c>
      <c r="X329">
        <v>28</v>
      </c>
      <c r="Y329">
        <v>57</v>
      </c>
      <c r="Z329">
        <v>42.954889999999999</v>
      </c>
      <c r="AA329">
        <f t="shared" si="20"/>
        <v>43</v>
      </c>
      <c r="AB329">
        <f t="shared" si="21"/>
        <v>1</v>
      </c>
      <c r="AC329">
        <f t="shared" si="22"/>
        <v>1</v>
      </c>
      <c r="AD329">
        <f t="shared" si="23"/>
        <v>1</v>
      </c>
    </row>
    <row r="330" spans="1:30" x14ac:dyDescent="0.3">
      <c r="A330">
        <v>328</v>
      </c>
      <c r="B330">
        <v>32</v>
      </c>
      <c r="C330">
        <v>147</v>
      </c>
      <c r="D330">
        <v>101.34945999999999</v>
      </c>
      <c r="W330">
        <v>327</v>
      </c>
      <c r="X330">
        <v>29</v>
      </c>
      <c r="Y330">
        <v>12</v>
      </c>
      <c r="Z330">
        <v>10.104279999999999</v>
      </c>
      <c r="AA330">
        <f t="shared" si="20"/>
        <v>10</v>
      </c>
      <c r="AB330">
        <f t="shared" si="21"/>
        <v>1</v>
      </c>
      <c r="AC330">
        <f t="shared" si="22"/>
        <v>0</v>
      </c>
      <c r="AD330">
        <f t="shared" si="23"/>
        <v>0</v>
      </c>
    </row>
    <row r="331" spans="1:30" x14ac:dyDescent="0.3">
      <c r="A331">
        <v>329</v>
      </c>
      <c r="B331">
        <v>33</v>
      </c>
      <c r="C331">
        <v>152</v>
      </c>
      <c r="D331">
        <v>99.688990000000004</v>
      </c>
      <c r="W331">
        <v>328</v>
      </c>
      <c r="X331">
        <v>32</v>
      </c>
      <c r="Y331">
        <v>147</v>
      </c>
      <c r="Z331">
        <v>101.34945999999999</v>
      </c>
      <c r="AA331">
        <f t="shared" si="20"/>
        <v>101</v>
      </c>
      <c r="AB331">
        <f t="shared" si="21"/>
        <v>1</v>
      </c>
      <c r="AC331">
        <f t="shared" si="22"/>
        <v>1</v>
      </c>
      <c r="AD331">
        <f t="shared" si="23"/>
        <v>1</v>
      </c>
    </row>
    <row r="332" spans="1:30" x14ac:dyDescent="0.3">
      <c r="A332">
        <v>330</v>
      </c>
      <c r="B332">
        <v>46</v>
      </c>
      <c r="C332">
        <v>34</v>
      </c>
      <c r="D332">
        <v>26.29354</v>
      </c>
      <c r="W332">
        <v>329</v>
      </c>
      <c r="X332">
        <v>33</v>
      </c>
      <c r="Y332">
        <v>152</v>
      </c>
      <c r="Z332">
        <v>99.688990000000004</v>
      </c>
      <c r="AA332">
        <f t="shared" si="20"/>
        <v>100</v>
      </c>
      <c r="AB332">
        <f t="shared" si="21"/>
        <v>1</v>
      </c>
      <c r="AC332">
        <f t="shared" si="22"/>
        <v>1</v>
      </c>
      <c r="AD332">
        <f t="shared" si="23"/>
        <v>1</v>
      </c>
    </row>
    <row r="333" spans="1:30" x14ac:dyDescent="0.3">
      <c r="A333">
        <v>331</v>
      </c>
      <c r="B333">
        <v>47</v>
      </c>
      <c r="C333">
        <v>12</v>
      </c>
      <c r="D333">
        <v>8.8099100000000004</v>
      </c>
      <c r="W333">
        <v>330</v>
      </c>
      <c r="X333">
        <v>46</v>
      </c>
      <c r="Y333">
        <v>34</v>
      </c>
      <c r="Z333">
        <v>26.29354</v>
      </c>
      <c r="AA333">
        <f t="shared" si="20"/>
        <v>26</v>
      </c>
      <c r="AB333">
        <f t="shared" si="21"/>
        <v>1</v>
      </c>
      <c r="AC333">
        <f t="shared" si="22"/>
        <v>1</v>
      </c>
      <c r="AD333">
        <f t="shared" si="23"/>
        <v>0</v>
      </c>
    </row>
    <row r="334" spans="1:30" x14ac:dyDescent="0.3">
      <c r="A334">
        <v>332</v>
      </c>
      <c r="B334">
        <v>54</v>
      </c>
      <c r="C334">
        <v>41</v>
      </c>
      <c r="D334">
        <v>69.426990000000004</v>
      </c>
      <c r="W334">
        <v>331</v>
      </c>
      <c r="X334">
        <v>47</v>
      </c>
      <c r="Y334">
        <v>12</v>
      </c>
      <c r="Z334">
        <v>8.8099100000000004</v>
      </c>
      <c r="AA334">
        <f t="shared" si="20"/>
        <v>9</v>
      </c>
      <c r="AB334">
        <f t="shared" si="21"/>
        <v>1</v>
      </c>
      <c r="AC334">
        <f t="shared" si="22"/>
        <v>0</v>
      </c>
      <c r="AD334">
        <f t="shared" si="23"/>
        <v>0</v>
      </c>
    </row>
    <row r="335" spans="1:30" x14ac:dyDescent="0.3">
      <c r="A335">
        <v>333</v>
      </c>
      <c r="B335">
        <v>62</v>
      </c>
      <c r="C335">
        <v>107</v>
      </c>
      <c r="D335">
        <v>91.315470000000005</v>
      </c>
      <c r="W335">
        <v>332</v>
      </c>
      <c r="X335">
        <v>54</v>
      </c>
      <c r="Y335">
        <v>41</v>
      </c>
      <c r="Z335">
        <v>69.426990000000004</v>
      </c>
      <c r="AA335">
        <f t="shared" si="20"/>
        <v>69</v>
      </c>
      <c r="AB335">
        <f t="shared" si="21"/>
        <v>1</v>
      </c>
      <c r="AC335">
        <f t="shared" si="22"/>
        <v>1</v>
      </c>
      <c r="AD335">
        <f t="shared" si="23"/>
        <v>1</v>
      </c>
    </row>
    <row r="336" spans="1:30" x14ac:dyDescent="0.3">
      <c r="A336">
        <v>334</v>
      </c>
      <c r="B336">
        <v>66</v>
      </c>
      <c r="C336">
        <v>15</v>
      </c>
      <c r="D336">
        <v>13.570550000000001</v>
      </c>
      <c r="W336">
        <v>333</v>
      </c>
      <c r="X336">
        <v>62</v>
      </c>
      <c r="Y336">
        <v>107</v>
      </c>
      <c r="Z336">
        <v>91.315470000000005</v>
      </c>
      <c r="AA336">
        <f t="shared" si="20"/>
        <v>91</v>
      </c>
      <c r="AB336">
        <f t="shared" si="21"/>
        <v>1</v>
      </c>
      <c r="AC336">
        <f t="shared" si="22"/>
        <v>1</v>
      </c>
      <c r="AD336">
        <f t="shared" si="23"/>
        <v>1</v>
      </c>
    </row>
    <row r="337" spans="1:30" x14ac:dyDescent="0.3">
      <c r="A337">
        <v>335</v>
      </c>
      <c r="B337">
        <v>68</v>
      </c>
      <c r="C337">
        <v>67</v>
      </c>
      <c r="D337">
        <v>49.598230000000001</v>
      </c>
      <c r="W337">
        <v>334</v>
      </c>
      <c r="X337">
        <v>66</v>
      </c>
      <c r="Y337">
        <v>15</v>
      </c>
      <c r="Z337">
        <v>13.570550000000001</v>
      </c>
      <c r="AA337">
        <f t="shared" si="20"/>
        <v>14</v>
      </c>
      <c r="AB337">
        <f t="shared" si="21"/>
        <v>1</v>
      </c>
      <c r="AC337">
        <f t="shared" si="22"/>
        <v>0</v>
      </c>
      <c r="AD337">
        <f t="shared" si="23"/>
        <v>0</v>
      </c>
    </row>
    <row r="338" spans="1:30" x14ac:dyDescent="0.3">
      <c r="A338">
        <v>336</v>
      </c>
      <c r="B338">
        <v>69</v>
      </c>
      <c r="C338">
        <v>191</v>
      </c>
      <c r="D338">
        <v>196.22749999999999</v>
      </c>
      <c r="W338">
        <v>335</v>
      </c>
      <c r="X338">
        <v>68</v>
      </c>
      <c r="Y338">
        <v>67</v>
      </c>
      <c r="Z338">
        <v>49.598230000000001</v>
      </c>
      <c r="AA338">
        <f t="shared" si="20"/>
        <v>50</v>
      </c>
      <c r="AB338">
        <f t="shared" si="21"/>
        <v>1</v>
      </c>
      <c r="AC338">
        <f t="shared" si="22"/>
        <v>1</v>
      </c>
      <c r="AD338">
        <f t="shared" si="23"/>
        <v>1</v>
      </c>
    </row>
    <row r="339" spans="1:30" x14ac:dyDescent="0.3">
      <c r="A339">
        <v>337</v>
      </c>
      <c r="B339">
        <v>73</v>
      </c>
      <c r="C339">
        <v>16</v>
      </c>
      <c r="D339">
        <v>18.77881</v>
      </c>
      <c r="W339">
        <v>336</v>
      </c>
      <c r="X339">
        <v>69</v>
      </c>
      <c r="Y339">
        <v>191</v>
      </c>
      <c r="Z339">
        <v>196.22749999999999</v>
      </c>
      <c r="AA339">
        <f t="shared" si="20"/>
        <v>196</v>
      </c>
      <c r="AB339">
        <f t="shared" si="21"/>
        <v>1</v>
      </c>
      <c r="AC339">
        <f t="shared" si="22"/>
        <v>1</v>
      </c>
      <c r="AD339">
        <f t="shared" si="23"/>
        <v>0</v>
      </c>
    </row>
    <row r="340" spans="1:30" x14ac:dyDescent="0.3">
      <c r="A340">
        <v>338</v>
      </c>
      <c r="B340">
        <v>76</v>
      </c>
      <c r="C340">
        <v>22</v>
      </c>
      <c r="D340">
        <v>28.921140000000001</v>
      </c>
      <c r="W340">
        <v>337</v>
      </c>
      <c r="X340">
        <v>73</v>
      </c>
      <c r="Y340">
        <v>16</v>
      </c>
      <c r="Z340">
        <v>18.77881</v>
      </c>
      <c r="AA340">
        <f t="shared" si="20"/>
        <v>19</v>
      </c>
      <c r="AB340">
        <f t="shared" si="21"/>
        <v>1</v>
      </c>
      <c r="AC340">
        <f t="shared" si="22"/>
        <v>0</v>
      </c>
      <c r="AD340">
        <f t="shared" si="23"/>
        <v>0</v>
      </c>
    </row>
    <row r="341" spans="1:30" x14ac:dyDescent="0.3">
      <c r="A341">
        <v>339</v>
      </c>
      <c r="B341">
        <v>77</v>
      </c>
      <c r="C341">
        <v>22</v>
      </c>
      <c r="D341">
        <v>16.823399999999999</v>
      </c>
      <c r="W341">
        <v>338</v>
      </c>
      <c r="X341">
        <v>76</v>
      </c>
      <c r="Y341">
        <v>22</v>
      </c>
      <c r="Z341">
        <v>28.921140000000001</v>
      </c>
      <c r="AA341">
        <f t="shared" si="20"/>
        <v>29</v>
      </c>
      <c r="AB341">
        <f t="shared" si="21"/>
        <v>1</v>
      </c>
      <c r="AC341">
        <f t="shared" si="22"/>
        <v>1</v>
      </c>
      <c r="AD341">
        <f t="shared" si="23"/>
        <v>0</v>
      </c>
    </row>
    <row r="342" spans="1:30" x14ac:dyDescent="0.3">
      <c r="A342">
        <v>340</v>
      </c>
      <c r="B342">
        <v>81</v>
      </c>
      <c r="C342">
        <v>16</v>
      </c>
      <c r="D342">
        <v>17.139109999999999</v>
      </c>
      <c r="W342">
        <v>339</v>
      </c>
      <c r="X342">
        <v>77</v>
      </c>
      <c r="Y342">
        <v>22</v>
      </c>
      <c r="Z342">
        <v>16.823399999999999</v>
      </c>
      <c r="AA342">
        <f t="shared" si="20"/>
        <v>17</v>
      </c>
      <c r="AB342">
        <f t="shared" si="21"/>
        <v>1</v>
      </c>
      <c r="AC342">
        <f t="shared" si="22"/>
        <v>1</v>
      </c>
      <c r="AD342">
        <f t="shared" si="23"/>
        <v>0</v>
      </c>
    </row>
    <row r="343" spans="1:30" x14ac:dyDescent="0.3">
      <c r="A343">
        <v>341</v>
      </c>
      <c r="B343">
        <v>90</v>
      </c>
      <c r="C343">
        <v>6</v>
      </c>
      <c r="D343">
        <v>9.3576300000000003</v>
      </c>
      <c r="W343">
        <v>340</v>
      </c>
      <c r="X343">
        <v>81</v>
      </c>
      <c r="Y343">
        <v>16</v>
      </c>
      <c r="Z343">
        <v>17.139109999999999</v>
      </c>
      <c r="AA343">
        <f t="shared" si="20"/>
        <v>17</v>
      </c>
      <c r="AB343">
        <f t="shared" si="21"/>
        <v>1</v>
      </c>
      <c r="AC343">
        <f t="shared" si="22"/>
        <v>0</v>
      </c>
      <c r="AD343">
        <f t="shared" si="23"/>
        <v>0</v>
      </c>
    </row>
    <row r="344" spans="1:30" x14ac:dyDescent="0.3">
      <c r="A344">
        <v>342</v>
      </c>
      <c r="B344">
        <v>91</v>
      </c>
      <c r="C344">
        <v>10</v>
      </c>
      <c r="D344">
        <v>9.2216299999999993</v>
      </c>
      <c r="W344">
        <v>341</v>
      </c>
      <c r="X344">
        <v>90</v>
      </c>
      <c r="Y344">
        <v>6</v>
      </c>
      <c r="Z344">
        <v>9.3576300000000003</v>
      </c>
      <c r="AA344">
        <f t="shared" si="20"/>
        <v>9</v>
      </c>
      <c r="AB344">
        <f t="shared" si="21"/>
        <v>1</v>
      </c>
      <c r="AC344">
        <f t="shared" si="22"/>
        <v>0</v>
      </c>
      <c r="AD344">
        <f t="shared" si="23"/>
        <v>0</v>
      </c>
    </row>
    <row r="345" spans="1:30" x14ac:dyDescent="0.3">
      <c r="A345">
        <v>343</v>
      </c>
      <c r="B345">
        <v>92</v>
      </c>
      <c r="C345">
        <v>5</v>
      </c>
      <c r="D345">
        <v>5.26518</v>
      </c>
      <c r="W345">
        <v>342</v>
      </c>
      <c r="X345">
        <v>91</v>
      </c>
      <c r="Y345">
        <v>10</v>
      </c>
      <c r="Z345">
        <v>9.2216299999999993</v>
      </c>
      <c r="AA345">
        <f t="shared" si="20"/>
        <v>9</v>
      </c>
      <c r="AB345">
        <f t="shared" si="21"/>
        <v>1</v>
      </c>
      <c r="AC345">
        <f t="shared" si="22"/>
        <v>0</v>
      </c>
      <c r="AD345">
        <f t="shared" si="23"/>
        <v>0</v>
      </c>
    </row>
    <row r="346" spans="1:30" x14ac:dyDescent="0.3">
      <c r="A346">
        <v>344</v>
      </c>
      <c r="B346">
        <v>96</v>
      </c>
      <c r="C346">
        <v>139</v>
      </c>
      <c r="D346">
        <v>126.21356</v>
      </c>
      <c r="W346">
        <v>343</v>
      </c>
      <c r="X346">
        <v>92</v>
      </c>
      <c r="Y346">
        <v>5</v>
      </c>
      <c r="Z346">
        <v>5.26518</v>
      </c>
      <c r="AA346">
        <f t="shared" si="20"/>
        <v>5</v>
      </c>
      <c r="AB346">
        <f t="shared" si="21"/>
        <v>0</v>
      </c>
      <c r="AC346">
        <f t="shared" si="22"/>
        <v>0</v>
      </c>
      <c r="AD346">
        <f t="shared" si="23"/>
        <v>0</v>
      </c>
    </row>
    <row r="347" spans="1:30" x14ac:dyDescent="0.3">
      <c r="A347">
        <v>345</v>
      </c>
      <c r="B347">
        <v>103</v>
      </c>
      <c r="C347">
        <v>41</v>
      </c>
      <c r="D347">
        <v>36.808689999999999</v>
      </c>
      <c r="W347">
        <v>344</v>
      </c>
      <c r="X347">
        <v>96</v>
      </c>
      <c r="Y347">
        <v>139</v>
      </c>
      <c r="Z347">
        <v>126.21356</v>
      </c>
      <c r="AA347">
        <f t="shared" si="20"/>
        <v>126</v>
      </c>
      <c r="AB347">
        <f t="shared" si="21"/>
        <v>1</v>
      </c>
      <c r="AC347">
        <f t="shared" si="22"/>
        <v>1</v>
      </c>
      <c r="AD347">
        <f t="shared" si="23"/>
        <v>1</v>
      </c>
    </row>
    <row r="348" spans="1:30" x14ac:dyDescent="0.3">
      <c r="A348">
        <v>346</v>
      </c>
      <c r="B348">
        <v>106</v>
      </c>
      <c r="C348">
        <v>23</v>
      </c>
      <c r="D348">
        <v>22.51923</v>
      </c>
      <c r="W348">
        <v>345</v>
      </c>
      <c r="X348">
        <v>103</v>
      </c>
      <c r="Y348">
        <v>41</v>
      </c>
      <c r="Z348">
        <v>36.808689999999999</v>
      </c>
      <c r="AA348">
        <f t="shared" si="20"/>
        <v>37</v>
      </c>
      <c r="AB348">
        <f t="shared" si="21"/>
        <v>1</v>
      </c>
      <c r="AC348">
        <f t="shared" si="22"/>
        <v>0</v>
      </c>
      <c r="AD348">
        <f t="shared" si="23"/>
        <v>0</v>
      </c>
    </row>
    <row r="349" spans="1:30" x14ac:dyDescent="0.3">
      <c r="A349">
        <v>347</v>
      </c>
      <c r="B349">
        <v>107</v>
      </c>
      <c r="C349">
        <v>21</v>
      </c>
      <c r="D349">
        <v>25.97823</v>
      </c>
      <c r="W349">
        <v>346</v>
      </c>
      <c r="X349">
        <v>106</v>
      </c>
      <c r="Y349">
        <v>23</v>
      </c>
      <c r="Z349">
        <v>22.51923</v>
      </c>
      <c r="AA349">
        <f t="shared" si="20"/>
        <v>23</v>
      </c>
      <c r="AB349">
        <f t="shared" si="21"/>
        <v>0</v>
      </c>
      <c r="AC349">
        <f t="shared" si="22"/>
        <v>0</v>
      </c>
      <c r="AD349">
        <f t="shared" si="23"/>
        <v>0</v>
      </c>
    </row>
    <row r="350" spans="1:30" x14ac:dyDescent="0.3">
      <c r="A350">
        <v>348</v>
      </c>
      <c r="B350">
        <v>110</v>
      </c>
      <c r="C350">
        <v>7</v>
      </c>
      <c r="D350">
        <v>11.571709999999999</v>
      </c>
      <c r="W350">
        <v>347</v>
      </c>
      <c r="X350">
        <v>107</v>
      </c>
      <c r="Y350">
        <v>21</v>
      </c>
      <c r="Z350">
        <v>25.97823</v>
      </c>
      <c r="AA350">
        <f t="shared" si="20"/>
        <v>26</v>
      </c>
      <c r="AB350">
        <f t="shared" si="21"/>
        <v>1</v>
      </c>
      <c r="AC350">
        <f t="shared" si="22"/>
        <v>1</v>
      </c>
      <c r="AD350">
        <f t="shared" si="23"/>
        <v>0</v>
      </c>
    </row>
    <row r="351" spans="1:30" x14ac:dyDescent="0.3">
      <c r="A351">
        <v>349</v>
      </c>
      <c r="B351">
        <v>113</v>
      </c>
      <c r="C351">
        <v>36</v>
      </c>
      <c r="D351">
        <v>28.52788</v>
      </c>
      <c r="W351">
        <v>348</v>
      </c>
      <c r="X351">
        <v>110</v>
      </c>
      <c r="Y351">
        <v>7</v>
      </c>
      <c r="Z351">
        <v>11.571709999999999</v>
      </c>
      <c r="AA351">
        <f t="shared" si="20"/>
        <v>12</v>
      </c>
      <c r="AB351">
        <f t="shared" si="21"/>
        <v>1</v>
      </c>
      <c r="AC351">
        <f t="shared" si="22"/>
        <v>1</v>
      </c>
      <c r="AD351">
        <f t="shared" si="23"/>
        <v>0</v>
      </c>
    </row>
    <row r="352" spans="1:30" x14ac:dyDescent="0.3">
      <c r="A352">
        <v>350</v>
      </c>
      <c r="B352">
        <v>117</v>
      </c>
      <c r="C352">
        <v>73</v>
      </c>
      <c r="D352">
        <v>67.149540000000002</v>
      </c>
      <c r="W352">
        <v>349</v>
      </c>
      <c r="X352">
        <v>113</v>
      </c>
      <c r="Y352">
        <v>36</v>
      </c>
      <c r="Z352">
        <v>28.52788</v>
      </c>
      <c r="AA352">
        <f t="shared" si="20"/>
        <v>29</v>
      </c>
      <c r="AB352">
        <f t="shared" si="21"/>
        <v>1</v>
      </c>
      <c r="AC352">
        <f t="shared" si="22"/>
        <v>1</v>
      </c>
      <c r="AD352">
        <f t="shared" si="23"/>
        <v>0</v>
      </c>
    </row>
    <row r="353" spans="1:30" x14ac:dyDescent="0.3">
      <c r="A353">
        <v>351</v>
      </c>
      <c r="B353">
        <v>121</v>
      </c>
      <c r="C353">
        <v>37</v>
      </c>
      <c r="D353">
        <v>35.812980000000003</v>
      </c>
      <c r="W353">
        <v>350</v>
      </c>
      <c r="X353">
        <v>117</v>
      </c>
      <c r="Y353">
        <v>73</v>
      </c>
      <c r="Z353">
        <v>67.149540000000002</v>
      </c>
      <c r="AA353">
        <f t="shared" si="20"/>
        <v>67</v>
      </c>
      <c r="AB353">
        <f t="shared" si="21"/>
        <v>1</v>
      </c>
      <c r="AC353">
        <f t="shared" si="22"/>
        <v>1</v>
      </c>
      <c r="AD353">
        <f t="shared" si="23"/>
        <v>0</v>
      </c>
    </row>
    <row r="354" spans="1:30" x14ac:dyDescent="0.3">
      <c r="A354">
        <v>352</v>
      </c>
      <c r="B354">
        <v>131</v>
      </c>
      <c r="C354">
        <v>42</v>
      </c>
      <c r="D354">
        <v>34.866579999999999</v>
      </c>
      <c r="W354">
        <v>351</v>
      </c>
      <c r="X354">
        <v>121</v>
      </c>
      <c r="Y354">
        <v>37</v>
      </c>
      <c r="Z354">
        <v>35.812980000000003</v>
      </c>
      <c r="AA354">
        <f t="shared" si="20"/>
        <v>36</v>
      </c>
      <c r="AB354">
        <f t="shared" si="21"/>
        <v>1</v>
      </c>
      <c r="AC354">
        <f t="shared" si="22"/>
        <v>0</v>
      </c>
      <c r="AD354">
        <f t="shared" si="23"/>
        <v>0</v>
      </c>
    </row>
    <row r="355" spans="1:30" x14ac:dyDescent="0.3">
      <c r="A355">
        <v>353</v>
      </c>
      <c r="B355">
        <v>135</v>
      </c>
      <c r="C355">
        <v>37</v>
      </c>
      <c r="D355">
        <v>29.580880000000001</v>
      </c>
      <c r="W355">
        <v>352</v>
      </c>
      <c r="X355">
        <v>131</v>
      </c>
      <c r="Y355">
        <v>42</v>
      </c>
      <c r="Z355">
        <v>34.866579999999999</v>
      </c>
      <c r="AA355">
        <f t="shared" si="20"/>
        <v>35</v>
      </c>
      <c r="AB355">
        <f t="shared" si="21"/>
        <v>1</v>
      </c>
      <c r="AC355">
        <f t="shared" si="22"/>
        <v>1</v>
      </c>
      <c r="AD355">
        <f t="shared" si="23"/>
        <v>0</v>
      </c>
    </row>
    <row r="356" spans="1:30" x14ac:dyDescent="0.3">
      <c r="A356">
        <v>354</v>
      </c>
      <c r="B356">
        <v>139</v>
      </c>
      <c r="C356">
        <v>29</v>
      </c>
      <c r="D356">
        <v>29.273250000000001</v>
      </c>
      <c r="W356">
        <v>353</v>
      </c>
      <c r="X356">
        <v>135</v>
      </c>
      <c r="Y356">
        <v>37</v>
      </c>
      <c r="Z356">
        <v>29.580880000000001</v>
      </c>
      <c r="AA356">
        <f t="shared" si="20"/>
        <v>30</v>
      </c>
      <c r="AB356">
        <f t="shared" si="21"/>
        <v>1</v>
      </c>
      <c r="AC356">
        <f t="shared" si="22"/>
        <v>1</v>
      </c>
      <c r="AD356">
        <f t="shared" si="23"/>
        <v>0</v>
      </c>
    </row>
    <row r="357" spans="1:30" x14ac:dyDescent="0.3">
      <c r="A357">
        <v>355</v>
      </c>
      <c r="B357">
        <v>141</v>
      </c>
      <c r="C357">
        <v>5</v>
      </c>
      <c r="D357">
        <v>11.210940000000001</v>
      </c>
      <c r="W357">
        <v>354</v>
      </c>
      <c r="X357">
        <v>139</v>
      </c>
      <c r="Y357">
        <v>29</v>
      </c>
      <c r="Z357">
        <v>29.273250000000001</v>
      </c>
      <c r="AA357">
        <f t="shared" si="20"/>
        <v>29</v>
      </c>
      <c r="AB357">
        <f t="shared" si="21"/>
        <v>0</v>
      </c>
      <c r="AC357">
        <f t="shared" si="22"/>
        <v>0</v>
      </c>
      <c r="AD357">
        <f t="shared" si="23"/>
        <v>0</v>
      </c>
    </row>
    <row r="358" spans="1:30" x14ac:dyDescent="0.3">
      <c r="A358">
        <v>356</v>
      </c>
      <c r="B358">
        <v>142</v>
      </c>
      <c r="C358">
        <v>5</v>
      </c>
      <c r="D358">
        <v>14.35272</v>
      </c>
      <c r="W358">
        <v>355</v>
      </c>
      <c r="X358">
        <v>141</v>
      </c>
      <c r="Y358">
        <v>5</v>
      </c>
      <c r="Z358">
        <v>11.210940000000001</v>
      </c>
      <c r="AA358">
        <f t="shared" si="20"/>
        <v>11</v>
      </c>
      <c r="AB358">
        <f t="shared" si="21"/>
        <v>1</v>
      </c>
      <c r="AC358">
        <f t="shared" si="22"/>
        <v>1</v>
      </c>
      <c r="AD358">
        <f t="shared" si="23"/>
        <v>0</v>
      </c>
    </row>
    <row r="359" spans="1:30" x14ac:dyDescent="0.3">
      <c r="A359">
        <v>357</v>
      </c>
      <c r="B359">
        <v>163</v>
      </c>
      <c r="C359">
        <v>39</v>
      </c>
      <c r="D359">
        <v>45.32114</v>
      </c>
      <c r="W359">
        <v>356</v>
      </c>
      <c r="X359">
        <v>142</v>
      </c>
      <c r="Y359">
        <v>5</v>
      </c>
      <c r="Z359">
        <v>14.35272</v>
      </c>
      <c r="AA359">
        <f t="shared" si="20"/>
        <v>14</v>
      </c>
      <c r="AB359">
        <f t="shared" si="21"/>
        <v>1</v>
      </c>
      <c r="AC359">
        <f t="shared" si="22"/>
        <v>1</v>
      </c>
      <c r="AD359">
        <f t="shared" si="23"/>
        <v>0</v>
      </c>
    </row>
    <row r="360" spans="1:30" x14ac:dyDescent="0.3">
      <c r="A360">
        <v>358</v>
      </c>
      <c r="B360">
        <v>170</v>
      </c>
      <c r="C360">
        <v>13</v>
      </c>
      <c r="D360">
        <v>1.01067</v>
      </c>
      <c r="W360">
        <v>357</v>
      </c>
      <c r="X360">
        <v>163</v>
      </c>
      <c r="Y360">
        <v>39</v>
      </c>
      <c r="Z360">
        <v>45.32114</v>
      </c>
      <c r="AA360">
        <f t="shared" si="20"/>
        <v>45</v>
      </c>
      <c r="AB360">
        <f t="shared" si="21"/>
        <v>1</v>
      </c>
      <c r="AC360">
        <f t="shared" si="22"/>
        <v>1</v>
      </c>
      <c r="AD360">
        <f t="shared" si="23"/>
        <v>0</v>
      </c>
    </row>
    <row r="361" spans="1:30" x14ac:dyDescent="0.3">
      <c r="A361">
        <v>359</v>
      </c>
      <c r="B361">
        <v>174</v>
      </c>
      <c r="C361">
        <v>23</v>
      </c>
      <c r="D361">
        <v>47.037649999999999</v>
      </c>
      <c r="W361">
        <v>358</v>
      </c>
      <c r="X361">
        <v>170</v>
      </c>
      <c r="Y361">
        <v>13</v>
      </c>
      <c r="Z361">
        <v>1.01067</v>
      </c>
      <c r="AA361">
        <f t="shared" si="20"/>
        <v>1</v>
      </c>
      <c r="AB361">
        <f t="shared" si="21"/>
        <v>1</v>
      </c>
      <c r="AC361">
        <f t="shared" si="22"/>
        <v>1</v>
      </c>
      <c r="AD361">
        <f t="shared" si="23"/>
        <v>1</v>
      </c>
    </row>
    <row r="362" spans="1:30" x14ac:dyDescent="0.3">
      <c r="A362">
        <v>360</v>
      </c>
      <c r="B362">
        <v>178</v>
      </c>
      <c r="C362">
        <v>97</v>
      </c>
      <c r="D362">
        <v>112.56026</v>
      </c>
      <c r="W362">
        <v>359</v>
      </c>
      <c r="X362">
        <v>174</v>
      </c>
      <c r="Y362">
        <v>23</v>
      </c>
      <c r="Z362">
        <v>47.037649999999999</v>
      </c>
      <c r="AA362">
        <f t="shared" si="20"/>
        <v>47</v>
      </c>
      <c r="AB362">
        <f t="shared" si="21"/>
        <v>1</v>
      </c>
      <c r="AC362">
        <f t="shared" si="22"/>
        <v>1</v>
      </c>
      <c r="AD362">
        <f t="shared" si="23"/>
        <v>1</v>
      </c>
    </row>
    <row r="363" spans="1:30" x14ac:dyDescent="0.3">
      <c r="A363">
        <v>361</v>
      </c>
      <c r="B363">
        <v>185</v>
      </c>
      <c r="C363">
        <v>21</v>
      </c>
      <c r="D363">
        <v>20.924689999999998</v>
      </c>
      <c r="W363">
        <v>360</v>
      </c>
      <c r="X363">
        <v>178</v>
      </c>
      <c r="Y363">
        <v>97</v>
      </c>
      <c r="Z363">
        <v>112.56026</v>
      </c>
      <c r="AA363">
        <f t="shared" si="20"/>
        <v>113</v>
      </c>
      <c r="AB363">
        <f t="shared" si="21"/>
        <v>1</v>
      </c>
      <c r="AC363">
        <f t="shared" si="22"/>
        <v>1</v>
      </c>
      <c r="AD363">
        <f t="shared" si="23"/>
        <v>1</v>
      </c>
    </row>
    <row r="364" spans="1:30" x14ac:dyDescent="0.3">
      <c r="A364">
        <v>362</v>
      </c>
      <c r="B364">
        <v>189</v>
      </c>
      <c r="C364">
        <v>2</v>
      </c>
      <c r="D364">
        <v>9.0441800000000008</v>
      </c>
      <c r="W364">
        <v>361</v>
      </c>
      <c r="X364">
        <v>185</v>
      </c>
      <c r="Y364">
        <v>21</v>
      </c>
      <c r="Z364">
        <v>20.924689999999998</v>
      </c>
      <c r="AA364">
        <f t="shared" si="20"/>
        <v>21</v>
      </c>
      <c r="AB364">
        <f t="shared" si="21"/>
        <v>0</v>
      </c>
      <c r="AC364">
        <f t="shared" si="22"/>
        <v>0</v>
      </c>
      <c r="AD364">
        <f t="shared" si="23"/>
        <v>0</v>
      </c>
    </row>
    <row r="365" spans="1:30" x14ac:dyDescent="0.3">
      <c r="A365">
        <v>363</v>
      </c>
      <c r="B365">
        <v>193</v>
      </c>
      <c r="C365">
        <v>50</v>
      </c>
      <c r="D365">
        <v>59.599829999999997</v>
      </c>
      <c r="W365">
        <v>362</v>
      </c>
      <c r="X365">
        <v>189</v>
      </c>
      <c r="Y365">
        <v>2</v>
      </c>
      <c r="Z365">
        <v>9.0441800000000008</v>
      </c>
      <c r="AA365">
        <f t="shared" si="20"/>
        <v>9</v>
      </c>
      <c r="AB365">
        <f t="shared" si="21"/>
        <v>1</v>
      </c>
      <c r="AC365">
        <f t="shared" si="22"/>
        <v>1</v>
      </c>
      <c r="AD365">
        <f t="shared" si="23"/>
        <v>0</v>
      </c>
    </row>
    <row r="366" spans="1:30" x14ac:dyDescent="0.3">
      <c r="A366">
        <v>364</v>
      </c>
      <c r="B366">
        <v>198</v>
      </c>
      <c r="C366">
        <v>100</v>
      </c>
      <c r="D366">
        <v>139.38991999999999</v>
      </c>
      <c r="W366">
        <v>363</v>
      </c>
      <c r="X366">
        <v>193</v>
      </c>
      <c r="Y366">
        <v>50</v>
      </c>
      <c r="Z366">
        <v>59.599829999999997</v>
      </c>
      <c r="AA366">
        <f t="shared" si="20"/>
        <v>60</v>
      </c>
      <c r="AB366">
        <f t="shared" si="21"/>
        <v>1</v>
      </c>
      <c r="AC366">
        <f t="shared" si="22"/>
        <v>1</v>
      </c>
      <c r="AD366">
        <f t="shared" si="23"/>
        <v>1</v>
      </c>
    </row>
    <row r="367" spans="1:30" x14ac:dyDescent="0.3">
      <c r="A367">
        <v>365</v>
      </c>
      <c r="B367">
        <v>199</v>
      </c>
      <c r="C367">
        <v>40</v>
      </c>
      <c r="D367">
        <v>49.859110000000001</v>
      </c>
      <c r="W367">
        <v>364</v>
      </c>
      <c r="X367">
        <v>198</v>
      </c>
      <c r="Y367">
        <v>100</v>
      </c>
      <c r="Z367">
        <v>139.38991999999999</v>
      </c>
      <c r="AA367">
        <f t="shared" si="20"/>
        <v>139</v>
      </c>
      <c r="AB367">
        <f t="shared" si="21"/>
        <v>1</v>
      </c>
      <c r="AC367">
        <f t="shared" si="22"/>
        <v>1</v>
      </c>
      <c r="AD367">
        <f t="shared" si="23"/>
        <v>1</v>
      </c>
    </row>
    <row r="368" spans="1:30" x14ac:dyDescent="0.3">
      <c r="A368">
        <v>366</v>
      </c>
      <c r="B368">
        <v>203</v>
      </c>
      <c r="C368">
        <v>3</v>
      </c>
      <c r="D368">
        <v>6.7861099999999999</v>
      </c>
      <c r="W368">
        <v>365</v>
      </c>
      <c r="X368">
        <v>199</v>
      </c>
      <c r="Y368">
        <v>40</v>
      </c>
      <c r="Z368">
        <v>49.859110000000001</v>
      </c>
      <c r="AA368">
        <f t="shared" si="20"/>
        <v>50</v>
      </c>
      <c r="AB368">
        <f t="shared" si="21"/>
        <v>1</v>
      </c>
      <c r="AC368">
        <f t="shared" si="22"/>
        <v>1</v>
      </c>
      <c r="AD368">
        <f t="shared" si="23"/>
        <v>1</v>
      </c>
    </row>
    <row r="369" spans="1:30" x14ac:dyDescent="0.3">
      <c r="A369">
        <v>367</v>
      </c>
      <c r="B369">
        <v>211</v>
      </c>
      <c r="C369">
        <v>51</v>
      </c>
      <c r="D369">
        <v>54.402610000000003</v>
      </c>
      <c r="W369">
        <v>366</v>
      </c>
      <c r="X369">
        <v>203</v>
      </c>
      <c r="Y369">
        <v>3</v>
      </c>
      <c r="Z369">
        <v>6.7861099999999999</v>
      </c>
      <c r="AA369">
        <f t="shared" si="20"/>
        <v>7</v>
      </c>
      <c r="AB369">
        <f t="shared" si="21"/>
        <v>1</v>
      </c>
      <c r="AC369">
        <f t="shared" si="22"/>
        <v>0</v>
      </c>
      <c r="AD369">
        <f t="shared" si="23"/>
        <v>0</v>
      </c>
    </row>
    <row r="370" spans="1:30" x14ac:dyDescent="0.3">
      <c r="A370">
        <v>368</v>
      </c>
      <c r="B370">
        <v>212</v>
      </c>
      <c r="C370">
        <v>52</v>
      </c>
      <c r="D370">
        <v>63.516109999999998</v>
      </c>
      <c r="W370">
        <v>367</v>
      </c>
      <c r="X370">
        <v>211</v>
      </c>
      <c r="Y370">
        <v>51</v>
      </c>
      <c r="Z370">
        <v>54.402610000000003</v>
      </c>
      <c r="AA370">
        <f t="shared" si="20"/>
        <v>54</v>
      </c>
      <c r="AB370">
        <f t="shared" si="21"/>
        <v>1</v>
      </c>
      <c r="AC370">
        <f t="shared" si="22"/>
        <v>0</v>
      </c>
      <c r="AD370">
        <f t="shared" si="23"/>
        <v>0</v>
      </c>
    </row>
    <row r="371" spans="1:30" x14ac:dyDescent="0.3">
      <c r="A371">
        <v>369</v>
      </c>
      <c r="B371">
        <v>217</v>
      </c>
      <c r="C371">
        <v>65</v>
      </c>
      <c r="D371">
        <v>73.009379999999993</v>
      </c>
      <c r="W371">
        <v>368</v>
      </c>
      <c r="X371">
        <v>212</v>
      </c>
      <c r="Y371">
        <v>52</v>
      </c>
      <c r="Z371">
        <v>63.516109999999998</v>
      </c>
      <c r="AA371">
        <f t="shared" si="20"/>
        <v>64</v>
      </c>
      <c r="AB371">
        <f t="shared" si="21"/>
        <v>1</v>
      </c>
      <c r="AC371">
        <f t="shared" si="22"/>
        <v>1</v>
      </c>
      <c r="AD371">
        <f t="shared" si="23"/>
        <v>1</v>
      </c>
    </row>
    <row r="372" spans="1:30" x14ac:dyDescent="0.3">
      <c r="A372">
        <v>370</v>
      </c>
      <c r="B372">
        <v>225</v>
      </c>
      <c r="C372">
        <v>20</v>
      </c>
      <c r="D372">
        <v>14.004630000000001</v>
      </c>
      <c r="W372">
        <v>369</v>
      </c>
      <c r="X372">
        <v>217</v>
      </c>
      <c r="Y372">
        <v>65</v>
      </c>
      <c r="Z372">
        <v>73.009379999999993</v>
      </c>
      <c r="AA372">
        <f t="shared" si="20"/>
        <v>73</v>
      </c>
      <c r="AB372">
        <f t="shared" si="21"/>
        <v>1</v>
      </c>
      <c r="AC372">
        <f t="shared" si="22"/>
        <v>1</v>
      </c>
      <c r="AD372">
        <f t="shared" si="23"/>
        <v>0</v>
      </c>
    </row>
    <row r="373" spans="1:30" x14ac:dyDescent="0.3">
      <c r="A373">
        <v>371</v>
      </c>
      <c r="B373">
        <v>233</v>
      </c>
      <c r="C373">
        <v>18</v>
      </c>
      <c r="D373">
        <v>29.31363</v>
      </c>
      <c r="W373">
        <v>370</v>
      </c>
      <c r="X373">
        <v>225</v>
      </c>
      <c r="Y373">
        <v>20</v>
      </c>
      <c r="Z373">
        <v>14.004630000000001</v>
      </c>
      <c r="AA373">
        <f t="shared" si="20"/>
        <v>14</v>
      </c>
      <c r="AB373">
        <f t="shared" si="21"/>
        <v>1</v>
      </c>
      <c r="AC373">
        <f t="shared" si="22"/>
        <v>1</v>
      </c>
      <c r="AD373">
        <f t="shared" si="23"/>
        <v>0</v>
      </c>
    </row>
    <row r="374" spans="1:30" x14ac:dyDescent="0.3">
      <c r="A374">
        <v>372</v>
      </c>
      <c r="B374">
        <v>241</v>
      </c>
      <c r="C374">
        <v>19</v>
      </c>
      <c r="D374">
        <v>11.1532</v>
      </c>
      <c r="W374">
        <v>371</v>
      </c>
      <c r="X374">
        <v>233</v>
      </c>
      <c r="Y374">
        <v>18</v>
      </c>
      <c r="Z374">
        <v>29.31363</v>
      </c>
      <c r="AA374">
        <f t="shared" si="20"/>
        <v>29</v>
      </c>
      <c r="AB374">
        <f t="shared" si="21"/>
        <v>1</v>
      </c>
      <c r="AC374">
        <f t="shared" si="22"/>
        <v>1</v>
      </c>
      <c r="AD374">
        <f t="shared" si="23"/>
        <v>1</v>
      </c>
    </row>
    <row r="375" spans="1:30" x14ac:dyDescent="0.3">
      <c r="A375">
        <v>373</v>
      </c>
      <c r="B375">
        <v>249</v>
      </c>
      <c r="C375">
        <v>75</v>
      </c>
      <c r="D375">
        <v>64.465400000000002</v>
      </c>
      <c r="W375">
        <v>372</v>
      </c>
      <c r="X375">
        <v>241</v>
      </c>
      <c r="Y375">
        <v>19</v>
      </c>
      <c r="Z375">
        <v>11.1532</v>
      </c>
      <c r="AA375">
        <f t="shared" si="20"/>
        <v>11</v>
      </c>
      <c r="AB375">
        <f t="shared" si="21"/>
        <v>1</v>
      </c>
      <c r="AC375">
        <f t="shared" si="22"/>
        <v>1</v>
      </c>
      <c r="AD375">
        <f t="shared" si="23"/>
        <v>0</v>
      </c>
    </row>
    <row r="376" spans="1:30" x14ac:dyDescent="0.3">
      <c r="A376">
        <v>374</v>
      </c>
      <c r="B376">
        <v>252</v>
      </c>
      <c r="C376">
        <v>21</v>
      </c>
      <c r="D376">
        <v>28.301629999999999</v>
      </c>
      <c r="W376">
        <v>373</v>
      </c>
      <c r="X376">
        <v>249</v>
      </c>
      <c r="Y376">
        <v>75</v>
      </c>
      <c r="Z376">
        <v>64.465400000000002</v>
      </c>
      <c r="AA376">
        <f t="shared" si="20"/>
        <v>64</v>
      </c>
      <c r="AB376">
        <f t="shared" si="21"/>
        <v>1</v>
      </c>
      <c r="AC376">
        <f t="shared" si="22"/>
        <v>1</v>
      </c>
      <c r="AD376">
        <f t="shared" si="23"/>
        <v>1</v>
      </c>
    </row>
    <row r="377" spans="1:30" x14ac:dyDescent="0.3">
      <c r="A377">
        <v>375</v>
      </c>
      <c r="B377">
        <v>253</v>
      </c>
      <c r="C377">
        <v>1</v>
      </c>
      <c r="D377">
        <v>2.6959599999999999</v>
      </c>
      <c r="W377">
        <v>374</v>
      </c>
      <c r="X377">
        <v>252</v>
      </c>
      <c r="Y377">
        <v>21</v>
      </c>
      <c r="Z377">
        <v>28.301629999999999</v>
      </c>
      <c r="AA377">
        <f t="shared" si="20"/>
        <v>28</v>
      </c>
      <c r="AB377">
        <f t="shared" si="21"/>
        <v>1</v>
      </c>
      <c r="AC377">
        <f t="shared" si="22"/>
        <v>1</v>
      </c>
      <c r="AD377">
        <f t="shared" si="23"/>
        <v>0</v>
      </c>
    </row>
    <row r="378" spans="1:30" x14ac:dyDescent="0.3">
      <c r="A378">
        <v>376</v>
      </c>
      <c r="B378">
        <v>257</v>
      </c>
      <c r="C378">
        <v>24</v>
      </c>
      <c r="D378">
        <v>33.37865</v>
      </c>
      <c r="W378">
        <v>375</v>
      </c>
      <c r="X378">
        <v>253</v>
      </c>
      <c r="Y378">
        <v>1</v>
      </c>
      <c r="Z378">
        <v>2.6959599999999999</v>
      </c>
      <c r="AA378">
        <f t="shared" si="20"/>
        <v>3</v>
      </c>
      <c r="AB378">
        <f t="shared" si="21"/>
        <v>1</v>
      </c>
      <c r="AC378">
        <f t="shared" si="22"/>
        <v>0</v>
      </c>
      <c r="AD378">
        <f t="shared" si="23"/>
        <v>0</v>
      </c>
    </row>
    <row r="379" spans="1:30" x14ac:dyDescent="0.3">
      <c r="A379">
        <v>377</v>
      </c>
      <c r="B379">
        <v>264</v>
      </c>
      <c r="C379">
        <v>4</v>
      </c>
      <c r="D379">
        <v>3.8438300000000001</v>
      </c>
      <c r="W379">
        <v>376</v>
      </c>
      <c r="X379">
        <v>257</v>
      </c>
      <c r="Y379">
        <v>24</v>
      </c>
      <c r="Z379">
        <v>33.37865</v>
      </c>
      <c r="AA379">
        <f t="shared" si="20"/>
        <v>33</v>
      </c>
      <c r="AB379">
        <f t="shared" si="21"/>
        <v>1</v>
      </c>
      <c r="AC379">
        <f t="shared" si="22"/>
        <v>1</v>
      </c>
      <c r="AD379">
        <f t="shared" si="23"/>
        <v>0</v>
      </c>
    </row>
    <row r="380" spans="1:30" x14ac:dyDescent="0.3">
      <c r="A380">
        <v>378</v>
      </c>
      <c r="B380">
        <v>270</v>
      </c>
      <c r="C380">
        <v>10</v>
      </c>
      <c r="D380">
        <v>15.453010000000001</v>
      </c>
      <c r="W380">
        <v>377</v>
      </c>
      <c r="X380">
        <v>264</v>
      </c>
      <c r="Y380">
        <v>4</v>
      </c>
      <c r="Z380">
        <v>3.8438300000000001</v>
      </c>
      <c r="AA380">
        <f t="shared" si="20"/>
        <v>4</v>
      </c>
      <c r="AB380">
        <f t="shared" si="21"/>
        <v>0</v>
      </c>
      <c r="AC380">
        <f t="shared" si="22"/>
        <v>0</v>
      </c>
      <c r="AD380">
        <f t="shared" si="23"/>
        <v>0</v>
      </c>
    </row>
    <row r="381" spans="1:30" x14ac:dyDescent="0.3">
      <c r="A381">
        <v>379</v>
      </c>
      <c r="B381">
        <v>271</v>
      </c>
      <c r="C381">
        <v>34</v>
      </c>
      <c r="D381">
        <v>44.816659999999999</v>
      </c>
      <c r="W381">
        <v>378</v>
      </c>
      <c r="X381">
        <v>270</v>
      </c>
      <c r="Y381">
        <v>10</v>
      </c>
      <c r="Z381">
        <v>15.453010000000001</v>
      </c>
      <c r="AA381">
        <f t="shared" si="20"/>
        <v>15</v>
      </c>
      <c r="AB381">
        <f t="shared" si="21"/>
        <v>1</v>
      </c>
      <c r="AC381">
        <f t="shared" si="22"/>
        <v>1</v>
      </c>
      <c r="AD381">
        <f t="shared" si="23"/>
        <v>0</v>
      </c>
    </row>
    <row r="382" spans="1:30" x14ac:dyDescent="0.3">
      <c r="A382">
        <v>380</v>
      </c>
      <c r="B382">
        <v>272</v>
      </c>
      <c r="C382">
        <v>36</v>
      </c>
      <c r="D382">
        <v>30.253959999999999</v>
      </c>
      <c r="W382">
        <v>379</v>
      </c>
      <c r="X382">
        <v>271</v>
      </c>
      <c r="Y382">
        <v>34</v>
      </c>
      <c r="Z382">
        <v>44.816659999999999</v>
      </c>
      <c r="AA382">
        <f t="shared" si="20"/>
        <v>45</v>
      </c>
      <c r="AB382">
        <f t="shared" si="21"/>
        <v>1</v>
      </c>
      <c r="AC382">
        <f t="shared" si="22"/>
        <v>1</v>
      </c>
      <c r="AD382">
        <f t="shared" si="23"/>
        <v>1</v>
      </c>
    </row>
    <row r="383" spans="1:30" x14ac:dyDescent="0.3">
      <c r="A383">
        <v>381</v>
      </c>
      <c r="B383">
        <v>276</v>
      </c>
      <c r="C383">
        <v>2</v>
      </c>
      <c r="D383">
        <v>9.2879100000000001</v>
      </c>
      <c r="W383">
        <v>380</v>
      </c>
      <c r="X383">
        <v>272</v>
      </c>
      <c r="Y383">
        <v>36</v>
      </c>
      <c r="Z383">
        <v>30.253959999999999</v>
      </c>
      <c r="AA383">
        <f t="shared" si="20"/>
        <v>30</v>
      </c>
      <c r="AB383">
        <f t="shared" si="21"/>
        <v>1</v>
      </c>
      <c r="AC383">
        <f t="shared" si="22"/>
        <v>1</v>
      </c>
      <c r="AD383">
        <f t="shared" si="23"/>
        <v>0</v>
      </c>
    </row>
    <row r="384" spans="1:30" x14ac:dyDescent="0.3">
      <c r="A384">
        <v>382</v>
      </c>
      <c r="B384">
        <v>279</v>
      </c>
      <c r="C384">
        <v>133</v>
      </c>
      <c r="D384">
        <v>152.22583</v>
      </c>
      <c r="W384">
        <v>381</v>
      </c>
      <c r="X384">
        <v>276</v>
      </c>
      <c r="Y384">
        <v>2</v>
      </c>
      <c r="Z384">
        <v>9.2879100000000001</v>
      </c>
      <c r="AA384">
        <f t="shared" si="20"/>
        <v>9</v>
      </c>
      <c r="AB384">
        <f t="shared" si="21"/>
        <v>1</v>
      </c>
      <c r="AC384">
        <f t="shared" si="22"/>
        <v>1</v>
      </c>
      <c r="AD384">
        <f t="shared" si="23"/>
        <v>0</v>
      </c>
    </row>
    <row r="385" spans="1:30" x14ac:dyDescent="0.3">
      <c r="A385">
        <v>383</v>
      </c>
      <c r="B385">
        <v>281</v>
      </c>
      <c r="C385">
        <v>44</v>
      </c>
      <c r="D385">
        <v>19.916229999999999</v>
      </c>
      <c r="W385">
        <v>382</v>
      </c>
      <c r="X385">
        <v>279</v>
      </c>
      <c r="Y385">
        <v>133</v>
      </c>
      <c r="Z385">
        <v>152.22583</v>
      </c>
      <c r="AA385">
        <f t="shared" si="20"/>
        <v>152</v>
      </c>
      <c r="AB385">
        <f t="shared" si="21"/>
        <v>1</v>
      </c>
      <c r="AC385">
        <f t="shared" si="22"/>
        <v>1</v>
      </c>
      <c r="AD385">
        <f t="shared" si="23"/>
        <v>1</v>
      </c>
    </row>
    <row r="386" spans="1:30" x14ac:dyDescent="0.3">
      <c r="A386">
        <v>384</v>
      </c>
      <c r="B386">
        <v>282</v>
      </c>
      <c r="C386">
        <v>44</v>
      </c>
      <c r="D386">
        <v>18.500109999999999</v>
      </c>
      <c r="W386">
        <v>383</v>
      </c>
      <c r="X386">
        <v>281</v>
      </c>
      <c r="Y386">
        <v>44</v>
      </c>
      <c r="Z386">
        <v>19.916229999999999</v>
      </c>
      <c r="AA386">
        <f t="shared" si="20"/>
        <v>20</v>
      </c>
      <c r="AB386">
        <f t="shared" si="21"/>
        <v>1</v>
      </c>
      <c r="AC386">
        <f t="shared" si="22"/>
        <v>1</v>
      </c>
      <c r="AD386">
        <f t="shared" si="23"/>
        <v>1</v>
      </c>
    </row>
    <row r="387" spans="1:30" x14ac:dyDescent="0.3">
      <c r="A387">
        <v>385</v>
      </c>
      <c r="B387">
        <v>283</v>
      </c>
      <c r="C387">
        <v>27</v>
      </c>
      <c r="D387">
        <v>6.9617399999999998</v>
      </c>
      <c r="W387">
        <v>384</v>
      </c>
      <c r="X387">
        <v>282</v>
      </c>
      <c r="Y387">
        <v>44</v>
      </c>
      <c r="Z387">
        <v>18.500109999999999</v>
      </c>
      <c r="AA387">
        <f t="shared" si="20"/>
        <v>19</v>
      </c>
      <c r="AB387">
        <f t="shared" si="21"/>
        <v>1</v>
      </c>
      <c r="AC387">
        <f t="shared" si="22"/>
        <v>1</v>
      </c>
      <c r="AD387">
        <f t="shared" si="23"/>
        <v>1</v>
      </c>
    </row>
    <row r="388" spans="1:30" x14ac:dyDescent="0.3">
      <c r="A388">
        <v>386</v>
      </c>
      <c r="B388">
        <v>287</v>
      </c>
      <c r="C388">
        <v>46</v>
      </c>
      <c r="D388">
        <v>45.320860000000003</v>
      </c>
      <c r="W388">
        <v>385</v>
      </c>
      <c r="X388">
        <v>283</v>
      </c>
      <c r="Y388">
        <v>27</v>
      </c>
      <c r="Z388">
        <v>6.9617399999999998</v>
      </c>
      <c r="AA388">
        <f t="shared" si="20"/>
        <v>7</v>
      </c>
      <c r="AB388">
        <f t="shared" si="21"/>
        <v>1</v>
      </c>
      <c r="AC388">
        <f t="shared" si="22"/>
        <v>1</v>
      </c>
      <c r="AD388">
        <f t="shared" si="23"/>
        <v>1</v>
      </c>
    </row>
    <row r="389" spans="1:30" x14ac:dyDescent="0.3">
      <c r="A389">
        <v>387</v>
      </c>
      <c r="B389">
        <v>291</v>
      </c>
      <c r="C389">
        <v>15</v>
      </c>
      <c r="D389">
        <v>19.329219999999999</v>
      </c>
      <c r="W389">
        <v>386</v>
      </c>
      <c r="X389">
        <v>287</v>
      </c>
      <c r="Y389">
        <v>46</v>
      </c>
      <c r="Z389">
        <v>45.320860000000003</v>
      </c>
      <c r="AA389">
        <f t="shared" ref="AA389:AA452" si="24">ROUND(Z389,0)</f>
        <v>45</v>
      </c>
      <c r="AB389">
        <f t="shared" ref="AB389:AB452" si="25">IF(AA389=Y389,0,1)</f>
        <v>1</v>
      </c>
      <c r="AC389">
        <f t="shared" ref="AC389:AC452" si="26">IF(AA389&lt;Y389+5,IF(AA389&gt;Y389-5,0,1),1)</f>
        <v>0</v>
      </c>
      <c r="AD389">
        <f t="shared" ref="AD389:AD452" si="27">IF(AA389&lt;Y389+10,IF(AA389&gt;Y389-10,0,1),1)</f>
        <v>0</v>
      </c>
    </row>
    <row r="390" spans="1:30" x14ac:dyDescent="0.3">
      <c r="A390">
        <v>388</v>
      </c>
      <c r="B390">
        <v>295</v>
      </c>
      <c r="C390">
        <v>7</v>
      </c>
      <c r="D390">
        <v>17.648620000000001</v>
      </c>
      <c r="W390">
        <v>387</v>
      </c>
      <c r="X390">
        <v>291</v>
      </c>
      <c r="Y390">
        <v>15</v>
      </c>
      <c r="Z390">
        <v>19.329219999999999</v>
      </c>
      <c r="AA390">
        <f t="shared" si="24"/>
        <v>19</v>
      </c>
      <c r="AB390">
        <f t="shared" si="25"/>
        <v>1</v>
      </c>
      <c r="AC390">
        <f t="shared" si="26"/>
        <v>0</v>
      </c>
      <c r="AD390">
        <f t="shared" si="27"/>
        <v>0</v>
      </c>
    </row>
    <row r="391" spans="1:30" x14ac:dyDescent="0.3">
      <c r="A391">
        <v>389</v>
      </c>
      <c r="B391">
        <v>299</v>
      </c>
      <c r="C391">
        <v>22</v>
      </c>
      <c r="D391">
        <v>12.86983</v>
      </c>
      <c r="W391">
        <v>388</v>
      </c>
      <c r="X391">
        <v>295</v>
      </c>
      <c r="Y391">
        <v>7</v>
      </c>
      <c r="Z391">
        <v>17.648620000000001</v>
      </c>
      <c r="AA391">
        <f t="shared" si="24"/>
        <v>18</v>
      </c>
      <c r="AB391">
        <f t="shared" si="25"/>
        <v>1</v>
      </c>
      <c r="AC391">
        <f t="shared" si="26"/>
        <v>1</v>
      </c>
      <c r="AD391">
        <f t="shared" si="27"/>
        <v>1</v>
      </c>
    </row>
    <row r="392" spans="1:30" x14ac:dyDescent="0.3">
      <c r="A392">
        <v>390</v>
      </c>
      <c r="B392">
        <v>310</v>
      </c>
      <c r="C392">
        <v>13</v>
      </c>
      <c r="D392">
        <v>18.442039999999999</v>
      </c>
      <c r="W392">
        <v>389</v>
      </c>
      <c r="X392">
        <v>299</v>
      </c>
      <c r="Y392">
        <v>22</v>
      </c>
      <c r="Z392">
        <v>12.86983</v>
      </c>
      <c r="AA392">
        <f t="shared" si="24"/>
        <v>13</v>
      </c>
      <c r="AB392">
        <f t="shared" si="25"/>
        <v>1</v>
      </c>
      <c r="AC392">
        <f t="shared" si="26"/>
        <v>1</v>
      </c>
      <c r="AD392">
        <f t="shared" si="27"/>
        <v>0</v>
      </c>
    </row>
    <row r="393" spans="1:30" x14ac:dyDescent="0.3">
      <c r="A393">
        <v>391</v>
      </c>
      <c r="B393">
        <v>313</v>
      </c>
      <c r="C393">
        <v>11</v>
      </c>
      <c r="D393">
        <v>16.733250000000002</v>
      </c>
      <c r="W393">
        <v>390</v>
      </c>
      <c r="X393">
        <v>310</v>
      </c>
      <c r="Y393">
        <v>13</v>
      </c>
      <c r="Z393">
        <v>18.442039999999999</v>
      </c>
      <c r="AA393">
        <f t="shared" si="24"/>
        <v>18</v>
      </c>
      <c r="AB393">
        <f t="shared" si="25"/>
        <v>1</v>
      </c>
      <c r="AC393">
        <f t="shared" si="26"/>
        <v>1</v>
      </c>
      <c r="AD393">
        <f t="shared" si="27"/>
        <v>0</v>
      </c>
    </row>
    <row r="394" spans="1:30" x14ac:dyDescent="0.3">
      <c r="A394">
        <v>392</v>
      </c>
      <c r="B394">
        <v>314</v>
      </c>
      <c r="C394">
        <v>29</v>
      </c>
      <c r="D394">
        <v>21.893129999999999</v>
      </c>
      <c r="W394">
        <v>391</v>
      </c>
      <c r="X394">
        <v>313</v>
      </c>
      <c r="Y394">
        <v>11</v>
      </c>
      <c r="Z394">
        <v>16.733250000000002</v>
      </c>
      <c r="AA394">
        <f t="shared" si="24"/>
        <v>17</v>
      </c>
      <c r="AB394">
        <f t="shared" si="25"/>
        <v>1</v>
      </c>
      <c r="AC394">
        <f t="shared" si="26"/>
        <v>1</v>
      </c>
      <c r="AD394">
        <f t="shared" si="27"/>
        <v>0</v>
      </c>
    </row>
    <row r="395" spans="1:30" x14ac:dyDescent="0.3">
      <c r="A395">
        <v>393</v>
      </c>
      <c r="B395">
        <v>316</v>
      </c>
      <c r="C395">
        <v>20</v>
      </c>
      <c r="D395">
        <v>25.793810000000001</v>
      </c>
      <c r="W395">
        <v>392</v>
      </c>
      <c r="X395">
        <v>314</v>
      </c>
      <c r="Y395">
        <v>29</v>
      </c>
      <c r="Z395">
        <v>21.893129999999999</v>
      </c>
      <c r="AA395">
        <f t="shared" si="24"/>
        <v>22</v>
      </c>
      <c r="AB395">
        <f t="shared" si="25"/>
        <v>1</v>
      </c>
      <c r="AC395">
        <f t="shared" si="26"/>
        <v>1</v>
      </c>
      <c r="AD395">
        <f t="shared" si="27"/>
        <v>0</v>
      </c>
    </row>
    <row r="396" spans="1:30" x14ac:dyDescent="0.3">
      <c r="A396">
        <v>394</v>
      </c>
      <c r="B396">
        <v>320</v>
      </c>
      <c r="C396">
        <v>173</v>
      </c>
      <c r="D396">
        <v>191.50998000000001</v>
      </c>
      <c r="W396">
        <v>393</v>
      </c>
      <c r="X396">
        <v>316</v>
      </c>
      <c r="Y396">
        <v>20</v>
      </c>
      <c r="Z396">
        <v>25.793810000000001</v>
      </c>
      <c r="AA396">
        <f t="shared" si="24"/>
        <v>26</v>
      </c>
      <c r="AB396">
        <f t="shared" si="25"/>
        <v>1</v>
      </c>
      <c r="AC396">
        <f t="shared" si="26"/>
        <v>1</v>
      </c>
      <c r="AD396">
        <f t="shared" si="27"/>
        <v>0</v>
      </c>
    </row>
    <row r="397" spans="1:30" x14ac:dyDescent="0.3">
      <c r="A397">
        <v>395</v>
      </c>
      <c r="B397">
        <v>326</v>
      </c>
      <c r="C397">
        <v>201</v>
      </c>
      <c r="D397">
        <v>177.80875</v>
      </c>
      <c r="W397">
        <v>394</v>
      </c>
      <c r="X397">
        <v>320</v>
      </c>
      <c r="Y397">
        <v>173</v>
      </c>
      <c r="Z397">
        <v>191.50998000000001</v>
      </c>
      <c r="AA397">
        <f t="shared" si="24"/>
        <v>192</v>
      </c>
      <c r="AB397">
        <f t="shared" si="25"/>
        <v>1</v>
      </c>
      <c r="AC397">
        <f t="shared" si="26"/>
        <v>1</v>
      </c>
      <c r="AD397">
        <f t="shared" si="27"/>
        <v>1</v>
      </c>
    </row>
    <row r="398" spans="1:30" x14ac:dyDescent="0.3">
      <c r="A398">
        <v>396</v>
      </c>
      <c r="B398">
        <v>329</v>
      </c>
      <c r="C398">
        <v>32</v>
      </c>
      <c r="D398">
        <v>41.464640000000003</v>
      </c>
      <c r="W398">
        <v>395</v>
      </c>
      <c r="X398">
        <v>326</v>
      </c>
      <c r="Y398">
        <v>201</v>
      </c>
      <c r="Z398">
        <v>177.80875</v>
      </c>
      <c r="AA398">
        <f t="shared" si="24"/>
        <v>178</v>
      </c>
      <c r="AB398">
        <f t="shared" si="25"/>
        <v>1</v>
      </c>
      <c r="AC398">
        <f t="shared" si="26"/>
        <v>1</v>
      </c>
      <c r="AD398">
        <f t="shared" si="27"/>
        <v>1</v>
      </c>
    </row>
    <row r="399" spans="1:30" x14ac:dyDescent="0.3">
      <c r="A399">
        <v>397</v>
      </c>
      <c r="B399">
        <v>338</v>
      </c>
      <c r="C399">
        <v>69</v>
      </c>
      <c r="D399">
        <v>51.377049999999997</v>
      </c>
      <c r="W399">
        <v>396</v>
      </c>
      <c r="X399">
        <v>329</v>
      </c>
      <c r="Y399">
        <v>32</v>
      </c>
      <c r="Z399">
        <v>41.464640000000003</v>
      </c>
      <c r="AA399">
        <f t="shared" si="24"/>
        <v>41</v>
      </c>
      <c r="AB399">
        <f t="shared" si="25"/>
        <v>1</v>
      </c>
      <c r="AC399">
        <f t="shared" si="26"/>
        <v>1</v>
      </c>
      <c r="AD399">
        <f t="shared" si="27"/>
        <v>0</v>
      </c>
    </row>
    <row r="400" spans="1:30" x14ac:dyDescent="0.3">
      <c r="A400">
        <v>398</v>
      </c>
      <c r="B400">
        <v>339</v>
      </c>
      <c r="C400">
        <v>77</v>
      </c>
      <c r="D400">
        <v>77.697630000000004</v>
      </c>
      <c r="W400">
        <v>397</v>
      </c>
      <c r="X400">
        <v>338</v>
      </c>
      <c r="Y400">
        <v>69</v>
      </c>
      <c r="Z400">
        <v>51.377049999999997</v>
      </c>
      <c r="AA400">
        <f t="shared" si="24"/>
        <v>51</v>
      </c>
      <c r="AB400">
        <f t="shared" si="25"/>
        <v>1</v>
      </c>
      <c r="AC400">
        <f t="shared" si="26"/>
        <v>1</v>
      </c>
      <c r="AD400">
        <f t="shared" si="27"/>
        <v>1</v>
      </c>
    </row>
    <row r="401" spans="1:30" x14ac:dyDescent="0.3">
      <c r="A401">
        <v>399</v>
      </c>
      <c r="B401">
        <v>347</v>
      </c>
      <c r="C401">
        <v>13</v>
      </c>
      <c r="D401">
        <v>14.59038</v>
      </c>
      <c r="W401">
        <v>398</v>
      </c>
      <c r="X401">
        <v>339</v>
      </c>
      <c r="Y401">
        <v>77</v>
      </c>
      <c r="Z401">
        <v>77.697630000000004</v>
      </c>
      <c r="AA401">
        <f t="shared" si="24"/>
        <v>78</v>
      </c>
      <c r="AB401">
        <f t="shared" si="25"/>
        <v>1</v>
      </c>
      <c r="AC401">
        <f t="shared" si="26"/>
        <v>0</v>
      </c>
      <c r="AD401">
        <f t="shared" si="27"/>
        <v>0</v>
      </c>
    </row>
    <row r="402" spans="1:30" x14ac:dyDescent="0.3">
      <c r="A402">
        <v>400</v>
      </c>
      <c r="B402">
        <v>350</v>
      </c>
      <c r="C402">
        <v>6</v>
      </c>
      <c r="D402">
        <v>18.70232</v>
      </c>
      <c r="W402">
        <v>399</v>
      </c>
      <c r="X402">
        <v>347</v>
      </c>
      <c r="Y402">
        <v>13</v>
      </c>
      <c r="Z402">
        <v>14.59038</v>
      </c>
      <c r="AA402">
        <f t="shared" si="24"/>
        <v>15</v>
      </c>
      <c r="AB402">
        <f t="shared" si="25"/>
        <v>1</v>
      </c>
      <c r="AC402">
        <f t="shared" si="26"/>
        <v>0</v>
      </c>
      <c r="AD402">
        <f t="shared" si="27"/>
        <v>0</v>
      </c>
    </row>
    <row r="403" spans="1:30" x14ac:dyDescent="0.3">
      <c r="A403">
        <v>401</v>
      </c>
      <c r="B403">
        <v>351</v>
      </c>
      <c r="C403">
        <v>17</v>
      </c>
      <c r="D403">
        <v>20.517209999999999</v>
      </c>
      <c r="W403">
        <v>400</v>
      </c>
      <c r="X403">
        <v>350</v>
      </c>
      <c r="Y403">
        <v>6</v>
      </c>
      <c r="Z403">
        <v>18.70232</v>
      </c>
      <c r="AA403">
        <f t="shared" si="24"/>
        <v>19</v>
      </c>
      <c r="AB403">
        <f t="shared" si="25"/>
        <v>1</v>
      </c>
      <c r="AC403">
        <f t="shared" si="26"/>
        <v>1</v>
      </c>
      <c r="AD403">
        <f t="shared" si="27"/>
        <v>1</v>
      </c>
    </row>
    <row r="404" spans="1:30" x14ac:dyDescent="0.3">
      <c r="A404">
        <v>402</v>
      </c>
      <c r="B404">
        <v>355</v>
      </c>
      <c r="C404">
        <v>13</v>
      </c>
      <c r="D404">
        <v>17.58802</v>
      </c>
      <c r="W404">
        <v>401</v>
      </c>
      <c r="X404">
        <v>351</v>
      </c>
      <c r="Y404">
        <v>17</v>
      </c>
      <c r="Z404">
        <v>20.517209999999999</v>
      </c>
      <c r="AA404">
        <f t="shared" si="24"/>
        <v>21</v>
      </c>
      <c r="AB404">
        <f t="shared" si="25"/>
        <v>1</v>
      </c>
      <c r="AC404">
        <f t="shared" si="26"/>
        <v>0</v>
      </c>
      <c r="AD404">
        <f t="shared" si="27"/>
        <v>0</v>
      </c>
    </row>
    <row r="405" spans="1:30" x14ac:dyDescent="0.3">
      <c r="A405">
        <v>403</v>
      </c>
      <c r="B405">
        <v>359</v>
      </c>
      <c r="C405">
        <v>87</v>
      </c>
      <c r="D405">
        <v>88.546509999999998</v>
      </c>
      <c r="W405">
        <v>402</v>
      </c>
      <c r="X405">
        <v>355</v>
      </c>
      <c r="Y405">
        <v>13</v>
      </c>
      <c r="Z405">
        <v>17.58802</v>
      </c>
      <c r="AA405">
        <f t="shared" si="24"/>
        <v>18</v>
      </c>
      <c r="AB405">
        <f t="shared" si="25"/>
        <v>1</v>
      </c>
      <c r="AC405">
        <f t="shared" si="26"/>
        <v>1</v>
      </c>
      <c r="AD405">
        <f t="shared" si="27"/>
        <v>0</v>
      </c>
    </row>
    <row r="406" spans="1:30" x14ac:dyDescent="0.3">
      <c r="A406">
        <v>404</v>
      </c>
      <c r="B406">
        <v>363</v>
      </c>
      <c r="C406">
        <v>15</v>
      </c>
      <c r="D406">
        <v>18.423159999999999</v>
      </c>
      <c r="W406">
        <v>403</v>
      </c>
      <c r="X406">
        <v>359</v>
      </c>
      <c r="Y406">
        <v>87</v>
      </c>
      <c r="Z406">
        <v>88.546509999999998</v>
      </c>
      <c r="AA406">
        <f t="shared" si="24"/>
        <v>89</v>
      </c>
      <c r="AB406">
        <f t="shared" si="25"/>
        <v>1</v>
      </c>
      <c r="AC406">
        <f t="shared" si="26"/>
        <v>0</v>
      </c>
      <c r="AD406">
        <f t="shared" si="27"/>
        <v>0</v>
      </c>
    </row>
    <row r="407" spans="1:30" x14ac:dyDescent="0.3">
      <c r="A407">
        <v>405</v>
      </c>
      <c r="B407">
        <v>367</v>
      </c>
      <c r="C407">
        <v>64</v>
      </c>
      <c r="D407">
        <v>52.153500000000001</v>
      </c>
      <c r="W407">
        <v>404</v>
      </c>
      <c r="X407">
        <v>363</v>
      </c>
      <c r="Y407">
        <v>15</v>
      </c>
      <c r="Z407">
        <v>18.423159999999999</v>
      </c>
      <c r="AA407">
        <f t="shared" si="24"/>
        <v>18</v>
      </c>
      <c r="AB407">
        <f t="shared" si="25"/>
        <v>1</v>
      </c>
      <c r="AC407">
        <f t="shared" si="26"/>
        <v>0</v>
      </c>
      <c r="AD407">
        <f t="shared" si="27"/>
        <v>0</v>
      </c>
    </row>
    <row r="408" spans="1:30" x14ac:dyDescent="0.3">
      <c r="A408">
        <v>406</v>
      </c>
      <c r="B408">
        <v>369</v>
      </c>
      <c r="C408">
        <v>17</v>
      </c>
      <c r="D408">
        <v>12.45345</v>
      </c>
      <c r="W408">
        <v>405</v>
      </c>
      <c r="X408">
        <v>367</v>
      </c>
      <c r="Y408">
        <v>64</v>
      </c>
      <c r="Z408">
        <v>52.153500000000001</v>
      </c>
      <c r="AA408">
        <f t="shared" si="24"/>
        <v>52</v>
      </c>
      <c r="AB408">
        <f t="shared" si="25"/>
        <v>1</v>
      </c>
      <c r="AC408">
        <f t="shared" si="26"/>
        <v>1</v>
      </c>
      <c r="AD408">
        <f t="shared" si="27"/>
        <v>1</v>
      </c>
    </row>
    <row r="409" spans="1:30" x14ac:dyDescent="0.3">
      <c r="A409">
        <v>407</v>
      </c>
      <c r="B409">
        <v>370</v>
      </c>
      <c r="C409">
        <v>26</v>
      </c>
      <c r="D409">
        <v>28.819739999999999</v>
      </c>
      <c r="W409">
        <v>406</v>
      </c>
      <c r="X409">
        <v>369</v>
      </c>
      <c r="Y409">
        <v>17</v>
      </c>
      <c r="Z409">
        <v>12.45345</v>
      </c>
      <c r="AA409">
        <f t="shared" si="24"/>
        <v>12</v>
      </c>
      <c r="AB409">
        <f t="shared" si="25"/>
        <v>1</v>
      </c>
      <c r="AC409">
        <f t="shared" si="26"/>
        <v>1</v>
      </c>
      <c r="AD409">
        <f t="shared" si="27"/>
        <v>0</v>
      </c>
    </row>
    <row r="410" spans="1:30" x14ac:dyDescent="0.3">
      <c r="A410">
        <v>408</v>
      </c>
      <c r="B410">
        <v>371</v>
      </c>
      <c r="C410">
        <v>11</v>
      </c>
      <c r="D410">
        <v>5.5451100000000002</v>
      </c>
      <c r="W410">
        <v>407</v>
      </c>
      <c r="X410">
        <v>370</v>
      </c>
      <c r="Y410">
        <v>26</v>
      </c>
      <c r="Z410">
        <v>28.819739999999999</v>
      </c>
      <c r="AA410">
        <f t="shared" si="24"/>
        <v>29</v>
      </c>
      <c r="AB410">
        <f t="shared" si="25"/>
        <v>1</v>
      </c>
      <c r="AC410">
        <f t="shared" si="26"/>
        <v>0</v>
      </c>
      <c r="AD410">
        <f t="shared" si="27"/>
        <v>0</v>
      </c>
    </row>
    <row r="411" spans="1:30" x14ac:dyDescent="0.3">
      <c r="A411">
        <v>409</v>
      </c>
      <c r="B411">
        <v>381</v>
      </c>
      <c r="C411">
        <v>147</v>
      </c>
      <c r="D411">
        <v>147.20634000000001</v>
      </c>
      <c r="W411">
        <v>408</v>
      </c>
      <c r="X411">
        <v>371</v>
      </c>
      <c r="Y411">
        <v>11</v>
      </c>
      <c r="Z411">
        <v>5.5451100000000002</v>
      </c>
      <c r="AA411">
        <f t="shared" si="24"/>
        <v>6</v>
      </c>
      <c r="AB411">
        <f t="shared" si="25"/>
        <v>1</v>
      </c>
      <c r="AC411">
        <f t="shared" si="26"/>
        <v>1</v>
      </c>
      <c r="AD411">
        <f t="shared" si="27"/>
        <v>0</v>
      </c>
    </row>
    <row r="412" spans="1:30" x14ac:dyDescent="0.3">
      <c r="A412">
        <v>410</v>
      </c>
      <c r="B412">
        <v>388</v>
      </c>
      <c r="C412">
        <v>10</v>
      </c>
      <c r="D412">
        <v>0.10829999999999999</v>
      </c>
      <c r="W412">
        <v>409</v>
      </c>
      <c r="X412">
        <v>381</v>
      </c>
      <c r="Y412">
        <v>147</v>
      </c>
      <c r="Z412">
        <v>147.20634000000001</v>
      </c>
      <c r="AA412">
        <f t="shared" si="24"/>
        <v>147</v>
      </c>
      <c r="AB412">
        <f t="shared" si="25"/>
        <v>0</v>
      </c>
      <c r="AC412">
        <f t="shared" si="26"/>
        <v>0</v>
      </c>
      <c r="AD412">
        <f t="shared" si="27"/>
        <v>0</v>
      </c>
    </row>
    <row r="413" spans="1:30" x14ac:dyDescent="0.3">
      <c r="A413">
        <v>411</v>
      </c>
      <c r="B413">
        <v>394</v>
      </c>
      <c r="C413">
        <v>198</v>
      </c>
      <c r="D413">
        <v>210.48703</v>
      </c>
      <c r="W413">
        <v>410</v>
      </c>
      <c r="X413">
        <v>388</v>
      </c>
      <c r="Y413">
        <v>10</v>
      </c>
      <c r="Z413">
        <v>0.10829999999999999</v>
      </c>
      <c r="AA413">
        <f t="shared" si="24"/>
        <v>0</v>
      </c>
      <c r="AB413">
        <f t="shared" si="25"/>
        <v>1</v>
      </c>
      <c r="AC413">
        <f t="shared" si="26"/>
        <v>1</v>
      </c>
      <c r="AD413">
        <f t="shared" si="27"/>
        <v>1</v>
      </c>
    </row>
    <row r="414" spans="1:30" x14ac:dyDescent="0.3">
      <c r="A414">
        <v>412</v>
      </c>
      <c r="B414">
        <v>395</v>
      </c>
      <c r="C414">
        <v>204</v>
      </c>
      <c r="D414">
        <v>204.49894</v>
      </c>
      <c r="W414">
        <v>411</v>
      </c>
      <c r="X414">
        <v>394</v>
      </c>
      <c r="Y414">
        <v>198</v>
      </c>
      <c r="Z414">
        <v>210.48703</v>
      </c>
      <c r="AA414">
        <f t="shared" si="24"/>
        <v>210</v>
      </c>
      <c r="AB414">
        <f t="shared" si="25"/>
        <v>1</v>
      </c>
      <c r="AC414">
        <f t="shared" si="26"/>
        <v>1</v>
      </c>
      <c r="AD414">
        <f t="shared" si="27"/>
        <v>1</v>
      </c>
    </row>
    <row r="415" spans="1:30" x14ac:dyDescent="0.3">
      <c r="A415">
        <v>413</v>
      </c>
      <c r="B415">
        <v>406</v>
      </c>
      <c r="C415">
        <v>67</v>
      </c>
      <c r="D415">
        <v>46.558529999999998</v>
      </c>
      <c r="W415">
        <v>412</v>
      </c>
      <c r="X415">
        <v>395</v>
      </c>
      <c r="Y415">
        <v>204</v>
      </c>
      <c r="Z415">
        <v>204.49894</v>
      </c>
      <c r="AA415">
        <f t="shared" si="24"/>
        <v>204</v>
      </c>
      <c r="AB415">
        <f t="shared" si="25"/>
        <v>0</v>
      </c>
      <c r="AC415">
        <f t="shared" si="26"/>
        <v>0</v>
      </c>
      <c r="AD415">
        <f t="shared" si="27"/>
        <v>0</v>
      </c>
    </row>
    <row r="416" spans="1:30" x14ac:dyDescent="0.3">
      <c r="A416">
        <v>414</v>
      </c>
      <c r="B416">
        <v>411</v>
      </c>
      <c r="C416">
        <v>98</v>
      </c>
      <c r="D416">
        <v>83.101039999999998</v>
      </c>
      <c r="W416">
        <v>413</v>
      </c>
      <c r="X416">
        <v>406</v>
      </c>
      <c r="Y416">
        <v>67</v>
      </c>
      <c r="Z416">
        <v>46.558529999999998</v>
      </c>
      <c r="AA416">
        <f t="shared" si="24"/>
        <v>47</v>
      </c>
      <c r="AB416">
        <f t="shared" si="25"/>
        <v>1</v>
      </c>
      <c r="AC416">
        <f t="shared" si="26"/>
        <v>1</v>
      </c>
      <c r="AD416">
        <f t="shared" si="27"/>
        <v>1</v>
      </c>
    </row>
    <row r="417" spans="1:30" x14ac:dyDescent="0.3">
      <c r="A417">
        <v>415</v>
      </c>
      <c r="B417">
        <v>412</v>
      </c>
      <c r="C417">
        <v>96</v>
      </c>
      <c r="D417">
        <v>96.395030000000006</v>
      </c>
      <c r="W417">
        <v>414</v>
      </c>
      <c r="X417">
        <v>411</v>
      </c>
      <c r="Y417">
        <v>98</v>
      </c>
      <c r="Z417">
        <v>83.101039999999998</v>
      </c>
      <c r="AA417">
        <f t="shared" si="24"/>
        <v>83</v>
      </c>
      <c r="AB417">
        <f t="shared" si="25"/>
        <v>1</v>
      </c>
      <c r="AC417">
        <f t="shared" si="26"/>
        <v>1</v>
      </c>
      <c r="AD417">
        <f t="shared" si="27"/>
        <v>1</v>
      </c>
    </row>
    <row r="418" spans="1:30" x14ac:dyDescent="0.3">
      <c r="A418">
        <v>416</v>
      </c>
      <c r="B418">
        <v>416</v>
      </c>
      <c r="C418">
        <v>6</v>
      </c>
      <c r="D418">
        <v>6.1459599999999996</v>
      </c>
      <c r="W418">
        <v>415</v>
      </c>
      <c r="X418">
        <v>412</v>
      </c>
      <c r="Y418">
        <v>96</v>
      </c>
      <c r="Z418">
        <v>96.395030000000006</v>
      </c>
      <c r="AA418">
        <f t="shared" si="24"/>
        <v>96</v>
      </c>
      <c r="AB418">
        <f t="shared" si="25"/>
        <v>0</v>
      </c>
      <c r="AC418">
        <f t="shared" si="26"/>
        <v>0</v>
      </c>
      <c r="AD418">
        <f t="shared" si="27"/>
        <v>0</v>
      </c>
    </row>
    <row r="419" spans="1:30" x14ac:dyDescent="0.3">
      <c r="W419">
        <v>416</v>
      </c>
      <c r="X419">
        <v>416</v>
      </c>
      <c r="Y419">
        <v>6</v>
      </c>
      <c r="Z419">
        <v>6.1459599999999996</v>
      </c>
      <c r="AA419">
        <f t="shared" si="24"/>
        <v>6</v>
      </c>
      <c r="AB419">
        <f t="shared" si="25"/>
        <v>0</v>
      </c>
      <c r="AC419">
        <f t="shared" si="26"/>
        <v>0</v>
      </c>
      <c r="AD419">
        <f t="shared" si="27"/>
        <v>0</v>
      </c>
    </row>
    <row r="420" spans="1:30" x14ac:dyDescent="0.3">
      <c r="AA420">
        <f t="shared" si="24"/>
        <v>0</v>
      </c>
      <c r="AB420">
        <f t="shared" si="25"/>
        <v>0</v>
      </c>
      <c r="AC420">
        <f t="shared" si="26"/>
        <v>0</v>
      </c>
      <c r="AD420">
        <f t="shared" si="27"/>
        <v>0</v>
      </c>
    </row>
    <row r="421" spans="1:30" x14ac:dyDescent="0.3">
      <c r="AA421">
        <f t="shared" si="24"/>
        <v>0</v>
      </c>
      <c r="AB421">
        <f t="shared" si="25"/>
        <v>0</v>
      </c>
      <c r="AC421">
        <f t="shared" si="26"/>
        <v>0</v>
      </c>
      <c r="AD421">
        <f t="shared" si="27"/>
        <v>0</v>
      </c>
    </row>
    <row r="422" spans="1:30" x14ac:dyDescent="0.3">
      <c r="AA422">
        <f t="shared" si="24"/>
        <v>0</v>
      </c>
      <c r="AB422">
        <f t="shared" si="25"/>
        <v>0</v>
      </c>
      <c r="AC422">
        <f t="shared" si="26"/>
        <v>0</v>
      </c>
      <c r="AD422">
        <f t="shared" si="27"/>
        <v>0</v>
      </c>
    </row>
    <row r="423" spans="1:30" x14ac:dyDescent="0.3">
      <c r="AA423">
        <f t="shared" si="24"/>
        <v>0</v>
      </c>
      <c r="AB423">
        <f t="shared" si="25"/>
        <v>0</v>
      </c>
      <c r="AC423">
        <f t="shared" si="26"/>
        <v>0</v>
      </c>
      <c r="AD423">
        <f t="shared" si="27"/>
        <v>0</v>
      </c>
    </row>
    <row r="424" spans="1:30" x14ac:dyDescent="0.3">
      <c r="AA424">
        <f t="shared" si="24"/>
        <v>0</v>
      </c>
      <c r="AB424">
        <f t="shared" si="25"/>
        <v>0</v>
      </c>
      <c r="AC424">
        <f t="shared" si="26"/>
        <v>0</v>
      </c>
      <c r="AD424">
        <f t="shared" si="27"/>
        <v>0</v>
      </c>
    </row>
    <row r="425" spans="1:30" x14ac:dyDescent="0.3">
      <c r="AA425">
        <f t="shared" si="24"/>
        <v>0</v>
      </c>
      <c r="AB425">
        <f t="shared" si="25"/>
        <v>0</v>
      </c>
      <c r="AC425">
        <f t="shared" si="26"/>
        <v>0</v>
      </c>
      <c r="AD425">
        <f t="shared" si="27"/>
        <v>0</v>
      </c>
    </row>
    <row r="426" spans="1:30" x14ac:dyDescent="0.3">
      <c r="AA426">
        <f t="shared" si="24"/>
        <v>0</v>
      </c>
      <c r="AB426">
        <f t="shared" si="25"/>
        <v>0</v>
      </c>
      <c r="AC426">
        <f t="shared" si="26"/>
        <v>0</v>
      </c>
      <c r="AD426">
        <f t="shared" si="27"/>
        <v>0</v>
      </c>
    </row>
    <row r="427" spans="1:30" x14ac:dyDescent="0.3">
      <c r="AA427">
        <f t="shared" si="24"/>
        <v>0</v>
      </c>
      <c r="AB427">
        <f t="shared" si="25"/>
        <v>0</v>
      </c>
      <c r="AC427">
        <f t="shared" si="26"/>
        <v>0</v>
      </c>
      <c r="AD427">
        <f t="shared" si="27"/>
        <v>0</v>
      </c>
    </row>
    <row r="428" spans="1:30" x14ac:dyDescent="0.3">
      <c r="AA428">
        <f t="shared" si="24"/>
        <v>0</v>
      </c>
      <c r="AB428">
        <f t="shared" si="25"/>
        <v>0</v>
      </c>
      <c r="AC428">
        <f t="shared" si="26"/>
        <v>0</v>
      </c>
      <c r="AD428">
        <f t="shared" si="27"/>
        <v>0</v>
      </c>
    </row>
    <row r="429" spans="1:30" x14ac:dyDescent="0.3">
      <c r="AA429">
        <f t="shared" si="24"/>
        <v>0</v>
      </c>
      <c r="AB429">
        <f t="shared" si="25"/>
        <v>0</v>
      </c>
      <c r="AC429">
        <f t="shared" si="26"/>
        <v>0</v>
      </c>
      <c r="AD429">
        <f t="shared" si="27"/>
        <v>0</v>
      </c>
    </row>
    <row r="430" spans="1:30" x14ac:dyDescent="0.3">
      <c r="AA430">
        <f t="shared" si="24"/>
        <v>0</v>
      </c>
      <c r="AB430">
        <f t="shared" si="25"/>
        <v>0</v>
      </c>
      <c r="AC430">
        <f t="shared" si="26"/>
        <v>0</v>
      </c>
      <c r="AD430">
        <f t="shared" si="27"/>
        <v>0</v>
      </c>
    </row>
    <row r="431" spans="1:30" x14ac:dyDescent="0.3">
      <c r="AA431">
        <f t="shared" si="24"/>
        <v>0</v>
      </c>
      <c r="AB431">
        <f t="shared" si="25"/>
        <v>0</v>
      </c>
      <c r="AC431">
        <f t="shared" si="26"/>
        <v>0</v>
      </c>
      <c r="AD431">
        <f t="shared" si="27"/>
        <v>0</v>
      </c>
    </row>
    <row r="432" spans="1:30" x14ac:dyDescent="0.3">
      <c r="AA432">
        <f t="shared" si="24"/>
        <v>0</v>
      </c>
      <c r="AB432">
        <f t="shared" si="25"/>
        <v>0</v>
      </c>
      <c r="AC432">
        <f t="shared" si="26"/>
        <v>0</v>
      </c>
      <c r="AD432">
        <f t="shared" si="27"/>
        <v>0</v>
      </c>
    </row>
    <row r="433" spans="27:30" x14ac:dyDescent="0.3">
      <c r="AA433">
        <f t="shared" si="24"/>
        <v>0</v>
      </c>
      <c r="AB433">
        <f t="shared" si="25"/>
        <v>0</v>
      </c>
      <c r="AC433">
        <f t="shared" si="26"/>
        <v>0</v>
      </c>
      <c r="AD433">
        <f t="shared" si="27"/>
        <v>0</v>
      </c>
    </row>
    <row r="434" spans="27:30" x14ac:dyDescent="0.3">
      <c r="AA434">
        <f t="shared" si="24"/>
        <v>0</v>
      </c>
      <c r="AB434">
        <f t="shared" si="25"/>
        <v>0</v>
      </c>
      <c r="AC434">
        <f t="shared" si="26"/>
        <v>0</v>
      </c>
      <c r="AD434">
        <f t="shared" si="27"/>
        <v>0</v>
      </c>
    </row>
    <row r="435" spans="27:30" x14ac:dyDescent="0.3">
      <c r="AA435">
        <f t="shared" si="24"/>
        <v>0</v>
      </c>
      <c r="AB435">
        <f t="shared" si="25"/>
        <v>0</v>
      </c>
      <c r="AC435">
        <f t="shared" si="26"/>
        <v>0</v>
      </c>
      <c r="AD435">
        <f t="shared" si="27"/>
        <v>0</v>
      </c>
    </row>
    <row r="436" spans="27:30" x14ac:dyDescent="0.3">
      <c r="AA436">
        <f t="shared" si="24"/>
        <v>0</v>
      </c>
      <c r="AB436">
        <f t="shared" si="25"/>
        <v>0</v>
      </c>
      <c r="AC436">
        <f t="shared" si="26"/>
        <v>0</v>
      </c>
      <c r="AD436">
        <f t="shared" si="27"/>
        <v>0</v>
      </c>
    </row>
    <row r="437" spans="27:30" x14ac:dyDescent="0.3">
      <c r="AA437">
        <f t="shared" si="24"/>
        <v>0</v>
      </c>
      <c r="AB437">
        <f t="shared" si="25"/>
        <v>0</v>
      </c>
      <c r="AC437">
        <f t="shared" si="26"/>
        <v>0</v>
      </c>
      <c r="AD437">
        <f t="shared" si="27"/>
        <v>0</v>
      </c>
    </row>
    <row r="438" spans="27:30" x14ac:dyDescent="0.3">
      <c r="AA438">
        <f t="shared" si="24"/>
        <v>0</v>
      </c>
      <c r="AB438">
        <f t="shared" si="25"/>
        <v>0</v>
      </c>
      <c r="AC438">
        <f t="shared" si="26"/>
        <v>0</v>
      </c>
      <c r="AD438">
        <f t="shared" si="27"/>
        <v>0</v>
      </c>
    </row>
    <row r="439" spans="27:30" x14ac:dyDescent="0.3">
      <c r="AA439">
        <f t="shared" si="24"/>
        <v>0</v>
      </c>
      <c r="AB439">
        <f t="shared" si="25"/>
        <v>0</v>
      </c>
      <c r="AC439">
        <f t="shared" si="26"/>
        <v>0</v>
      </c>
      <c r="AD439">
        <f t="shared" si="27"/>
        <v>0</v>
      </c>
    </row>
    <row r="440" spans="27:30" x14ac:dyDescent="0.3">
      <c r="AA440">
        <f t="shared" si="24"/>
        <v>0</v>
      </c>
      <c r="AB440">
        <f t="shared" si="25"/>
        <v>0</v>
      </c>
      <c r="AC440">
        <f t="shared" si="26"/>
        <v>0</v>
      </c>
      <c r="AD440">
        <f t="shared" si="27"/>
        <v>0</v>
      </c>
    </row>
    <row r="441" spans="27:30" x14ac:dyDescent="0.3">
      <c r="AA441">
        <f t="shared" si="24"/>
        <v>0</v>
      </c>
      <c r="AB441">
        <f t="shared" si="25"/>
        <v>0</v>
      </c>
      <c r="AC441">
        <f t="shared" si="26"/>
        <v>0</v>
      </c>
      <c r="AD441">
        <f t="shared" si="27"/>
        <v>0</v>
      </c>
    </row>
    <row r="442" spans="27:30" x14ac:dyDescent="0.3">
      <c r="AA442">
        <f t="shared" si="24"/>
        <v>0</v>
      </c>
      <c r="AB442">
        <f t="shared" si="25"/>
        <v>0</v>
      </c>
      <c r="AC442">
        <f t="shared" si="26"/>
        <v>0</v>
      </c>
      <c r="AD442">
        <f t="shared" si="27"/>
        <v>0</v>
      </c>
    </row>
    <row r="443" spans="27:30" x14ac:dyDescent="0.3">
      <c r="AA443">
        <f t="shared" si="24"/>
        <v>0</v>
      </c>
      <c r="AB443">
        <f t="shared" si="25"/>
        <v>0</v>
      </c>
      <c r="AC443">
        <f t="shared" si="26"/>
        <v>0</v>
      </c>
      <c r="AD443">
        <f t="shared" si="27"/>
        <v>0</v>
      </c>
    </row>
    <row r="444" spans="27:30" x14ac:dyDescent="0.3">
      <c r="AA444">
        <f t="shared" si="24"/>
        <v>0</v>
      </c>
      <c r="AB444">
        <f t="shared" si="25"/>
        <v>0</v>
      </c>
      <c r="AC444">
        <f t="shared" si="26"/>
        <v>0</v>
      </c>
      <c r="AD444">
        <f t="shared" si="27"/>
        <v>0</v>
      </c>
    </row>
    <row r="445" spans="27:30" x14ac:dyDescent="0.3">
      <c r="AA445">
        <f t="shared" si="24"/>
        <v>0</v>
      </c>
      <c r="AB445">
        <f t="shared" si="25"/>
        <v>0</v>
      </c>
      <c r="AC445">
        <f t="shared" si="26"/>
        <v>0</v>
      </c>
      <c r="AD445">
        <f t="shared" si="27"/>
        <v>0</v>
      </c>
    </row>
    <row r="446" spans="27:30" x14ac:dyDescent="0.3">
      <c r="AA446">
        <f t="shared" si="24"/>
        <v>0</v>
      </c>
      <c r="AB446">
        <f t="shared" si="25"/>
        <v>0</v>
      </c>
      <c r="AC446">
        <f t="shared" si="26"/>
        <v>0</v>
      </c>
      <c r="AD446">
        <f t="shared" si="27"/>
        <v>0</v>
      </c>
    </row>
    <row r="447" spans="27:30" x14ac:dyDescent="0.3">
      <c r="AA447">
        <f t="shared" si="24"/>
        <v>0</v>
      </c>
      <c r="AB447">
        <f t="shared" si="25"/>
        <v>0</v>
      </c>
      <c r="AC447">
        <f t="shared" si="26"/>
        <v>0</v>
      </c>
      <c r="AD447">
        <f t="shared" si="27"/>
        <v>0</v>
      </c>
    </row>
    <row r="448" spans="27:30" x14ac:dyDescent="0.3">
      <c r="AA448">
        <f t="shared" si="24"/>
        <v>0</v>
      </c>
      <c r="AB448">
        <f t="shared" si="25"/>
        <v>0</v>
      </c>
      <c r="AC448">
        <f t="shared" si="26"/>
        <v>0</v>
      </c>
      <c r="AD448">
        <f t="shared" si="27"/>
        <v>0</v>
      </c>
    </row>
    <row r="449" spans="27:30" x14ac:dyDescent="0.3">
      <c r="AA449">
        <f t="shared" si="24"/>
        <v>0</v>
      </c>
      <c r="AB449">
        <f t="shared" si="25"/>
        <v>0</v>
      </c>
      <c r="AC449">
        <f t="shared" si="26"/>
        <v>0</v>
      </c>
      <c r="AD449">
        <f t="shared" si="27"/>
        <v>0</v>
      </c>
    </row>
    <row r="450" spans="27:30" x14ac:dyDescent="0.3">
      <c r="AA450">
        <f t="shared" si="24"/>
        <v>0</v>
      </c>
      <c r="AB450">
        <f t="shared" si="25"/>
        <v>0</v>
      </c>
      <c r="AC450">
        <f t="shared" si="26"/>
        <v>0</v>
      </c>
      <c r="AD450">
        <f t="shared" si="27"/>
        <v>0</v>
      </c>
    </row>
    <row r="451" spans="27:30" x14ac:dyDescent="0.3">
      <c r="AA451">
        <f t="shared" si="24"/>
        <v>0</v>
      </c>
      <c r="AB451">
        <f t="shared" si="25"/>
        <v>0</v>
      </c>
      <c r="AC451">
        <f t="shared" si="26"/>
        <v>0</v>
      </c>
      <c r="AD451">
        <f t="shared" si="27"/>
        <v>0</v>
      </c>
    </row>
    <row r="452" spans="27:30" x14ac:dyDescent="0.3">
      <c r="AA452">
        <f t="shared" si="24"/>
        <v>0</v>
      </c>
      <c r="AB452">
        <f t="shared" si="25"/>
        <v>0</v>
      </c>
      <c r="AC452">
        <f t="shared" si="26"/>
        <v>0</v>
      </c>
      <c r="AD452">
        <f t="shared" si="27"/>
        <v>0</v>
      </c>
    </row>
    <row r="453" spans="27:30" x14ac:dyDescent="0.3">
      <c r="AA453">
        <f t="shared" ref="AA453:AA516" si="28">ROUND(Z453,0)</f>
        <v>0</v>
      </c>
      <c r="AB453">
        <f t="shared" ref="AB453:AB516" si="29">IF(AA453=Y453,0,1)</f>
        <v>0</v>
      </c>
      <c r="AC453">
        <f t="shared" ref="AC453:AC516" si="30">IF(AA453&lt;Y453+5,IF(AA453&gt;Y453-5,0,1),1)</f>
        <v>0</v>
      </c>
      <c r="AD453">
        <f t="shared" ref="AD453:AD516" si="31">IF(AA453&lt;Y453+10,IF(AA453&gt;Y453-10,0,1),1)</f>
        <v>0</v>
      </c>
    </row>
    <row r="454" spans="27:30" x14ac:dyDescent="0.3">
      <c r="AA454">
        <f t="shared" si="28"/>
        <v>0</v>
      </c>
      <c r="AB454">
        <f t="shared" si="29"/>
        <v>0</v>
      </c>
      <c r="AC454">
        <f t="shared" si="30"/>
        <v>0</v>
      </c>
      <c r="AD454">
        <f t="shared" si="31"/>
        <v>0</v>
      </c>
    </row>
    <row r="455" spans="27:30" x14ac:dyDescent="0.3">
      <c r="AA455">
        <f t="shared" si="28"/>
        <v>0</v>
      </c>
      <c r="AB455">
        <f t="shared" si="29"/>
        <v>0</v>
      </c>
      <c r="AC455">
        <f t="shared" si="30"/>
        <v>0</v>
      </c>
      <c r="AD455">
        <f t="shared" si="31"/>
        <v>0</v>
      </c>
    </row>
    <row r="456" spans="27:30" x14ac:dyDescent="0.3">
      <c r="AA456">
        <f t="shared" si="28"/>
        <v>0</v>
      </c>
      <c r="AB456">
        <f t="shared" si="29"/>
        <v>0</v>
      </c>
      <c r="AC456">
        <f t="shared" si="30"/>
        <v>0</v>
      </c>
      <c r="AD456">
        <f t="shared" si="31"/>
        <v>0</v>
      </c>
    </row>
    <row r="457" spans="27:30" x14ac:dyDescent="0.3">
      <c r="AA457">
        <f t="shared" si="28"/>
        <v>0</v>
      </c>
      <c r="AB457">
        <f t="shared" si="29"/>
        <v>0</v>
      </c>
      <c r="AC457">
        <f t="shared" si="30"/>
        <v>0</v>
      </c>
      <c r="AD457">
        <f t="shared" si="31"/>
        <v>0</v>
      </c>
    </row>
    <row r="458" spans="27:30" x14ac:dyDescent="0.3">
      <c r="AA458">
        <f t="shared" si="28"/>
        <v>0</v>
      </c>
      <c r="AB458">
        <f t="shared" si="29"/>
        <v>0</v>
      </c>
      <c r="AC458">
        <f t="shared" si="30"/>
        <v>0</v>
      </c>
      <c r="AD458">
        <f t="shared" si="31"/>
        <v>0</v>
      </c>
    </row>
    <row r="459" spans="27:30" x14ac:dyDescent="0.3">
      <c r="AA459">
        <f t="shared" si="28"/>
        <v>0</v>
      </c>
      <c r="AB459">
        <f t="shared" si="29"/>
        <v>0</v>
      </c>
      <c r="AC459">
        <f t="shared" si="30"/>
        <v>0</v>
      </c>
      <c r="AD459">
        <f t="shared" si="31"/>
        <v>0</v>
      </c>
    </row>
    <row r="460" spans="27:30" x14ac:dyDescent="0.3">
      <c r="AA460">
        <f t="shared" si="28"/>
        <v>0</v>
      </c>
      <c r="AB460">
        <f t="shared" si="29"/>
        <v>0</v>
      </c>
      <c r="AC460">
        <f t="shared" si="30"/>
        <v>0</v>
      </c>
      <c r="AD460">
        <f t="shared" si="31"/>
        <v>0</v>
      </c>
    </row>
    <row r="461" spans="27:30" x14ac:dyDescent="0.3">
      <c r="AA461">
        <f t="shared" si="28"/>
        <v>0</v>
      </c>
      <c r="AB461">
        <f t="shared" si="29"/>
        <v>0</v>
      </c>
      <c r="AC461">
        <f t="shared" si="30"/>
        <v>0</v>
      </c>
      <c r="AD461">
        <f t="shared" si="31"/>
        <v>0</v>
      </c>
    </row>
    <row r="462" spans="27:30" x14ac:dyDescent="0.3">
      <c r="AA462">
        <f t="shared" si="28"/>
        <v>0</v>
      </c>
      <c r="AB462">
        <f t="shared" si="29"/>
        <v>0</v>
      </c>
      <c r="AC462">
        <f t="shared" si="30"/>
        <v>0</v>
      </c>
      <c r="AD462">
        <f t="shared" si="31"/>
        <v>0</v>
      </c>
    </row>
    <row r="463" spans="27:30" x14ac:dyDescent="0.3">
      <c r="AA463">
        <f t="shared" si="28"/>
        <v>0</v>
      </c>
      <c r="AB463">
        <f t="shared" si="29"/>
        <v>0</v>
      </c>
      <c r="AC463">
        <f t="shared" si="30"/>
        <v>0</v>
      </c>
      <c r="AD463">
        <f t="shared" si="31"/>
        <v>0</v>
      </c>
    </row>
    <row r="464" spans="27:30" x14ac:dyDescent="0.3">
      <c r="AA464">
        <f t="shared" si="28"/>
        <v>0</v>
      </c>
      <c r="AB464">
        <f t="shared" si="29"/>
        <v>0</v>
      </c>
      <c r="AC464">
        <f t="shared" si="30"/>
        <v>0</v>
      </c>
      <c r="AD464">
        <f t="shared" si="31"/>
        <v>0</v>
      </c>
    </row>
    <row r="465" spans="27:30" x14ac:dyDescent="0.3">
      <c r="AA465">
        <f t="shared" si="28"/>
        <v>0</v>
      </c>
      <c r="AB465">
        <f t="shared" si="29"/>
        <v>0</v>
      </c>
      <c r="AC465">
        <f t="shared" si="30"/>
        <v>0</v>
      </c>
      <c r="AD465">
        <f t="shared" si="31"/>
        <v>0</v>
      </c>
    </row>
    <row r="466" spans="27:30" x14ac:dyDescent="0.3">
      <c r="AA466">
        <f t="shared" si="28"/>
        <v>0</v>
      </c>
      <c r="AB466">
        <f t="shared" si="29"/>
        <v>0</v>
      </c>
      <c r="AC466">
        <f t="shared" si="30"/>
        <v>0</v>
      </c>
      <c r="AD466">
        <f t="shared" si="31"/>
        <v>0</v>
      </c>
    </row>
    <row r="467" spans="27:30" x14ac:dyDescent="0.3">
      <c r="AA467">
        <f t="shared" si="28"/>
        <v>0</v>
      </c>
      <c r="AB467">
        <f t="shared" si="29"/>
        <v>0</v>
      </c>
      <c r="AC467">
        <f t="shared" si="30"/>
        <v>0</v>
      </c>
      <c r="AD467">
        <f t="shared" si="31"/>
        <v>0</v>
      </c>
    </row>
    <row r="468" spans="27:30" x14ac:dyDescent="0.3">
      <c r="AA468">
        <f t="shared" si="28"/>
        <v>0</v>
      </c>
      <c r="AB468">
        <f t="shared" si="29"/>
        <v>0</v>
      </c>
      <c r="AC468">
        <f t="shared" si="30"/>
        <v>0</v>
      </c>
      <c r="AD468">
        <f t="shared" si="31"/>
        <v>0</v>
      </c>
    </row>
    <row r="469" spans="27:30" x14ac:dyDescent="0.3">
      <c r="AA469">
        <f t="shared" si="28"/>
        <v>0</v>
      </c>
      <c r="AB469">
        <f t="shared" si="29"/>
        <v>0</v>
      </c>
      <c r="AC469">
        <f t="shared" si="30"/>
        <v>0</v>
      </c>
      <c r="AD469">
        <f t="shared" si="31"/>
        <v>0</v>
      </c>
    </row>
    <row r="470" spans="27:30" x14ac:dyDescent="0.3">
      <c r="AA470">
        <f t="shared" si="28"/>
        <v>0</v>
      </c>
      <c r="AB470">
        <f t="shared" si="29"/>
        <v>0</v>
      </c>
      <c r="AC470">
        <f t="shared" si="30"/>
        <v>0</v>
      </c>
      <c r="AD470">
        <f t="shared" si="31"/>
        <v>0</v>
      </c>
    </row>
    <row r="471" spans="27:30" x14ac:dyDescent="0.3">
      <c r="AA471">
        <f t="shared" si="28"/>
        <v>0</v>
      </c>
      <c r="AB471">
        <f t="shared" si="29"/>
        <v>0</v>
      </c>
      <c r="AC471">
        <f t="shared" si="30"/>
        <v>0</v>
      </c>
      <c r="AD471">
        <f t="shared" si="31"/>
        <v>0</v>
      </c>
    </row>
    <row r="472" spans="27:30" x14ac:dyDescent="0.3">
      <c r="AA472">
        <f t="shared" si="28"/>
        <v>0</v>
      </c>
      <c r="AB472">
        <f t="shared" si="29"/>
        <v>0</v>
      </c>
      <c r="AC472">
        <f t="shared" si="30"/>
        <v>0</v>
      </c>
      <c r="AD472">
        <f t="shared" si="31"/>
        <v>0</v>
      </c>
    </row>
    <row r="473" spans="27:30" x14ac:dyDescent="0.3">
      <c r="AA473">
        <f t="shared" si="28"/>
        <v>0</v>
      </c>
      <c r="AB473">
        <f t="shared" si="29"/>
        <v>0</v>
      </c>
      <c r="AC473">
        <f t="shared" si="30"/>
        <v>0</v>
      </c>
      <c r="AD473">
        <f t="shared" si="31"/>
        <v>0</v>
      </c>
    </row>
    <row r="474" spans="27:30" x14ac:dyDescent="0.3">
      <c r="AA474">
        <f t="shared" si="28"/>
        <v>0</v>
      </c>
      <c r="AB474">
        <f t="shared" si="29"/>
        <v>0</v>
      </c>
      <c r="AC474">
        <f t="shared" si="30"/>
        <v>0</v>
      </c>
      <c r="AD474">
        <f t="shared" si="31"/>
        <v>0</v>
      </c>
    </row>
    <row r="475" spans="27:30" x14ac:dyDescent="0.3">
      <c r="AA475">
        <f t="shared" si="28"/>
        <v>0</v>
      </c>
      <c r="AB475">
        <f t="shared" si="29"/>
        <v>0</v>
      </c>
      <c r="AC475">
        <f t="shared" si="30"/>
        <v>0</v>
      </c>
      <c r="AD475">
        <f t="shared" si="31"/>
        <v>0</v>
      </c>
    </row>
    <row r="476" spans="27:30" x14ac:dyDescent="0.3">
      <c r="AA476">
        <f t="shared" si="28"/>
        <v>0</v>
      </c>
      <c r="AB476">
        <f t="shared" si="29"/>
        <v>0</v>
      </c>
      <c r="AC476">
        <f t="shared" si="30"/>
        <v>0</v>
      </c>
      <c r="AD476">
        <f t="shared" si="31"/>
        <v>0</v>
      </c>
    </row>
    <row r="477" spans="27:30" x14ac:dyDescent="0.3">
      <c r="AA477">
        <f t="shared" si="28"/>
        <v>0</v>
      </c>
      <c r="AB477">
        <f t="shared" si="29"/>
        <v>0</v>
      </c>
      <c r="AC477">
        <f t="shared" si="30"/>
        <v>0</v>
      </c>
      <c r="AD477">
        <f t="shared" si="31"/>
        <v>0</v>
      </c>
    </row>
    <row r="478" spans="27:30" x14ac:dyDescent="0.3">
      <c r="AA478">
        <f t="shared" si="28"/>
        <v>0</v>
      </c>
      <c r="AB478">
        <f t="shared" si="29"/>
        <v>0</v>
      </c>
      <c r="AC478">
        <f t="shared" si="30"/>
        <v>0</v>
      </c>
      <c r="AD478">
        <f t="shared" si="31"/>
        <v>0</v>
      </c>
    </row>
    <row r="479" spans="27:30" x14ac:dyDescent="0.3">
      <c r="AA479">
        <f t="shared" si="28"/>
        <v>0</v>
      </c>
      <c r="AB479">
        <f t="shared" si="29"/>
        <v>0</v>
      </c>
      <c r="AC479">
        <f t="shared" si="30"/>
        <v>0</v>
      </c>
      <c r="AD479">
        <f t="shared" si="31"/>
        <v>0</v>
      </c>
    </row>
    <row r="480" spans="27:30" x14ac:dyDescent="0.3">
      <c r="AA480">
        <f t="shared" si="28"/>
        <v>0</v>
      </c>
      <c r="AB480">
        <f t="shared" si="29"/>
        <v>0</v>
      </c>
      <c r="AC480">
        <f t="shared" si="30"/>
        <v>0</v>
      </c>
      <c r="AD480">
        <f t="shared" si="31"/>
        <v>0</v>
      </c>
    </row>
    <row r="481" spans="27:30" x14ac:dyDescent="0.3">
      <c r="AA481">
        <f t="shared" si="28"/>
        <v>0</v>
      </c>
      <c r="AB481">
        <f t="shared" si="29"/>
        <v>0</v>
      </c>
      <c r="AC481">
        <f t="shared" si="30"/>
        <v>0</v>
      </c>
      <c r="AD481">
        <f t="shared" si="31"/>
        <v>0</v>
      </c>
    </row>
    <row r="482" spans="27:30" x14ac:dyDescent="0.3">
      <c r="AA482">
        <f t="shared" si="28"/>
        <v>0</v>
      </c>
      <c r="AB482">
        <f t="shared" si="29"/>
        <v>0</v>
      </c>
      <c r="AC482">
        <f t="shared" si="30"/>
        <v>0</v>
      </c>
      <c r="AD482">
        <f t="shared" si="31"/>
        <v>0</v>
      </c>
    </row>
    <row r="483" spans="27:30" x14ac:dyDescent="0.3">
      <c r="AA483">
        <f t="shared" si="28"/>
        <v>0</v>
      </c>
      <c r="AB483">
        <f t="shared" si="29"/>
        <v>0</v>
      </c>
      <c r="AC483">
        <f t="shared" si="30"/>
        <v>0</v>
      </c>
      <c r="AD483">
        <f t="shared" si="31"/>
        <v>0</v>
      </c>
    </row>
    <row r="484" spans="27:30" x14ac:dyDescent="0.3">
      <c r="AA484">
        <f t="shared" si="28"/>
        <v>0</v>
      </c>
      <c r="AB484">
        <f t="shared" si="29"/>
        <v>0</v>
      </c>
      <c r="AC484">
        <f t="shared" si="30"/>
        <v>0</v>
      </c>
      <c r="AD484">
        <f t="shared" si="31"/>
        <v>0</v>
      </c>
    </row>
    <row r="485" spans="27:30" x14ac:dyDescent="0.3">
      <c r="AA485">
        <f t="shared" si="28"/>
        <v>0</v>
      </c>
      <c r="AB485">
        <f t="shared" si="29"/>
        <v>0</v>
      </c>
      <c r="AC485">
        <f t="shared" si="30"/>
        <v>0</v>
      </c>
      <c r="AD485">
        <f t="shared" si="31"/>
        <v>0</v>
      </c>
    </row>
    <row r="486" spans="27:30" x14ac:dyDescent="0.3">
      <c r="AA486">
        <f t="shared" si="28"/>
        <v>0</v>
      </c>
      <c r="AB486">
        <f t="shared" si="29"/>
        <v>0</v>
      </c>
      <c r="AC486">
        <f t="shared" si="30"/>
        <v>0</v>
      </c>
      <c r="AD486">
        <f t="shared" si="31"/>
        <v>0</v>
      </c>
    </row>
    <row r="487" spans="27:30" x14ac:dyDescent="0.3">
      <c r="AA487">
        <f t="shared" si="28"/>
        <v>0</v>
      </c>
      <c r="AB487">
        <f t="shared" si="29"/>
        <v>0</v>
      </c>
      <c r="AC487">
        <f t="shared" si="30"/>
        <v>0</v>
      </c>
      <c r="AD487">
        <f t="shared" si="31"/>
        <v>0</v>
      </c>
    </row>
    <row r="488" spans="27:30" x14ac:dyDescent="0.3">
      <c r="AA488">
        <f t="shared" si="28"/>
        <v>0</v>
      </c>
      <c r="AB488">
        <f t="shared" si="29"/>
        <v>0</v>
      </c>
      <c r="AC488">
        <f t="shared" si="30"/>
        <v>0</v>
      </c>
      <c r="AD488">
        <f t="shared" si="31"/>
        <v>0</v>
      </c>
    </row>
    <row r="489" spans="27:30" x14ac:dyDescent="0.3">
      <c r="AA489">
        <f t="shared" si="28"/>
        <v>0</v>
      </c>
      <c r="AB489">
        <f t="shared" si="29"/>
        <v>0</v>
      </c>
      <c r="AC489">
        <f t="shared" si="30"/>
        <v>0</v>
      </c>
      <c r="AD489">
        <f t="shared" si="31"/>
        <v>0</v>
      </c>
    </row>
    <row r="490" spans="27:30" x14ac:dyDescent="0.3">
      <c r="AA490">
        <f t="shared" si="28"/>
        <v>0</v>
      </c>
      <c r="AB490">
        <f t="shared" si="29"/>
        <v>0</v>
      </c>
      <c r="AC490">
        <f t="shared" si="30"/>
        <v>0</v>
      </c>
      <c r="AD490">
        <f t="shared" si="31"/>
        <v>0</v>
      </c>
    </row>
    <row r="491" spans="27:30" x14ac:dyDescent="0.3">
      <c r="AA491">
        <f t="shared" si="28"/>
        <v>0</v>
      </c>
      <c r="AB491">
        <f t="shared" si="29"/>
        <v>0</v>
      </c>
      <c r="AC491">
        <f t="shared" si="30"/>
        <v>0</v>
      </c>
      <c r="AD491">
        <f t="shared" si="31"/>
        <v>0</v>
      </c>
    </row>
    <row r="492" spans="27:30" x14ac:dyDescent="0.3">
      <c r="AA492">
        <f t="shared" si="28"/>
        <v>0</v>
      </c>
      <c r="AB492">
        <f t="shared" si="29"/>
        <v>0</v>
      </c>
      <c r="AC492">
        <f t="shared" si="30"/>
        <v>0</v>
      </c>
      <c r="AD492">
        <f t="shared" si="31"/>
        <v>0</v>
      </c>
    </row>
    <row r="493" spans="27:30" x14ac:dyDescent="0.3">
      <c r="AA493">
        <f t="shared" si="28"/>
        <v>0</v>
      </c>
      <c r="AB493">
        <f t="shared" si="29"/>
        <v>0</v>
      </c>
      <c r="AC493">
        <f t="shared" si="30"/>
        <v>0</v>
      </c>
      <c r="AD493">
        <f t="shared" si="31"/>
        <v>0</v>
      </c>
    </row>
    <row r="494" spans="27:30" x14ac:dyDescent="0.3">
      <c r="AA494">
        <f t="shared" si="28"/>
        <v>0</v>
      </c>
      <c r="AB494">
        <f t="shared" si="29"/>
        <v>0</v>
      </c>
      <c r="AC494">
        <f t="shared" si="30"/>
        <v>0</v>
      </c>
      <c r="AD494">
        <f t="shared" si="31"/>
        <v>0</v>
      </c>
    </row>
    <row r="495" spans="27:30" x14ac:dyDescent="0.3">
      <c r="AA495">
        <f t="shared" si="28"/>
        <v>0</v>
      </c>
      <c r="AB495">
        <f t="shared" si="29"/>
        <v>0</v>
      </c>
      <c r="AC495">
        <f t="shared" si="30"/>
        <v>0</v>
      </c>
      <c r="AD495">
        <f t="shared" si="31"/>
        <v>0</v>
      </c>
    </row>
    <row r="496" spans="27:30" x14ac:dyDescent="0.3">
      <c r="AA496">
        <f t="shared" si="28"/>
        <v>0</v>
      </c>
      <c r="AB496">
        <f t="shared" si="29"/>
        <v>0</v>
      </c>
      <c r="AC496">
        <f t="shared" si="30"/>
        <v>0</v>
      </c>
      <c r="AD496">
        <f t="shared" si="31"/>
        <v>0</v>
      </c>
    </row>
    <row r="497" spans="27:30" x14ac:dyDescent="0.3">
      <c r="AA497">
        <f t="shared" si="28"/>
        <v>0</v>
      </c>
      <c r="AB497">
        <f t="shared" si="29"/>
        <v>0</v>
      </c>
      <c r="AC497">
        <f t="shared" si="30"/>
        <v>0</v>
      </c>
      <c r="AD497">
        <f t="shared" si="31"/>
        <v>0</v>
      </c>
    </row>
    <row r="498" spans="27:30" x14ac:dyDescent="0.3">
      <c r="AA498">
        <f t="shared" si="28"/>
        <v>0</v>
      </c>
      <c r="AB498">
        <f t="shared" si="29"/>
        <v>0</v>
      </c>
      <c r="AC498">
        <f t="shared" si="30"/>
        <v>0</v>
      </c>
      <c r="AD498">
        <f t="shared" si="31"/>
        <v>0</v>
      </c>
    </row>
    <row r="499" spans="27:30" x14ac:dyDescent="0.3">
      <c r="AA499">
        <f t="shared" si="28"/>
        <v>0</v>
      </c>
      <c r="AB499">
        <f t="shared" si="29"/>
        <v>0</v>
      </c>
      <c r="AC499">
        <f t="shared" si="30"/>
        <v>0</v>
      </c>
      <c r="AD499">
        <f t="shared" si="31"/>
        <v>0</v>
      </c>
    </row>
    <row r="500" spans="27:30" x14ac:dyDescent="0.3">
      <c r="AA500">
        <f t="shared" si="28"/>
        <v>0</v>
      </c>
      <c r="AB500">
        <f t="shared" si="29"/>
        <v>0</v>
      </c>
      <c r="AC500">
        <f t="shared" si="30"/>
        <v>0</v>
      </c>
      <c r="AD500">
        <f t="shared" si="31"/>
        <v>0</v>
      </c>
    </row>
    <row r="501" spans="27:30" x14ac:dyDescent="0.3">
      <c r="AA501">
        <f t="shared" si="28"/>
        <v>0</v>
      </c>
      <c r="AB501">
        <f t="shared" si="29"/>
        <v>0</v>
      </c>
      <c r="AC501">
        <f t="shared" si="30"/>
        <v>0</v>
      </c>
      <c r="AD501">
        <f t="shared" si="31"/>
        <v>0</v>
      </c>
    </row>
    <row r="502" spans="27:30" x14ac:dyDescent="0.3">
      <c r="AA502">
        <f t="shared" si="28"/>
        <v>0</v>
      </c>
      <c r="AB502">
        <f t="shared" si="29"/>
        <v>0</v>
      </c>
      <c r="AC502">
        <f t="shared" si="30"/>
        <v>0</v>
      </c>
      <c r="AD502">
        <f t="shared" si="31"/>
        <v>0</v>
      </c>
    </row>
    <row r="503" spans="27:30" x14ac:dyDescent="0.3">
      <c r="AA503">
        <f t="shared" si="28"/>
        <v>0</v>
      </c>
      <c r="AB503">
        <f t="shared" si="29"/>
        <v>0</v>
      </c>
      <c r="AC503">
        <f t="shared" si="30"/>
        <v>0</v>
      </c>
      <c r="AD503">
        <f t="shared" si="31"/>
        <v>0</v>
      </c>
    </row>
    <row r="504" spans="27:30" x14ac:dyDescent="0.3">
      <c r="AA504">
        <f t="shared" si="28"/>
        <v>0</v>
      </c>
      <c r="AB504">
        <f t="shared" si="29"/>
        <v>0</v>
      </c>
      <c r="AC504">
        <f t="shared" si="30"/>
        <v>0</v>
      </c>
      <c r="AD504">
        <f t="shared" si="31"/>
        <v>0</v>
      </c>
    </row>
    <row r="505" spans="27:30" x14ac:dyDescent="0.3">
      <c r="AA505">
        <f t="shared" si="28"/>
        <v>0</v>
      </c>
      <c r="AB505">
        <f t="shared" si="29"/>
        <v>0</v>
      </c>
      <c r="AC505">
        <f t="shared" si="30"/>
        <v>0</v>
      </c>
      <c r="AD505">
        <f t="shared" si="31"/>
        <v>0</v>
      </c>
    </row>
    <row r="506" spans="27:30" x14ac:dyDescent="0.3">
      <c r="AA506">
        <f t="shared" si="28"/>
        <v>0</v>
      </c>
      <c r="AB506">
        <f t="shared" si="29"/>
        <v>0</v>
      </c>
      <c r="AC506">
        <f t="shared" si="30"/>
        <v>0</v>
      </c>
      <c r="AD506">
        <f t="shared" si="31"/>
        <v>0</v>
      </c>
    </row>
    <row r="507" spans="27:30" x14ac:dyDescent="0.3">
      <c r="AA507">
        <f t="shared" si="28"/>
        <v>0</v>
      </c>
      <c r="AB507">
        <f t="shared" si="29"/>
        <v>0</v>
      </c>
      <c r="AC507">
        <f t="shared" si="30"/>
        <v>0</v>
      </c>
      <c r="AD507">
        <f t="shared" si="31"/>
        <v>0</v>
      </c>
    </row>
    <row r="508" spans="27:30" x14ac:dyDescent="0.3">
      <c r="AA508">
        <f t="shared" si="28"/>
        <v>0</v>
      </c>
      <c r="AB508">
        <f t="shared" si="29"/>
        <v>0</v>
      </c>
      <c r="AC508">
        <f t="shared" si="30"/>
        <v>0</v>
      </c>
      <c r="AD508">
        <f t="shared" si="31"/>
        <v>0</v>
      </c>
    </row>
    <row r="509" spans="27:30" x14ac:dyDescent="0.3">
      <c r="AA509">
        <f t="shared" si="28"/>
        <v>0</v>
      </c>
      <c r="AB509">
        <f t="shared" si="29"/>
        <v>0</v>
      </c>
      <c r="AC509">
        <f t="shared" si="30"/>
        <v>0</v>
      </c>
      <c r="AD509">
        <f t="shared" si="31"/>
        <v>0</v>
      </c>
    </row>
    <row r="510" spans="27:30" x14ac:dyDescent="0.3">
      <c r="AA510">
        <f t="shared" si="28"/>
        <v>0</v>
      </c>
      <c r="AB510">
        <f t="shared" si="29"/>
        <v>0</v>
      </c>
      <c r="AC510">
        <f t="shared" si="30"/>
        <v>0</v>
      </c>
      <c r="AD510">
        <f t="shared" si="31"/>
        <v>0</v>
      </c>
    </row>
    <row r="511" spans="27:30" x14ac:dyDescent="0.3">
      <c r="AA511">
        <f t="shared" si="28"/>
        <v>0</v>
      </c>
      <c r="AB511">
        <f t="shared" si="29"/>
        <v>0</v>
      </c>
      <c r="AC511">
        <f t="shared" si="30"/>
        <v>0</v>
      </c>
      <c r="AD511">
        <f t="shared" si="31"/>
        <v>0</v>
      </c>
    </row>
    <row r="512" spans="27:30" x14ac:dyDescent="0.3">
      <c r="AA512">
        <f t="shared" si="28"/>
        <v>0</v>
      </c>
      <c r="AB512">
        <f t="shared" si="29"/>
        <v>0</v>
      </c>
      <c r="AC512">
        <f t="shared" si="30"/>
        <v>0</v>
      </c>
      <c r="AD512">
        <f t="shared" si="31"/>
        <v>0</v>
      </c>
    </row>
    <row r="513" spans="27:30" x14ac:dyDescent="0.3">
      <c r="AA513">
        <f t="shared" si="28"/>
        <v>0</v>
      </c>
      <c r="AB513">
        <f t="shared" si="29"/>
        <v>0</v>
      </c>
      <c r="AC513">
        <f t="shared" si="30"/>
        <v>0</v>
      </c>
      <c r="AD513">
        <f t="shared" si="31"/>
        <v>0</v>
      </c>
    </row>
    <row r="514" spans="27:30" x14ac:dyDescent="0.3">
      <c r="AA514">
        <f t="shared" si="28"/>
        <v>0</v>
      </c>
      <c r="AB514">
        <f t="shared" si="29"/>
        <v>0</v>
      </c>
      <c r="AC514">
        <f t="shared" si="30"/>
        <v>0</v>
      </c>
      <c r="AD514">
        <f t="shared" si="31"/>
        <v>0</v>
      </c>
    </row>
    <row r="515" spans="27:30" x14ac:dyDescent="0.3">
      <c r="AA515">
        <f t="shared" si="28"/>
        <v>0</v>
      </c>
      <c r="AB515">
        <f t="shared" si="29"/>
        <v>0</v>
      </c>
      <c r="AC515">
        <f t="shared" si="30"/>
        <v>0</v>
      </c>
      <c r="AD515">
        <f t="shared" si="31"/>
        <v>0</v>
      </c>
    </row>
    <row r="516" spans="27:30" x14ac:dyDescent="0.3">
      <c r="AA516">
        <f t="shared" si="28"/>
        <v>0</v>
      </c>
      <c r="AB516">
        <f t="shared" si="29"/>
        <v>0</v>
      </c>
      <c r="AC516">
        <f t="shared" si="30"/>
        <v>0</v>
      </c>
      <c r="AD516">
        <f t="shared" si="31"/>
        <v>0</v>
      </c>
    </row>
    <row r="517" spans="27:30" x14ac:dyDescent="0.3">
      <c r="AA517">
        <f t="shared" ref="AA517:AA580" si="32">ROUND(Z517,0)</f>
        <v>0</v>
      </c>
      <c r="AB517">
        <f t="shared" ref="AB517:AB580" si="33">IF(AA517=Y517,0,1)</f>
        <v>0</v>
      </c>
      <c r="AC517">
        <f t="shared" ref="AC517:AC580" si="34">IF(AA517&lt;Y517+5,IF(AA517&gt;Y517-5,0,1),1)</f>
        <v>0</v>
      </c>
      <c r="AD517">
        <f t="shared" ref="AD517:AD580" si="35">IF(AA517&lt;Y517+10,IF(AA517&gt;Y517-10,0,1),1)</f>
        <v>0</v>
      </c>
    </row>
    <row r="518" spans="27:30" x14ac:dyDescent="0.3">
      <c r="AA518">
        <f t="shared" si="32"/>
        <v>0</v>
      </c>
      <c r="AB518">
        <f t="shared" si="33"/>
        <v>0</v>
      </c>
      <c r="AC518">
        <f t="shared" si="34"/>
        <v>0</v>
      </c>
      <c r="AD518">
        <f t="shared" si="35"/>
        <v>0</v>
      </c>
    </row>
    <row r="519" spans="27:30" x14ac:dyDescent="0.3">
      <c r="AA519">
        <f t="shared" si="32"/>
        <v>0</v>
      </c>
      <c r="AB519">
        <f t="shared" si="33"/>
        <v>0</v>
      </c>
      <c r="AC519">
        <f t="shared" si="34"/>
        <v>0</v>
      </c>
      <c r="AD519">
        <f t="shared" si="35"/>
        <v>0</v>
      </c>
    </row>
    <row r="520" spans="27:30" x14ac:dyDescent="0.3">
      <c r="AA520">
        <f t="shared" si="32"/>
        <v>0</v>
      </c>
      <c r="AB520">
        <f t="shared" si="33"/>
        <v>0</v>
      </c>
      <c r="AC520">
        <f t="shared" si="34"/>
        <v>0</v>
      </c>
      <c r="AD520">
        <f t="shared" si="35"/>
        <v>0</v>
      </c>
    </row>
    <row r="521" spans="27:30" x14ac:dyDescent="0.3">
      <c r="AA521">
        <f t="shared" si="32"/>
        <v>0</v>
      </c>
      <c r="AB521">
        <f t="shared" si="33"/>
        <v>0</v>
      </c>
      <c r="AC521">
        <f t="shared" si="34"/>
        <v>0</v>
      </c>
      <c r="AD521">
        <f t="shared" si="35"/>
        <v>0</v>
      </c>
    </row>
    <row r="522" spans="27:30" x14ac:dyDescent="0.3">
      <c r="AA522">
        <f t="shared" si="32"/>
        <v>0</v>
      </c>
      <c r="AB522">
        <f t="shared" si="33"/>
        <v>0</v>
      </c>
      <c r="AC522">
        <f t="shared" si="34"/>
        <v>0</v>
      </c>
      <c r="AD522">
        <f t="shared" si="35"/>
        <v>0</v>
      </c>
    </row>
    <row r="523" spans="27:30" x14ac:dyDescent="0.3">
      <c r="AA523">
        <f t="shared" si="32"/>
        <v>0</v>
      </c>
      <c r="AB523">
        <f t="shared" si="33"/>
        <v>0</v>
      </c>
      <c r="AC523">
        <f t="shared" si="34"/>
        <v>0</v>
      </c>
      <c r="AD523">
        <f t="shared" si="35"/>
        <v>0</v>
      </c>
    </row>
    <row r="524" spans="27:30" x14ac:dyDescent="0.3">
      <c r="AA524">
        <f t="shared" si="32"/>
        <v>0</v>
      </c>
      <c r="AB524">
        <f t="shared" si="33"/>
        <v>0</v>
      </c>
      <c r="AC524">
        <f t="shared" si="34"/>
        <v>0</v>
      </c>
      <c r="AD524">
        <f t="shared" si="35"/>
        <v>0</v>
      </c>
    </row>
    <row r="525" spans="27:30" x14ac:dyDescent="0.3">
      <c r="AA525">
        <f t="shared" si="32"/>
        <v>0</v>
      </c>
      <c r="AB525">
        <f t="shared" si="33"/>
        <v>0</v>
      </c>
      <c r="AC525">
        <f t="shared" si="34"/>
        <v>0</v>
      </c>
      <c r="AD525">
        <f t="shared" si="35"/>
        <v>0</v>
      </c>
    </row>
    <row r="526" spans="27:30" x14ac:dyDescent="0.3">
      <c r="AA526">
        <f t="shared" si="32"/>
        <v>0</v>
      </c>
      <c r="AB526">
        <f t="shared" si="33"/>
        <v>0</v>
      </c>
      <c r="AC526">
        <f t="shared" si="34"/>
        <v>0</v>
      </c>
      <c r="AD526">
        <f t="shared" si="35"/>
        <v>0</v>
      </c>
    </row>
    <row r="527" spans="27:30" x14ac:dyDescent="0.3">
      <c r="AA527">
        <f t="shared" si="32"/>
        <v>0</v>
      </c>
      <c r="AB527">
        <f t="shared" si="33"/>
        <v>0</v>
      </c>
      <c r="AC527">
        <f t="shared" si="34"/>
        <v>0</v>
      </c>
      <c r="AD527">
        <f t="shared" si="35"/>
        <v>0</v>
      </c>
    </row>
    <row r="528" spans="27:30" x14ac:dyDescent="0.3">
      <c r="AA528">
        <f t="shared" si="32"/>
        <v>0</v>
      </c>
      <c r="AB528">
        <f t="shared" si="33"/>
        <v>0</v>
      </c>
      <c r="AC528">
        <f t="shared" si="34"/>
        <v>0</v>
      </c>
      <c r="AD528">
        <f t="shared" si="35"/>
        <v>0</v>
      </c>
    </row>
    <row r="529" spans="27:30" x14ac:dyDescent="0.3">
      <c r="AA529">
        <f t="shared" si="32"/>
        <v>0</v>
      </c>
      <c r="AB529">
        <f t="shared" si="33"/>
        <v>0</v>
      </c>
      <c r="AC529">
        <f t="shared" si="34"/>
        <v>0</v>
      </c>
      <c r="AD529">
        <f t="shared" si="35"/>
        <v>0</v>
      </c>
    </row>
    <row r="530" spans="27:30" x14ac:dyDescent="0.3">
      <c r="AA530">
        <f t="shared" si="32"/>
        <v>0</v>
      </c>
      <c r="AB530">
        <f t="shared" si="33"/>
        <v>0</v>
      </c>
      <c r="AC530">
        <f t="shared" si="34"/>
        <v>0</v>
      </c>
      <c r="AD530">
        <f t="shared" si="35"/>
        <v>0</v>
      </c>
    </row>
    <row r="531" spans="27:30" x14ac:dyDescent="0.3">
      <c r="AA531">
        <f t="shared" si="32"/>
        <v>0</v>
      </c>
      <c r="AB531">
        <f t="shared" si="33"/>
        <v>0</v>
      </c>
      <c r="AC531">
        <f t="shared" si="34"/>
        <v>0</v>
      </c>
      <c r="AD531">
        <f t="shared" si="35"/>
        <v>0</v>
      </c>
    </row>
    <row r="532" spans="27:30" x14ac:dyDescent="0.3">
      <c r="AA532">
        <f t="shared" si="32"/>
        <v>0</v>
      </c>
      <c r="AB532">
        <f t="shared" si="33"/>
        <v>0</v>
      </c>
      <c r="AC532">
        <f t="shared" si="34"/>
        <v>0</v>
      </c>
      <c r="AD532">
        <f t="shared" si="35"/>
        <v>0</v>
      </c>
    </row>
    <row r="533" spans="27:30" x14ac:dyDescent="0.3">
      <c r="AA533">
        <f t="shared" si="32"/>
        <v>0</v>
      </c>
      <c r="AB533">
        <f t="shared" si="33"/>
        <v>0</v>
      </c>
      <c r="AC533">
        <f t="shared" si="34"/>
        <v>0</v>
      </c>
      <c r="AD533">
        <f t="shared" si="35"/>
        <v>0</v>
      </c>
    </row>
    <row r="534" spans="27:30" x14ac:dyDescent="0.3">
      <c r="AA534">
        <f t="shared" si="32"/>
        <v>0</v>
      </c>
      <c r="AB534">
        <f t="shared" si="33"/>
        <v>0</v>
      </c>
      <c r="AC534">
        <f t="shared" si="34"/>
        <v>0</v>
      </c>
      <c r="AD534">
        <f t="shared" si="35"/>
        <v>0</v>
      </c>
    </row>
    <row r="535" spans="27:30" x14ac:dyDescent="0.3">
      <c r="AA535">
        <f t="shared" si="32"/>
        <v>0</v>
      </c>
      <c r="AB535">
        <f t="shared" si="33"/>
        <v>0</v>
      </c>
      <c r="AC535">
        <f t="shared" si="34"/>
        <v>0</v>
      </c>
      <c r="AD535">
        <f t="shared" si="35"/>
        <v>0</v>
      </c>
    </row>
    <row r="536" spans="27:30" x14ac:dyDescent="0.3">
      <c r="AA536">
        <f t="shared" si="32"/>
        <v>0</v>
      </c>
      <c r="AB536">
        <f t="shared" si="33"/>
        <v>0</v>
      </c>
      <c r="AC536">
        <f t="shared" si="34"/>
        <v>0</v>
      </c>
      <c r="AD536">
        <f t="shared" si="35"/>
        <v>0</v>
      </c>
    </row>
    <row r="537" spans="27:30" x14ac:dyDescent="0.3">
      <c r="AA537">
        <f t="shared" si="32"/>
        <v>0</v>
      </c>
      <c r="AB537">
        <f t="shared" si="33"/>
        <v>0</v>
      </c>
      <c r="AC537">
        <f t="shared" si="34"/>
        <v>0</v>
      </c>
      <c r="AD537">
        <f t="shared" si="35"/>
        <v>0</v>
      </c>
    </row>
    <row r="538" spans="27:30" x14ac:dyDescent="0.3">
      <c r="AA538">
        <f t="shared" si="32"/>
        <v>0</v>
      </c>
      <c r="AB538">
        <f t="shared" si="33"/>
        <v>0</v>
      </c>
      <c r="AC538">
        <f t="shared" si="34"/>
        <v>0</v>
      </c>
      <c r="AD538">
        <f t="shared" si="35"/>
        <v>0</v>
      </c>
    </row>
    <row r="539" spans="27:30" x14ac:dyDescent="0.3">
      <c r="AA539">
        <f t="shared" si="32"/>
        <v>0</v>
      </c>
      <c r="AB539">
        <f t="shared" si="33"/>
        <v>0</v>
      </c>
      <c r="AC539">
        <f t="shared" si="34"/>
        <v>0</v>
      </c>
      <c r="AD539">
        <f t="shared" si="35"/>
        <v>0</v>
      </c>
    </row>
    <row r="540" spans="27:30" x14ac:dyDescent="0.3">
      <c r="AA540">
        <f t="shared" si="32"/>
        <v>0</v>
      </c>
      <c r="AB540">
        <f t="shared" si="33"/>
        <v>0</v>
      </c>
      <c r="AC540">
        <f t="shared" si="34"/>
        <v>0</v>
      </c>
      <c r="AD540">
        <f t="shared" si="35"/>
        <v>0</v>
      </c>
    </row>
    <row r="541" spans="27:30" x14ac:dyDescent="0.3">
      <c r="AA541">
        <f t="shared" si="32"/>
        <v>0</v>
      </c>
      <c r="AB541">
        <f t="shared" si="33"/>
        <v>0</v>
      </c>
      <c r="AC541">
        <f t="shared" si="34"/>
        <v>0</v>
      </c>
      <c r="AD541">
        <f t="shared" si="35"/>
        <v>0</v>
      </c>
    </row>
    <row r="542" spans="27:30" x14ac:dyDescent="0.3">
      <c r="AA542">
        <f t="shared" si="32"/>
        <v>0</v>
      </c>
      <c r="AB542">
        <f t="shared" si="33"/>
        <v>0</v>
      </c>
      <c r="AC542">
        <f t="shared" si="34"/>
        <v>0</v>
      </c>
      <c r="AD542">
        <f t="shared" si="35"/>
        <v>0</v>
      </c>
    </row>
    <row r="543" spans="27:30" x14ac:dyDescent="0.3">
      <c r="AA543">
        <f t="shared" si="32"/>
        <v>0</v>
      </c>
      <c r="AB543">
        <f t="shared" si="33"/>
        <v>0</v>
      </c>
      <c r="AC543">
        <f t="shared" si="34"/>
        <v>0</v>
      </c>
      <c r="AD543">
        <f t="shared" si="35"/>
        <v>0</v>
      </c>
    </row>
    <row r="544" spans="27:30" x14ac:dyDescent="0.3">
      <c r="AA544">
        <f t="shared" si="32"/>
        <v>0</v>
      </c>
      <c r="AB544">
        <f t="shared" si="33"/>
        <v>0</v>
      </c>
      <c r="AC544">
        <f t="shared" si="34"/>
        <v>0</v>
      </c>
      <c r="AD544">
        <f t="shared" si="35"/>
        <v>0</v>
      </c>
    </row>
    <row r="545" spans="27:30" x14ac:dyDescent="0.3">
      <c r="AA545">
        <f t="shared" si="32"/>
        <v>0</v>
      </c>
      <c r="AB545">
        <f t="shared" si="33"/>
        <v>0</v>
      </c>
      <c r="AC545">
        <f t="shared" si="34"/>
        <v>0</v>
      </c>
      <c r="AD545">
        <f t="shared" si="35"/>
        <v>0</v>
      </c>
    </row>
    <row r="546" spans="27:30" x14ac:dyDescent="0.3">
      <c r="AA546">
        <f t="shared" si="32"/>
        <v>0</v>
      </c>
      <c r="AB546">
        <f t="shared" si="33"/>
        <v>0</v>
      </c>
      <c r="AC546">
        <f t="shared" si="34"/>
        <v>0</v>
      </c>
      <c r="AD546">
        <f t="shared" si="35"/>
        <v>0</v>
      </c>
    </row>
    <row r="547" spans="27:30" x14ac:dyDescent="0.3">
      <c r="AA547">
        <f t="shared" si="32"/>
        <v>0</v>
      </c>
      <c r="AB547">
        <f t="shared" si="33"/>
        <v>0</v>
      </c>
      <c r="AC547">
        <f t="shared" si="34"/>
        <v>0</v>
      </c>
      <c r="AD547">
        <f t="shared" si="35"/>
        <v>0</v>
      </c>
    </row>
    <row r="548" spans="27:30" x14ac:dyDescent="0.3">
      <c r="AA548">
        <f t="shared" si="32"/>
        <v>0</v>
      </c>
      <c r="AB548">
        <f t="shared" si="33"/>
        <v>0</v>
      </c>
      <c r="AC548">
        <f t="shared" si="34"/>
        <v>0</v>
      </c>
      <c r="AD548">
        <f t="shared" si="35"/>
        <v>0</v>
      </c>
    </row>
    <row r="549" spans="27:30" x14ac:dyDescent="0.3">
      <c r="AA549">
        <f t="shared" si="32"/>
        <v>0</v>
      </c>
      <c r="AB549">
        <f t="shared" si="33"/>
        <v>0</v>
      </c>
      <c r="AC549">
        <f t="shared" si="34"/>
        <v>0</v>
      </c>
      <c r="AD549">
        <f t="shared" si="35"/>
        <v>0</v>
      </c>
    </row>
    <row r="550" spans="27:30" x14ac:dyDescent="0.3">
      <c r="AA550">
        <f t="shared" si="32"/>
        <v>0</v>
      </c>
      <c r="AB550">
        <f t="shared" si="33"/>
        <v>0</v>
      </c>
      <c r="AC550">
        <f t="shared" si="34"/>
        <v>0</v>
      </c>
      <c r="AD550">
        <f t="shared" si="35"/>
        <v>0</v>
      </c>
    </row>
    <row r="551" spans="27:30" x14ac:dyDescent="0.3">
      <c r="AA551">
        <f t="shared" si="32"/>
        <v>0</v>
      </c>
      <c r="AB551">
        <f t="shared" si="33"/>
        <v>0</v>
      </c>
      <c r="AC551">
        <f t="shared" si="34"/>
        <v>0</v>
      </c>
      <c r="AD551">
        <f t="shared" si="35"/>
        <v>0</v>
      </c>
    </row>
    <row r="552" spans="27:30" x14ac:dyDescent="0.3">
      <c r="AA552">
        <f t="shared" si="32"/>
        <v>0</v>
      </c>
      <c r="AB552">
        <f t="shared" si="33"/>
        <v>0</v>
      </c>
      <c r="AC552">
        <f t="shared" si="34"/>
        <v>0</v>
      </c>
      <c r="AD552">
        <f t="shared" si="35"/>
        <v>0</v>
      </c>
    </row>
    <row r="553" spans="27:30" x14ac:dyDescent="0.3">
      <c r="AA553">
        <f t="shared" si="32"/>
        <v>0</v>
      </c>
      <c r="AB553">
        <f t="shared" si="33"/>
        <v>0</v>
      </c>
      <c r="AC553">
        <f t="shared" si="34"/>
        <v>0</v>
      </c>
      <c r="AD553">
        <f t="shared" si="35"/>
        <v>0</v>
      </c>
    </row>
    <row r="554" spans="27:30" x14ac:dyDescent="0.3">
      <c r="AA554">
        <f t="shared" si="32"/>
        <v>0</v>
      </c>
      <c r="AB554">
        <f t="shared" si="33"/>
        <v>0</v>
      </c>
      <c r="AC554">
        <f t="shared" si="34"/>
        <v>0</v>
      </c>
      <c r="AD554">
        <f t="shared" si="35"/>
        <v>0</v>
      </c>
    </row>
    <row r="555" spans="27:30" x14ac:dyDescent="0.3">
      <c r="AA555">
        <f t="shared" si="32"/>
        <v>0</v>
      </c>
      <c r="AB555">
        <f t="shared" si="33"/>
        <v>0</v>
      </c>
      <c r="AC555">
        <f t="shared" si="34"/>
        <v>0</v>
      </c>
      <c r="AD555">
        <f t="shared" si="35"/>
        <v>0</v>
      </c>
    </row>
    <row r="556" spans="27:30" x14ac:dyDescent="0.3">
      <c r="AA556">
        <f t="shared" si="32"/>
        <v>0</v>
      </c>
      <c r="AB556">
        <f t="shared" si="33"/>
        <v>0</v>
      </c>
      <c r="AC556">
        <f t="shared" si="34"/>
        <v>0</v>
      </c>
      <c r="AD556">
        <f t="shared" si="35"/>
        <v>0</v>
      </c>
    </row>
    <row r="557" spans="27:30" x14ac:dyDescent="0.3">
      <c r="AA557">
        <f t="shared" si="32"/>
        <v>0</v>
      </c>
      <c r="AB557">
        <f t="shared" si="33"/>
        <v>0</v>
      </c>
      <c r="AC557">
        <f t="shared" si="34"/>
        <v>0</v>
      </c>
      <c r="AD557">
        <f t="shared" si="35"/>
        <v>0</v>
      </c>
    </row>
    <row r="558" spans="27:30" x14ac:dyDescent="0.3">
      <c r="AA558">
        <f t="shared" si="32"/>
        <v>0</v>
      </c>
      <c r="AB558">
        <f t="shared" si="33"/>
        <v>0</v>
      </c>
      <c r="AC558">
        <f t="shared" si="34"/>
        <v>0</v>
      </c>
      <c r="AD558">
        <f t="shared" si="35"/>
        <v>0</v>
      </c>
    </row>
    <row r="559" spans="27:30" x14ac:dyDescent="0.3">
      <c r="AA559">
        <f t="shared" si="32"/>
        <v>0</v>
      </c>
      <c r="AB559">
        <f t="shared" si="33"/>
        <v>0</v>
      </c>
      <c r="AC559">
        <f t="shared" si="34"/>
        <v>0</v>
      </c>
      <c r="AD559">
        <f t="shared" si="35"/>
        <v>0</v>
      </c>
    </row>
    <row r="560" spans="27:30" x14ac:dyDescent="0.3">
      <c r="AA560">
        <f t="shared" si="32"/>
        <v>0</v>
      </c>
      <c r="AB560">
        <f t="shared" si="33"/>
        <v>0</v>
      </c>
      <c r="AC560">
        <f t="shared" si="34"/>
        <v>0</v>
      </c>
      <c r="AD560">
        <f t="shared" si="35"/>
        <v>0</v>
      </c>
    </row>
    <row r="561" spans="27:30" x14ac:dyDescent="0.3">
      <c r="AA561">
        <f t="shared" si="32"/>
        <v>0</v>
      </c>
      <c r="AB561">
        <f t="shared" si="33"/>
        <v>0</v>
      </c>
      <c r="AC561">
        <f t="shared" si="34"/>
        <v>0</v>
      </c>
      <c r="AD561">
        <f t="shared" si="35"/>
        <v>0</v>
      </c>
    </row>
    <row r="562" spans="27:30" x14ac:dyDescent="0.3">
      <c r="AA562">
        <f t="shared" si="32"/>
        <v>0</v>
      </c>
      <c r="AB562">
        <f t="shared" si="33"/>
        <v>0</v>
      </c>
      <c r="AC562">
        <f t="shared" si="34"/>
        <v>0</v>
      </c>
      <c r="AD562">
        <f t="shared" si="35"/>
        <v>0</v>
      </c>
    </row>
    <row r="563" spans="27:30" x14ac:dyDescent="0.3">
      <c r="AA563">
        <f t="shared" si="32"/>
        <v>0</v>
      </c>
      <c r="AB563">
        <f t="shared" si="33"/>
        <v>0</v>
      </c>
      <c r="AC563">
        <f t="shared" si="34"/>
        <v>0</v>
      </c>
      <c r="AD563">
        <f t="shared" si="35"/>
        <v>0</v>
      </c>
    </row>
    <row r="564" spans="27:30" x14ac:dyDescent="0.3">
      <c r="AA564">
        <f t="shared" si="32"/>
        <v>0</v>
      </c>
      <c r="AB564">
        <f t="shared" si="33"/>
        <v>0</v>
      </c>
      <c r="AC564">
        <f t="shared" si="34"/>
        <v>0</v>
      </c>
      <c r="AD564">
        <f t="shared" si="35"/>
        <v>0</v>
      </c>
    </row>
    <row r="565" spans="27:30" x14ac:dyDescent="0.3">
      <c r="AA565">
        <f t="shared" si="32"/>
        <v>0</v>
      </c>
      <c r="AB565">
        <f t="shared" si="33"/>
        <v>0</v>
      </c>
      <c r="AC565">
        <f t="shared" si="34"/>
        <v>0</v>
      </c>
      <c r="AD565">
        <f t="shared" si="35"/>
        <v>0</v>
      </c>
    </row>
    <row r="566" spans="27:30" x14ac:dyDescent="0.3">
      <c r="AA566">
        <f t="shared" si="32"/>
        <v>0</v>
      </c>
      <c r="AB566">
        <f t="shared" si="33"/>
        <v>0</v>
      </c>
      <c r="AC566">
        <f t="shared" si="34"/>
        <v>0</v>
      </c>
      <c r="AD566">
        <f t="shared" si="35"/>
        <v>0</v>
      </c>
    </row>
    <row r="567" spans="27:30" x14ac:dyDescent="0.3">
      <c r="AA567">
        <f t="shared" si="32"/>
        <v>0</v>
      </c>
      <c r="AB567">
        <f t="shared" si="33"/>
        <v>0</v>
      </c>
      <c r="AC567">
        <f t="shared" si="34"/>
        <v>0</v>
      </c>
      <c r="AD567">
        <f t="shared" si="35"/>
        <v>0</v>
      </c>
    </row>
    <row r="568" spans="27:30" x14ac:dyDescent="0.3">
      <c r="AA568">
        <f t="shared" si="32"/>
        <v>0</v>
      </c>
      <c r="AB568">
        <f t="shared" si="33"/>
        <v>0</v>
      </c>
      <c r="AC568">
        <f t="shared" si="34"/>
        <v>0</v>
      </c>
      <c r="AD568">
        <f t="shared" si="35"/>
        <v>0</v>
      </c>
    </row>
    <row r="569" spans="27:30" x14ac:dyDescent="0.3">
      <c r="AA569">
        <f t="shared" si="32"/>
        <v>0</v>
      </c>
      <c r="AB569">
        <f t="shared" si="33"/>
        <v>0</v>
      </c>
      <c r="AC569">
        <f t="shared" si="34"/>
        <v>0</v>
      </c>
      <c r="AD569">
        <f t="shared" si="35"/>
        <v>0</v>
      </c>
    </row>
    <row r="570" spans="27:30" x14ac:dyDescent="0.3">
      <c r="AA570">
        <f t="shared" si="32"/>
        <v>0</v>
      </c>
      <c r="AB570">
        <f t="shared" si="33"/>
        <v>0</v>
      </c>
      <c r="AC570">
        <f t="shared" si="34"/>
        <v>0</v>
      </c>
      <c r="AD570">
        <f t="shared" si="35"/>
        <v>0</v>
      </c>
    </row>
    <row r="571" spans="27:30" x14ac:dyDescent="0.3">
      <c r="AA571">
        <f t="shared" si="32"/>
        <v>0</v>
      </c>
      <c r="AB571">
        <f t="shared" si="33"/>
        <v>0</v>
      </c>
      <c r="AC571">
        <f t="shared" si="34"/>
        <v>0</v>
      </c>
      <c r="AD571">
        <f t="shared" si="35"/>
        <v>0</v>
      </c>
    </row>
    <row r="572" spans="27:30" x14ac:dyDescent="0.3">
      <c r="AA572">
        <f t="shared" si="32"/>
        <v>0</v>
      </c>
      <c r="AB572">
        <f t="shared" si="33"/>
        <v>0</v>
      </c>
      <c r="AC572">
        <f t="shared" si="34"/>
        <v>0</v>
      </c>
      <c r="AD572">
        <f t="shared" si="35"/>
        <v>0</v>
      </c>
    </row>
    <row r="573" spans="27:30" x14ac:dyDescent="0.3">
      <c r="AA573">
        <f t="shared" si="32"/>
        <v>0</v>
      </c>
      <c r="AB573">
        <f t="shared" si="33"/>
        <v>0</v>
      </c>
      <c r="AC573">
        <f t="shared" si="34"/>
        <v>0</v>
      </c>
      <c r="AD573">
        <f t="shared" si="35"/>
        <v>0</v>
      </c>
    </row>
    <row r="574" spans="27:30" x14ac:dyDescent="0.3">
      <c r="AA574">
        <f t="shared" si="32"/>
        <v>0</v>
      </c>
      <c r="AB574">
        <f t="shared" si="33"/>
        <v>0</v>
      </c>
      <c r="AC574">
        <f t="shared" si="34"/>
        <v>0</v>
      </c>
      <c r="AD574">
        <f t="shared" si="35"/>
        <v>0</v>
      </c>
    </row>
    <row r="575" spans="27:30" x14ac:dyDescent="0.3">
      <c r="AA575">
        <f t="shared" si="32"/>
        <v>0</v>
      </c>
      <c r="AB575">
        <f t="shared" si="33"/>
        <v>0</v>
      </c>
      <c r="AC575">
        <f t="shared" si="34"/>
        <v>0</v>
      </c>
      <c r="AD575">
        <f t="shared" si="35"/>
        <v>0</v>
      </c>
    </row>
    <row r="576" spans="27:30" x14ac:dyDescent="0.3">
      <c r="AA576">
        <f t="shared" si="32"/>
        <v>0</v>
      </c>
      <c r="AB576">
        <f t="shared" si="33"/>
        <v>0</v>
      </c>
      <c r="AC576">
        <f t="shared" si="34"/>
        <v>0</v>
      </c>
      <c r="AD576">
        <f t="shared" si="35"/>
        <v>0</v>
      </c>
    </row>
    <row r="577" spans="27:30" x14ac:dyDescent="0.3">
      <c r="AA577">
        <f t="shared" si="32"/>
        <v>0</v>
      </c>
      <c r="AB577">
        <f t="shared" si="33"/>
        <v>0</v>
      </c>
      <c r="AC577">
        <f t="shared" si="34"/>
        <v>0</v>
      </c>
      <c r="AD577">
        <f t="shared" si="35"/>
        <v>0</v>
      </c>
    </row>
    <row r="578" spans="27:30" x14ac:dyDescent="0.3">
      <c r="AA578">
        <f t="shared" si="32"/>
        <v>0</v>
      </c>
      <c r="AB578">
        <f t="shared" si="33"/>
        <v>0</v>
      </c>
      <c r="AC578">
        <f t="shared" si="34"/>
        <v>0</v>
      </c>
      <c r="AD578">
        <f t="shared" si="35"/>
        <v>0</v>
      </c>
    </row>
    <row r="579" spans="27:30" x14ac:dyDescent="0.3">
      <c r="AA579">
        <f t="shared" si="32"/>
        <v>0</v>
      </c>
      <c r="AB579">
        <f t="shared" si="33"/>
        <v>0</v>
      </c>
      <c r="AC579">
        <f t="shared" si="34"/>
        <v>0</v>
      </c>
      <c r="AD579">
        <f t="shared" si="35"/>
        <v>0</v>
      </c>
    </row>
    <row r="580" spans="27:30" x14ac:dyDescent="0.3">
      <c r="AA580">
        <f t="shared" si="32"/>
        <v>0</v>
      </c>
      <c r="AB580">
        <f t="shared" si="33"/>
        <v>0</v>
      </c>
      <c r="AC580">
        <f t="shared" si="34"/>
        <v>0</v>
      </c>
      <c r="AD580">
        <f t="shared" si="35"/>
        <v>0</v>
      </c>
    </row>
    <row r="581" spans="27:30" x14ac:dyDescent="0.3">
      <c r="AA581">
        <f t="shared" ref="AA581:AA644" si="36">ROUND(Z581,0)</f>
        <v>0</v>
      </c>
      <c r="AB581">
        <f t="shared" ref="AB581:AB644" si="37">IF(AA581=Y581,0,1)</f>
        <v>0</v>
      </c>
      <c r="AC581">
        <f t="shared" ref="AC581:AC644" si="38">IF(AA581&lt;Y581+5,IF(AA581&gt;Y581-5,0,1),1)</f>
        <v>0</v>
      </c>
      <c r="AD581">
        <f t="shared" ref="AD581:AD644" si="39">IF(AA581&lt;Y581+10,IF(AA581&gt;Y581-10,0,1),1)</f>
        <v>0</v>
      </c>
    </row>
    <row r="582" spans="27:30" x14ac:dyDescent="0.3">
      <c r="AA582">
        <f t="shared" si="36"/>
        <v>0</v>
      </c>
      <c r="AB582">
        <f t="shared" si="37"/>
        <v>0</v>
      </c>
      <c r="AC582">
        <f t="shared" si="38"/>
        <v>0</v>
      </c>
      <c r="AD582">
        <f t="shared" si="39"/>
        <v>0</v>
      </c>
    </row>
    <row r="583" spans="27:30" x14ac:dyDescent="0.3">
      <c r="AA583">
        <f t="shared" si="36"/>
        <v>0</v>
      </c>
      <c r="AB583">
        <f t="shared" si="37"/>
        <v>0</v>
      </c>
      <c r="AC583">
        <f t="shared" si="38"/>
        <v>0</v>
      </c>
      <c r="AD583">
        <f t="shared" si="39"/>
        <v>0</v>
      </c>
    </row>
    <row r="584" spans="27:30" x14ac:dyDescent="0.3">
      <c r="AA584">
        <f t="shared" si="36"/>
        <v>0</v>
      </c>
      <c r="AB584">
        <f t="shared" si="37"/>
        <v>0</v>
      </c>
      <c r="AC584">
        <f t="shared" si="38"/>
        <v>0</v>
      </c>
      <c r="AD584">
        <f t="shared" si="39"/>
        <v>0</v>
      </c>
    </row>
    <row r="585" spans="27:30" x14ac:dyDescent="0.3">
      <c r="AA585">
        <f t="shared" si="36"/>
        <v>0</v>
      </c>
      <c r="AB585">
        <f t="shared" si="37"/>
        <v>0</v>
      </c>
      <c r="AC585">
        <f t="shared" si="38"/>
        <v>0</v>
      </c>
      <c r="AD585">
        <f t="shared" si="39"/>
        <v>0</v>
      </c>
    </row>
    <row r="586" spans="27:30" x14ac:dyDescent="0.3">
      <c r="AA586">
        <f t="shared" si="36"/>
        <v>0</v>
      </c>
      <c r="AB586">
        <f t="shared" si="37"/>
        <v>0</v>
      </c>
      <c r="AC586">
        <f t="shared" si="38"/>
        <v>0</v>
      </c>
      <c r="AD586">
        <f t="shared" si="39"/>
        <v>0</v>
      </c>
    </row>
    <row r="587" spans="27:30" x14ac:dyDescent="0.3">
      <c r="AA587">
        <f t="shared" si="36"/>
        <v>0</v>
      </c>
      <c r="AB587">
        <f t="shared" si="37"/>
        <v>0</v>
      </c>
      <c r="AC587">
        <f t="shared" si="38"/>
        <v>0</v>
      </c>
      <c r="AD587">
        <f t="shared" si="39"/>
        <v>0</v>
      </c>
    </row>
    <row r="588" spans="27:30" x14ac:dyDescent="0.3">
      <c r="AA588">
        <f t="shared" si="36"/>
        <v>0</v>
      </c>
      <c r="AB588">
        <f t="shared" si="37"/>
        <v>0</v>
      </c>
      <c r="AC588">
        <f t="shared" si="38"/>
        <v>0</v>
      </c>
      <c r="AD588">
        <f t="shared" si="39"/>
        <v>0</v>
      </c>
    </row>
    <row r="589" spans="27:30" x14ac:dyDescent="0.3">
      <c r="AA589">
        <f t="shared" si="36"/>
        <v>0</v>
      </c>
      <c r="AB589">
        <f t="shared" si="37"/>
        <v>0</v>
      </c>
      <c r="AC589">
        <f t="shared" si="38"/>
        <v>0</v>
      </c>
      <c r="AD589">
        <f t="shared" si="39"/>
        <v>0</v>
      </c>
    </row>
    <row r="590" spans="27:30" x14ac:dyDescent="0.3">
      <c r="AA590">
        <f t="shared" si="36"/>
        <v>0</v>
      </c>
      <c r="AB590">
        <f t="shared" si="37"/>
        <v>0</v>
      </c>
      <c r="AC590">
        <f t="shared" si="38"/>
        <v>0</v>
      </c>
      <c r="AD590">
        <f t="shared" si="39"/>
        <v>0</v>
      </c>
    </row>
    <row r="591" spans="27:30" x14ac:dyDescent="0.3">
      <c r="AA591">
        <f t="shared" si="36"/>
        <v>0</v>
      </c>
      <c r="AB591">
        <f t="shared" si="37"/>
        <v>0</v>
      </c>
      <c r="AC591">
        <f t="shared" si="38"/>
        <v>0</v>
      </c>
      <c r="AD591">
        <f t="shared" si="39"/>
        <v>0</v>
      </c>
    </row>
    <row r="592" spans="27:30" x14ac:dyDescent="0.3">
      <c r="AA592">
        <f t="shared" si="36"/>
        <v>0</v>
      </c>
      <c r="AB592">
        <f t="shared" si="37"/>
        <v>0</v>
      </c>
      <c r="AC592">
        <f t="shared" si="38"/>
        <v>0</v>
      </c>
      <c r="AD592">
        <f t="shared" si="39"/>
        <v>0</v>
      </c>
    </row>
    <row r="593" spans="27:30" x14ac:dyDescent="0.3">
      <c r="AA593">
        <f t="shared" si="36"/>
        <v>0</v>
      </c>
      <c r="AB593">
        <f t="shared" si="37"/>
        <v>0</v>
      </c>
      <c r="AC593">
        <f t="shared" si="38"/>
        <v>0</v>
      </c>
      <c r="AD593">
        <f t="shared" si="39"/>
        <v>0</v>
      </c>
    </row>
    <row r="594" spans="27:30" x14ac:dyDescent="0.3">
      <c r="AA594">
        <f t="shared" si="36"/>
        <v>0</v>
      </c>
      <c r="AB594">
        <f t="shared" si="37"/>
        <v>0</v>
      </c>
      <c r="AC594">
        <f t="shared" si="38"/>
        <v>0</v>
      </c>
      <c r="AD594">
        <f t="shared" si="39"/>
        <v>0</v>
      </c>
    </row>
    <row r="595" spans="27:30" x14ac:dyDescent="0.3">
      <c r="AA595">
        <f t="shared" si="36"/>
        <v>0</v>
      </c>
      <c r="AB595">
        <f t="shared" si="37"/>
        <v>0</v>
      </c>
      <c r="AC595">
        <f t="shared" si="38"/>
        <v>0</v>
      </c>
      <c r="AD595">
        <f t="shared" si="39"/>
        <v>0</v>
      </c>
    </row>
    <row r="596" spans="27:30" x14ac:dyDescent="0.3">
      <c r="AA596">
        <f t="shared" si="36"/>
        <v>0</v>
      </c>
      <c r="AB596">
        <f t="shared" si="37"/>
        <v>0</v>
      </c>
      <c r="AC596">
        <f t="shared" si="38"/>
        <v>0</v>
      </c>
      <c r="AD596">
        <f t="shared" si="39"/>
        <v>0</v>
      </c>
    </row>
    <row r="597" spans="27:30" x14ac:dyDescent="0.3">
      <c r="AA597">
        <f t="shared" si="36"/>
        <v>0</v>
      </c>
      <c r="AB597">
        <f t="shared" si="37"/>
        <v>0</v>
      </c>
      <c r="AC597">
        <f t="shared" si="38"/>
        <v>0</v>
      </c>
      <c r="AD597">
        <f t="shared" si="39"/>
        <v>0</v>
      </c>
    </row>
    <row r="598" spans="27:30" x14ac:dyDescent="0.3">
      <c r="AA598">
        <f t="shared" si="36"/>
        <v>0</v>
      </c>
      <c r="AB598">
        <f t="shared" si="37"/>
        <v>0</v>
      </c>
      <c r="AC598">
        <f t="shared" si="38"/>
        <v>0</v>
      </c>
      <c r="AD598">
        <f t="shared" si="39"/>
        <v>0</v>
      </c>
    </row>
    <row r="599" spans="27:30" x14ac:dyDescent="0.3">
      <c r="AA599">
        <f t="shared" si="36"/>
        <v>0</v>
      </c>
      <c r="AB599">
        <f t="shared" si="37"/>
        <v>0</v>
      </c>
      <c r="AC599">
        <f t="shared" si="38"/>
        <v>0</v>
      </c>
      <c r="AD599">
        <f t="shared" si="39"/>
        <v>0</v>
      </c>
    </row>
    <row r="600" spans="27:30" x14ac:dyDescent="0.3">
      <c r="AA600">
        <f t="shared" si="36"/>
        <v>0</v>
      </c>
      <c r="AB600">
        <f t="shared" si="37"/>
        <v>0</v>
      </c>
      <c r="AC600">
        <f t="shared" si="38"/>
        <v>0</v>
      </c>
      <c r="AD600">
        <f t="shared" si="39"/>
        <v>0</v>
      </c>
    </row>
    <row r="601" spans="27:30" x14ac:dyDescent="0.3">
      <c r="AA601">
        <f t="shared" si="36"/>
        <v>0</v>
      </c>
      <c r="AB601">
        <f t="shared" si="37"/>
        <v>0</v>
      </c>
      <c r="AC601">
        <f t="shared" si="38"/>
        <v>0</v>
      </c>
      <c r="AD601">
        <f t="shared" si="39"/>
        <v>0</v>
      </c>
    </row>
    <row r="602" spans="27:30" x14ac:dyDescent="0.3">
      <c r="AA602">
        <f t="shared" si="36"/>
        <v>0</v>
      </c>
      <c r="AB602">
        <f t="shared" si="37"/>
        <v>0</v>
      </c>
      <c r="AC602">
        <f t="shared" si="38"/>
        <v>0</v>
      </c>
      <c r="AD602">
        <f t="shared" si="39"/>
        <v>0</v>
      </c>
    </row>
    <row r="603" spans="27:30" x14ac:dyDescent="0.3">
      <c r="AA603">
        <f t="shared" si="36"/>
        <v>0</v>
      </c>
      <c r="AB603">
        <f t="shared" si="37"/>
        <v>0</v>
      </c>
      <c r="AC603">
        <f t="shared" si="38"/>
        <v>0</v>
      </c>
      <c r="AD603">
        <f t="shared" si="39"/>
        <v>0</v>
      </c>
    </row>
    <row r="604" spans="27:30" x14ac:dyDescent="0.3">
      <c r="AA604">
        <f t="shared" si="36"/>
        <v>0</v>
      </c>
      <c r="AB604">
        <f t="shared" si="37"/>
        <v>0</v>
      </c>
      <c r="AC604">
        <f t="shared" si="38"/>
        <v>0</v>
      </c>
      <c r="AD604">
        <f t="shared" si="39"/>
        <v>0</v>
      </c>
    </row>
    <row r="605" spans="27:30" x14ac:dyDescent="0.3">
      <c r="AA605">
        <f t="shared" si="36"/>
        <v>0</v>
      </c>
      <c r="AB605">
        <f t="shared" si="37"/>
        <v>0</v>
      </c>
      <c r="AC605">
        <f t="shared" si="38"/>
        <v>0</v>
      </c>
      <c r="AD605">
        <f t="shared" si="39"/>
        <v>0</v>
      </c>
    </row>
    <row r="606" spans="27:30" x14ac:dyDescent="0.3">
      <c r="AA606">
        <f t="shared" si="36"/>
        <v>0</v>
      </c>
      <c r="AB606">
        <f t="shared" si="37"/>
        <v>0</v>
      </c>
      <c r="AC606">
        <f t="shared" si="38"/>
        <v>0</v>
      </c>
      <c r="AD606">
        <f t="shared" si="39"/>
        <v>0</v>
      </c>
    </row>
    <row r="607" spans="27:30" x14ac:dyDescent="0.3">
      <c r="AA607">
        <f t="shared" si="36"/>
        <v>0</v>
      </c>
      <c r="AB607">
        <f t="shared" si="37"/>
        <v>0</v>
      </c>
      <c r="AC607">
        <f t="shared" si="38"/>
        <v>0</v>
      </c>
      <c r="AD607">
        <f t="shared" si="39"/>
        <v>0</v>
      </c>
    </row>
    <row r="608" spans="27:30" x14ac:dyDescent="0.3">
      <c r="AA608">
        <f t="shared" si="36"/>
        <v>0</v>
      </c>
      <c r="AB608">
        <f t="shared" si="37"/>
        <v>0</v>
      </c>
      <c r="AC608">
        <f t="shared" si="38"/>
        <v>0</v>
      </c>
      <c r="AD608">
        <f t="shared" si="39"/>
        <v>0</v>
      </c>
    </row>
    <row r="609" spans="27:30" x14ac:dyDescent="0.3">
      <c r="AA609">
        <f t="shared" si="36"/>
        <v>0</v>
      </c>
      <c r="AB609">
        <f t="shared" si="37"/>
        <v>0</v>
      </c>
      <c r="AC609">
        <f t="shared" si="38"/>
        <v>0</v>
      </c>
      <c r="AD609">
        <f t="shared" si="39"/>
        <v>0</v>
      </c>
    </row>
    <row r="610" spans="27:30" x14ac:dyDescent="0.3">
      <c r="AA610">
        <f t="shared" si="36"/>
        <v>0</v>
      </c>
      <c r="AB610">
        <f t="shared" si="37"/>
        <v>0</v>
      </c>
      <c r="AC610">
        <f t="shared" si="38"/>
        <v>0</v>
      </c>
      <c r="AD610">
        <f t="shared" si="39"/>
        <v>0</v>
      </c>
    </row>
    <row r="611" spans="27:30" x14ac:dyDescent="0.3">
      <c r="AA611">
        <f t="shared" si="36"/>
        <v>0</v>
      </c>
      <c r="AB611">
        <f t="shared" si="37"/>
        <v>0</v>
      </c>
      <c r="AC611">
        <f t="shared" si="38"/>
        <v>0</v>
      </c>
      <c r="AD611">
        <f t="shared" si="39"/>
        <v>0</v>
      </c>
    </row>
    <row r="612" spans="27:30" x14ac:dyDescent="0.3">
      <c r="AA612">
        <f t="shared" si="36"/>
        <v>0</v>
      </c>
      <c r="AB612">
        <f t="shared" si="37"/>
        <v>0</v>
      </c>
      <c r="AC612">
        <f t="shared" si="38"/>
        <v>0</v>
      </c>
      <c r="AD612">
        <f t="shared" si="39"/>
        <v>0</v>
      </c>
    </row>
    <row r="613" spans="27:30" x14ac:dyDescent="0.3">
      <c r="AA613">
        <f t="shared" si="36"/>
        <v>0</v>
      </c>
      <c r="AB613">
        <f t="shared" si="37"/>
        <v>0</v>
      </c>
      <c r="AC613">
        <f t="shared" si="38"/>
        <v>0</v>
      </c>
      <c r="AD613">
        <f t="shared" si="39"/>
        <v>0</v>
      </c>
    </row>
    <row r="614" spans="27:30" x14ac:dyDescent="0.3">
      <c r="AA614">
        <f t="shared" si="36"/>
        <v>0</v>
      </c>
      <c r="AB614">
        <f t="shared" si="37"/>
        <v>0</v>
      </c>
      <c r="AC614">
        <f t="shared" si="38"/>
        <v>0</v>
      </c>
      <c r="AD614">
        <f t="shared" si="39"/>
        <v>0</v>
      </c>
    </row>
    <row r="615" spans="27:30" x14ac:dyDescent="0.3">
      <c r="AA615">
        <f t="shared" si="36"/>
        <v>0</v>
      </c>
      <c r="AB615">
        <f t="shared" si="37"/>
        <v>0</v>
      </c>
      <c r="AC615">
        <f t="shared" si="38"/>
        <v>0</v>
      </c>
      <c r="AD615">
        <f t="shared" si="39"/>
        <v>0</v>
      </c>
    </row>
    <row r="616" spans="27:30" x14ac:dyDescent="0.3">
      <c r="AA616">
        <f t="shared" si="36"/>
        <v>0</v>
      </c>
      <c r="AB616">
        <f t="shared" si="37"/>
        <v>0</v>
      </c>
      <c r="AC616">
        <f t="shared" si="38"/>
        <v>0</v>
      </c>
      <c r="AD616">
        <f t="shared" si="39"/>
        <v>0</v>
      </c>
    </row>
    <row r="617" spans="27:30" x14ac:dyDescent="0.3">
      <c r="AA617">
        <f t="shared" si="36"/>
        <v>0</v>
      </c>
      <c r="AB617">
        <f t="shared" si="37"/>
        <v>0</v>
      </c>
      <c r="AC617">
        <f t="shared" si="38"/>
        <v>0</v>
      </c>
      <c r="AD617">
        <f t="shared" si="39"/>
        <v>0</v>
      </c>
    </row>
    <row r="618" spans="27:30" x14ac:dyDescent="0.3">
      <c r="AA618">
        <f t="shared" si="36"/>
        <v>0</v>
      </c>
      <c r="AB618">
        <f t="shared" si="37"/>
        <v>0</v>
      </c>
      <c r="AC618">
        <f t="shared" si="38"/>
        <v>0</v>
      </c>
      <c r="AD618">
        <f t="shared" si="39"/>
        <v>0</v>
      </c>
    </row>
    <row r="619" spans="27:30" x14ac:dyDescent="0.3">
      <c r="AA619">
        <f t="shared" si="36"/>
        <v>0</v>
      </c>
      <c r="AB619">
        <f t="shared" si="37"/>
        <v>0</v>
      </c>
      <c r="AC619">
        <f t="shared" si="38"/>
        <v>0</v>
      </c>
      <c r="AD619">
        <f t="shared" si="39"/>
        <v>0</v>
      </c>
    </row>
    <row r="620" spans="27:30" x14ac:dyDescent="0.3">
      <c r="AA620">
        <f t="shared" si="36"/>
        <v>0</v>
      </c>
      <c r="AB620">
        <f t="shared" si="37"/>
        <v>0</v>
      </c>
      <c r="AC620">
        <f t="shared" si="38"/>
        <v>0</v>
      </c>
      <c r="AD620">
        <f t="shared" si="39"/>
        <v>0</v>
      </c>
    </row>
    <row r="621" spans="27:30" x14ac:dyDescent="0.3">
      <c r="AA621">
        <f t="shared" si="36"/>
        <v>0</v>
      </c>
      <c r="AB621">
        <f t="shared" si="37"/>
        <v>0</v>
      </c>
      <c r="AC621">
        <f t="shared" si="38"/>
        <v>0</v>
      </c>
      <c r="AD621">
        <f t="shared" si="39"/>
        <v>0</v>
      </c>
    </row>
    <row r="622" spans="27:30" x14ac:dyDescent="0.3">
      <c r="AA622">
        <f t="shared" si="36"/>
        <v>0</v>
      </c>
      <c r="AB622">
        <f t="shared" si="37"/>
        <v>0</v>
      </c>
      <c r="AC622">
        <f t="shared" si="38"/>
        <v>0</v>
      </c>
      <c r="AD622">
        <f t="shared" si="39"/>
        <v>0</v>
      </c>
    </row>
    <row r="623" spans="27:30" x14ac:dyDescent="0.3">
      <c r="AA623">
        <f t="shared" si="36"/>
        <v>0</v>
      </c>
      <c r="AB623">
        <f t="shared" si="37"/>
        <v>0</v>
      </c>
      <c r="AC623">
        <f t="shared" si="38"/>
        <v>0</v>
      </c>
      <c r="AD623">
        <f t="shared" si="39"/>
        <v>0</v>
      </c>
    </row>
    <row r="624" spans="27:30" x14ac:dyDescent="0.3">
      <c r="AA624">
        <f t="shared" si="36"/>
        <v>0</v>
      </c>
      <c r="AB624">
        <f t="shared" si="37"/>
        <v>0</v>
      </c>
      <c r="AC624">
        <f t="shared" si="38"/>
        <v>0</v>
      </c>
      <c r="AD624">
        <f t="shared" si="39"/>
        <v>0</v>
      </c>
    </row>
    <row r="625" spans="27:30" x14ac:dyDescent="0.3">
      <c r="AA625">
        <f t="shared" si="36"/>
        <v>0</v>
      </c>
      <c r="AB625">
        <f t="shared" si="37"/>
        <v>0</v>
      </c>
      <c r="AC625">
        <f t="shared" si="38"/>
        <v>0</v>
      </c>
      <c r="AD625">
        <f t="shared" si="39"/>
        <v>0</v>
      </c>
    </row>
    <row r="626" spans="27:30" x14ac:dyDescent="0.3">
      <c r="AA626">
        <f t="shared" si="36"/>
        <v>0</v>
      </c>
      <c r="AB626">
        <f t="shared" si="37"/>
        <v>0</v>
      </c>
      <c r="AC626">
        <f t="shared" si="38"/>
        <v>0</v>
      </c>
      <c r="AD626">
        <f t="shared" si="39"/>
        <v>0</v>
      </c>
    </row>
    <row r="627" spans="27:30" x14ac:dyDescent="0.3">
      <c r="AA627">
        <f t="shared" si="36"/>
        <v>0</v>
      </c>
      <c r="AB627">
        <f t="shared" si="37"/>
        <v>0</v>
      </c>
      <c r="AC627">
        <f t="shared" si="38"/>
        <v>0</v>
      </c>
      <c r="AD627">
        <f t="shared" si="39"/>
        <v>0</v>
      </c>
    </row>
    <row r="628" spans="27:30" x14ac:dyDescent="0.3">
      <c r="AA628">
        <f t="shared" si="36"/>
        <v>0</v>
      </c>
      <c r="AB628">
        <f t="shared" si="37"/>
        <v>0</v>
      </c>
      <c r="AC628">
        <f t="shared" si="38"/>
        <v>0</v>
      </c>
      <c r="AD628">
        <f t="shared" si="39"/>
        <v>0</v>
      </c>
    </row>
    <row r="629" spans="27:30" x14ac:dyDescent="0.3">
      <c r="AA629">
        <f t="shared" si="36"/>
        <v>0</v>
      </c>
      <c r="AB629">
        <f t="shared" si="37"/>
        <v>0</v>
      </c>
      <c r="AC629">
        <f t="shared" si="38"/>
        <v>0</v>
      </c>
      <c r="AD629">
        <f t="shared" si="39"/>
        <v>0</v>
      </c>
    </row>
    <row r="630" spans="27:30" x14ac:dyDescent="0.3">
      <c r="AA630">
        <f t="shared" si="36"/>
        <v>0</v>
      </c>
      <c r="AB630">
        <f t="shared" si="37"/>
        <v>0</v>
      </c>
      <c r="AC630">
        <f t="shared" si="38"/>
        <v>0</v>
      </c>
      <c r="AD630">
        <f t="shared" si="39"/>
        <v>0</v>
      </c>
    </row>
    <row r="631" spans="27:30" x14ac:dyDescent="0.3">
      <c r="AA631">
        <f t="shared" si="36"/>
        <v>0</v>
      </c>
      <c r="AB631">
        <f t="shared" si="37"/>
        <v>0</v>
      </c>
      <c r="AC631">
        <f t="shared" si="38"/>
        <v>0</v>
      </c>
      <c r="AD631">
        <f t="shared" si="39"/>
        <v>0</v>
      </c>
    </row>
    <row r="632" spans="27:30" x14ac:dyDescent="0.3">
      <c r="AA632">
        <f t="shared" si="36"/>
        <v>0</v>
      </c>
      <c r="AB632">
        <f t="shared" si="37"/>
        <v>0</v>
      </c>
      <c r="AC632">
        <f t="shared" si="38"/>
        <v>0</v>
      </c>
      <c r="AD632">
        <f t="shared" si="39"/>
        <v>0</v>
      </c>
    </row>
    <row r="633" spans="27:30" x14ac:dyDescent="0.3">
      <c r="AA633">
        <f t="shared" si="36"/>
        <v>0</v>
      </c>
      <c r="AB633">
        <f t="shared" si="37"/>
        <v>0</v>
      </c>
      <c r="AC633">
        <f t="shared" si="38"/>
        <v>0</v>
      </c>
      <c r="AD633">
        <f t="shared" si="39"/>
        <v>0</v>
      </c>
    </row>
    <row r="634" spans="27:30" x14ac:dyDescent="0.3">
      <c r="AA634">
        <f t="shared" si="36"/>
        <v>0</v>
      </c>
      <c r="AB634">
        <f t="shared" si="37"/>
        <v>0</v>
      </c>
      <c r="AC634">
        <f t="shared" si="38"/>
        <v>0</v>
      </c>
      <c r="AD634">
        <f t="shared" si="39"/>
        <v>0</v>
      </c>
    </row>
    <row r="635" spans="27:30" x14ac:dyDescent="0.3">
      <c r="AA635">
        <f t="shared" si="36"/>
        <v>0</v>
      </c>
      <c r="AB635">
        <f t="shared" si="37"/>
        <v>0</v>
      </c>
      <c r="AC635">
        <f t="shared" si="38"/>
        <v>0</v>
      </c>
      <c r="AD635">
        <f t="shared" si="39"/>
        <v>0</v>
      </c>
    </row>
    <row r="636" spans="27:30" x14ac:dyDescent="0.3">
      <c r="AA636">
        <f t="shared" si="36"/>
        <v>0</v>
      </c>
      <c r="AB636">
        <f t="shared" si="37"/>
        <v>0</v>
      </c>
      <c r="AC636">
        <f t="shared" si="38"/>
        <v>0</v>
      </c>
      <c r="AD636">
        <f t="shared" si="39"/>
        <v>0</v>
      </c>
    </row>
    <row r="637" spans="27:30" x14ac:dyDescent="0.3">
      <c r="AA637">
        <f t="shared" si="36"/>
        <v>0</v>
      </c>
      <c r="AB637">
        <f t="shared" si="37"/>
        <v>0</v>
      </c>
      <c r="AC637">
        <f t="shared" si="38"/>
        <v>0</v>
      </c>
      <c r="AD637">
        <f t="shared" si="39"/>
        <v>0</v>
      </c>
    </row>
    <row r="638" spans="27:30" x14ac:dyDescent="0.3">
      <c r="AA638">
        <f t="shared" si="36"/>
        <v>0</v>
      </c>
      <c r="AB638">
        <f t="shared" si="37"/>
        <v>0</v>
      </c>
      <c r="AC638">
        <f t="shared" si="38"/>
        <v>0</v>
      </c>
      <c r="AD638">
        <f t="shared" si="39"/>
        <v>0</v>
      </c>
    </row>
    <row r="639" spans="27:30" x14ac:dyDescent="0.3">
      <c r="AA639">
        <f t="shared" si="36"/>
        <v>0</v>
      </c>
      <c r="AB639">
        <f t="shared" si="37"/>
        <v>0</v>
      </c>
      <c r="AC639">
        <f t="shared" si="38"/>
        <v>0</v>
      </c>
      <c r="AD639">
        <f t="shared" si="39"/>
        <v>0</v>
      </c>
    </row>
    <row r="640" spans="27:30" x14ac:dyDescent="0.3">
      <c r="AA640">
        <f t="shared" si="36"/>
        <v>0</v>
      </c>
      <c r="AB640">
        <f t="shared" si="37"/>
        <v>0</v>
      </c>
      <c r="AC640">
        <f t="shared" si="38"/>
        <v>0</v>
      </c>
      <c r="AD640">
        <f t="shared" si="39"/>
        <v>0</v>
      </c>
    </row>
    <row r="641" spans="27:30" x14ac:dyDescent="0.3">
      <c r="AA641">
        <f t="shared" si="36"/>
        <v>0</v>
      </c>
      <c r="AB641">
        <f t="shared" si="37"/>
        <v>0</v>
      </c>
      <c r="AC641">
        <f t="shared" si="38"/>
        <v>0</v>
      </c>
      <c r="AD641">
        <f t="shared" si="39"/>
        <v>0</v>
      </c>
    </row>
    <row r="642" spans="27:30" x14ac:dyDescent="0.3">
      <c r="AA642">
        <f t="shared" si="36"/>
        <v>0</v>
      </c>
      <c r="AB642">
        <f t="shared" si="37"/>
        <v>0</v>
      </c>
      <c r="AC642">
        <f t="shared" si="38"/>
        <v>0</v>
      </c>
      <c r="AD642">
        <f t="shared" si="39"/>
        <v>0</v>
      </c>
    </row>
    <row r="643" spans="27:30" x14ac:dyDescent="0.3">
      <c r="AA643">
        <f t="shared" si="36"/>
        <v>0</v>
      </c>
      <c r="AB643">
        <f t="shared" si="37"/>
        <v>0</v>
      </c>
      <c r="AC643">
        <f t="shared" si="38"/>
        <v>0</v>
      </c>
      <c r="AD643">
        <f t="shared" si="39"/>
        <v>0</v>
      </c>
    </row>
    <row r="644" spans="27:30" x14ac:dyDescent="0.3">
      <c r="AA644">
        <f t="shared" si="36"/>
        <v>0</v>
      </c>
      <c r="AB644">
        <f t="shared" si="37"/>
        <v>0</v>
      </c>
      <c r="AC644">
        <f t="shared" si="38"/>
        <v>0</v>
      </c>
      <c r="AD644">
        <f t="shared" si="39"/>
        <v>0</v>
      </c>
    </row>
    <row r="645" spans="27:30" x14ac:dyDescent="0.3">
      <c r="AA645">
        <f t="shared" ref="AA645:AA708" si="40">ROUND(Z645,0)</f>
        <v>0</v>
      </c>
      <c r="AB645">
        <f t="shared" ref="AB645:AB708" si="41">IF(AA645=Y645,0,1)</f>
        <v>0</v>
      </c>
      <c r="AC645">
        <f t="shared" ref="AC645:AC708" si="42">IF(AA645&lt;Y645+5,IF(AA645&gt;Y645-5,0,1),1)</f>
        <v>0</v>
      </c>
      <c r="AD645">
        <f t="shared" ref="AD645:AD708" si="43">IF(AA645&lt;Y645+10,IF(AA645&gt;Y645-10,0,1),1)</f>
        <v>0</v>
      </c>
    </row>
    <row r="646" spans="27:30" x14ac:dyDescent="0.3">
      <c r="AA646">
        <f t="shared" si="40"/>
        <v>0</v>
      </c>
      <c r="AB646">
        <f t="shared" si="41"/>
        <v>0</v>
      </c>
      <c r="AC646">
        <f t="shared" si="42"/>
        <v>0</v>
      </c>
      <c r="AD646">
        <f t="shared" si="43"/>
        <v>0</v>
      </c>
    </row>
    <row r="647" spans="27:30" x14ac:dyDescent="0.3">
      <c r="AA647">
        <f t="shared" si="40"/>
        <v>0</v>
      </c>
      <c r="AB647">
        <f t="shared" si="41"/>
        <v>0</v>
      </c>
      <c r="AC647">
        <f t="shared" si="42"/>
        <v>0</v>
      </c>
      <c r="AD647">
        <f t="shared" si="43"/>
        <v>0</v>
      </c>
    </row>
    <row r="648" spans="27:30" x14ac:dyDescent="0.3">
      <c r="AA648">
        <f t="shared" si="40"/>
        <v>0</v>
      </c>
      <c r="AB648">
        <f t="shared" si="41"/>
        <v>0</v>
      </c>
      <c r="AC648">
        <f t="shared" si="42"/>
        <v>0</v>
      </c>
      <c r="AD648">
        <f t="shared" si="43"/>
        <v>0</v>
      </c>
    </row>
    <row r="649" spans="27:30" x14ac:dyDescent="0.3">
      <c r="AA649">
        <f t="shared" si="40"/>
        <v>0</v>
      </c>
      <c r="AB649">
        <f t="shared" si="41"/>
        <v>0</v>
      </c>
      <c r="AC649">
        <f t="shared" si="42"/>
        <v>0</v>
      </c>
      <c r="AD649">
        <f t="shared" si="43"/>
        <v>0</v>
      </c>
    </row>
    <row r="650" spans="27:30" x14ac:dyDescent="0.3">
      <c r="AA650">
        <f t="shared" si="40"/>
        <v>0</v>
      </c>
      <c r="AB650">
        <f t="shared" si="41"/>
        <v>0</v>
      </c>
      <c r="AC650">
        <f t="shared" si="42"/>
        <v>0</v>
      </c>
      <c r="AD650">
        <f t="shared" si="43"/>
        <v>0</v>
      </c>
    </row>
    <row r="651" spans="27:30" x14ac:dyDescent="0.3">
      <c r="AA651">
        <f t="shared" si="40"/>
        <v>0</v>
      </c>
      <c r="AB651">
        <f t="shared" si="41"/>
        <v>0</v>
      </c>
      <c r="AC651">
        <f t="shared" si="42"/>
        <v>0</v>
      </c>
      <c r="AD651">
        <f t="shared" si="43"/>
        <v>0</v>
      </c>
    </row>
    <row r="652" spans="27:30" x14ac:dyDescent="0.3">
      <c r="AA652">
        <f t="shared" si="40"/>
        <v>0</v>
      </c>
      <c r="AB652">
        <f t="shared" si="41"/>
        <v>0</v>
      </c>
      <c r="AC652">
        <f t="shared" si="42"/>
        <v>0</v>
      </c>
      <c r="AD652">
        <f t="shared" si="43"/>
        <v>0</v>
      </c>
    </row>
    <row r="653" spans="27:30" x14ac:dyDescent="0.3">
      <c r="AA653">
        <f t="shared" si="40"/>
        <v>0</v>
      </c>
      <c r="AB653">
        <f t="shared" si="41"/>
        <v>0</v>
      </c>
      <c r="AC653">
        <f t="shared" si="42"/>
        <v>0</v>
      </c>
      <c r="AD653">
        <f t="shared" si="43"/>
        <v>0</v>
      </c>
    </row>
    <row r="654" spans="27:30" x14ac:dyDescent="0.3">
      <c r="AA654">
        <f t="shared" si="40"/>
        <v>0</v>
      </c>
      <c r="AB654">
        <f t="shared" si="41"/>
        <v>0</v>
      </c>
      <c r="AC654">
        <f t="shared" si="42"/>
        <v>0</v>
      </c>
      <c r="AD654">
        <f t="shared" si="43"/>
        <v>0</v>
      </c>
    </row>
    <row r="655" spans="27:30" x14ac:dyDescent="0.3">
      <c r="AA655">
        <f t="shared" si="40"/>
        <v>0</v>
      </c>
      <c r="AB655">
        <f t="shared" si="41"/>
        <v>0</v>
      </c>
      <c r="AC655">
        <f t="shared" si="42"/>
        <v>0</v>
      </c>
      <c r="AD655">
        <f t="shared" si="43"/>
        <v>0</v>
      </c>
    </row>
    <row r="656" spans="27:30" x14ac:dyDescent="0.3">
      <c r="AA656">
        <f t="shared" si="40"/>
        <v>0</v>
      </c>
      <c r="AB656">
        <f t="shared" si="41"/>
        <v>0</v>
      </c>
      <c r="AC656">
        <f t="shared" si="42"/>
        <v>0</v>
      </c>
      <c r="AD656">
        <f t="shared" si="43"/>
        <v>0</v>
      </c>
    </row>
    <row r="657" spans="27:30" x14ac:dyDescent="0.3">
      <c r="AA657">
        <f t="shared" si="40"/>
        <v>0</v>
      </c>
      <c r="AB657">
        <f t="shared" si="41"/>
        <v>0</v>
      </c>
      <c r="AC657">
        <f t="shared" si="42"/>
        <v>0</v>
      </c>
      <c r="AD657">
        <f t="shared" si="43"/>
        <v>0</v>
      </c>
    </row>
    <row r="658" spans="27:30" x14ac:dyDescent="0.3">
      <c r="AA658">
        <f t="shared" si="40"/>
        <v>0</v>
      </c>
      <c r="AB658">
        <f t="shared" si="41"/>
        <v>0</v>
      </c>
      <c r="AC658">
        <f t="shared" si="42"/>
        <v>0</v>
      </c>
      <c r="AD658">
        <f t="shared" si="43"/>
        <v>0</v>
      </c>
    </row>
    <row r="659" spans="27:30" x14ac:dyDescent="0.3">
      <c r="AA659">
        <f t="shared" si="40"/>
        <v>0</v>
      </c>
      <c r="AB659">
        <f t="shared" si="41"/>
        <v>0</v>
      </c>
      <c r="AC659">
        <f t="shared" si="42"/>
        <v>0</v>
      </c>
      <c r="AD659">
        <f t="shared" si="43"/>
        <v>0</v>
      </c>
    </row>
    <row r="660" spans="27:30" x14ac:dyDescent="0.3">
      <c r="AA660">
        <f t="shared" si="40"/>
        <v>0</v>
      </c>
      <c r="AB660">
        <f t="shared" si="41"/>
        <v>0</v>
      </c>
      <c r="AC660">
        <f t="shared" si="42"/>
        <v>0</v>
      </c>
      <c r="AD660">
        <f t="shared" si="43"/>
        <v>0</v>
      </c>
    </row>
    <row r="661" spans="27:30" x14ac:dyDescent="0.3">
      <c r="AA661">
        <f t="shared" si="40"/>
        <v>0</v>
      </c>
      <c r="AB661">
        <f t="shared" si="41"/>
        <v>0</v>
      </c>
      <c r="AC661">
        <f t="shared" si="42"/>
        <v>0</v>
      </c>
      <c r="AD661">
        <f t="shared" si="43"/>
        <v>0</v>
      </c>
    </row>
    <row r="662" spans="27:30" x14ac:dyDescent="0.3">
      <c r="AA662">
        <f t="shared" si="40"/>
        <v>0</v>
      </c>
      <c r="AB662">
        <f t="shared" si="41"/>
        <v>0</v>
      </c>
      <c r="AC662">
        <f t="shared" si="42"/>
        <v>0</v>
      </c>
      <c r="AD662">
        <f t="shared" si="43"/>
        <v>0</v>
      </c>
    </row>
    <row r="663" spans="27:30" x14ac:dyDescent="0.3">
      <c r="AA663">
        <f t="shared" si="40"/>
        <v>0</v>
      </c>
      <c r="AB663">
        <f t="shared" si="41"/>
        <v>0</v>
      </c>
      <c r="AC663">
        <f t="shared" si="42"/>
        <v>0</v>
      </c>
      <c r="AD663">
        <f t="shared" si="43"/>
        <v>0</v>
      </c>
    </row>
    <row r="664" spans="27:30" x14ac:dyDescent="0.3">
      <c r="AA664">
        <f t="shared" si="40"/>
        <v>0</v>
      </c>
      <c r="AB664">
        <f t="shared" si="41"/>
        <v>0</v>
      </c>
      <c r="AC664">
        <f t="shared" si="42"/>
        <v>0</v>
      </c>
      <c r="AD664">
        <f t="shared" si="43"/>
        <v>0</v>
      </c>
    </row>
    <row r="665" spans="27:30" x14ac:dyDescent="0.3">
      <c r="AA665">
        <f t="shared" si="40"/>
        <v>0</v>
      </c>
      <c r="AB665">
        <f t="shared" si="41"/>
        <v>0</v>
      </c>
      <c r="AC665">
        <f t="shared" si="42"/>
        <v>0</v>
      </c>
      <c r="AD665">
        <f t="shared" si="43"/>
        <v>0</v>
      </c>
    </row>
    <row r="666" spans="27:30" x14ac:dyDescent="0.3">
      <c r="AA666">
        <f t="shared" si="40"/>
        <v>0</v>
      </c>
      <c r="AB666">
        <f t="shared" si="41"/>
        <v>0</v>
      </c>
      <c r="AC666">
        <f t="shared" si="42"/>
        <v>0</v>
      </c>
      <c r="AD666">
        <f t="shared" si="43"/>
        <v>0</v>
      </c>
    </row>
    <row r="667" spans="27:30" x14ac:dyDescent="0.3">
      <c r="AA667">
        <f t="shared" si="40"/>
        <v>0</v>
      </c>
      <c r="AB667">
        <f t="shared" si="41"/>
        <v>0</v>
      </c>
      <c r="AC667">
        <f t="shared" si="42"/>
        <v>0</v>
      </c>
      <c r="AD667">
        <f t="shared" si="43"/>
        <v>0</v>
      </c>
    </row>
    <row r="668" spans="27:30" x14ac:dyDescent="0.3">
      <c r="AA668">
        <f t="shared" si="40"/>
        <v>0</v>
      </c>
      <c r="AB668">
        <f t="shared" si="41"/>
        <v>0</v>
      </c>
      <c r="AC668">
        <f t="shared" si="42"/>
        <v>0</v>
      </c>
      <c r="AD668">
        <f t="shared" si="43"/>
        <v>0</v>
      </c>
    </row>
    <row r="669" spans="27:30" x14ac:dyDescent="0.3">
      <c r="AA669">
        <f t="shared" si="40"/>
        <v>0</v>
      </c>
      <c r="AB669">
        <f t="shared" si="41"/>
        <v>0</v>
      </c>
      <c r="AC669">
        <f t="shared" si="42"/>
        <v>0</v>
      </c>
      <c r="AD669">
        <f t="shared" si="43"/>
        <v>0</v>
      </c>
    </row>
    <row r="670" spans="27:30" x14ac:dyDescent="0.3">
      <c r="AA670">
        <f t="shared" si="40"/>
        <v>0</v>
      </c>
      <c r="AB670">
        <f t="shared" si="41"/>
        <v>0</v>
      </c>
      <c r="AC670">
        <f t="shared" si="42"/>
        <v>0</v>
      </c>
      <c r="AD670">
        <f t="shared" si="43"/>
        <v>0</v>
      </c>
    </row>
    <row r="671" spans="27:30" x14ac:dyDescent="0.3">
      <c r="AA671">
        <f t="shared" si="40"/>
        <v>0</v>
      </c>
      <c r="AB671">
        <f t="shared" si="41"/>
        <v>0</v>
      </c>
      <c r="AC671">
        <f t="shared" si="42"/>
        <v>0</v>
      </c>
      <c r="AD671">
        <f t="shared" si="43"/>
        <v>0</v>
      </c>
    </row>
    <row r="672" spans="27:30" x14ac:dyDescent="0.3">
      <c r="AA672">
        <f t="shared" si="40"/>
        <v>0</v>
      </c>
      <c r="AB672">
        <f t="shared" si="41"/>
        <v>0</v>
      </c>
      <c r="AC672">
        <f t="shared" si="42"/>
        <v>0</v>
      </c>
      <c r="AD672">
        <f t="shared" si="43"/>
        <v>0</v>
      </c>
    </row>
    <row r="673" spans="27:30" x14ac:dyDescent="0.3">
      <c r="AA673">
        <f t="shared" si="40"/>
        <v>0</v>
      </c>
      <c r="AB673">
        <f t="shared" si="41"/>
        <v>0</v>
      </c>
      <c r="AC673">
        <f t="shared" si="42"/>
        <v>0</v>
      </c>
      <c r="AD673">
        <f t="shared" si="43"/>
        <v>0</v>
      </c>
    </row>
    <row r="674" spans="27:30" x14ac:dyDescent="0.3">
      <c r="AA674">
        <f t="shared" si="40"/>
        <v>0</v>
      </c>
      <c r="AB674">
        <f t="shared" si="41"/>
        <v>0</v>
      </c>
      <c r="AC674">
        <f t="shared" si="42"/>
        <v>0</v>
      </c>
      <c r="AD674">
        <f t="shared" si="43"/>
        <v>0</v>
      </c>
    </row>
    <row r="675" spans="27:30" x14ac:dyDescent="0.3">
      <c r="AA675">
        <f t="shared" si="40"/>
        <v>0</v>
      </c>
      <c r="AB675">
        <f t="shared" si="41"/>
        <v>0</v>
      </c>
      <c r="AC675">
        <f t="shared" si="42"/>
        <v>0</v>
      </c>
      <c r="AD675">
        <f t="shared" si="43"/>
        <v>0</v>
      </c>
    </row>
    <row r="676" spans="27:30" x14ac:dyDescent="0.3">
      <c r="AA676">
        <f t="shared" si="40"/>
        <v>0</v>
      </c>
      <c r="AB676">
        <f t="shared" si="41"/>
        <v>0</v>
      </c>
      <c r="AC676">
        <f t="shared" si="42"/>
        <v>0</v>
      </c>
      <c r="AD676">
        <f t="shared" si="43"/>
        <v>0</v>
      </c>
    </row>
    <row r="677" spans="27:30" x14ac:dyDescent="0.3">
      <c r="AA677">
        <f t="shared" si="40"/>
        <v>0</v>
      </c>
      <c r="AB677">
        <f t="shared" si="41"/>
        <v>0</v>
      </c>
      <c r="AC677">
        <f t="shared" si="42"/>
        <v>0</v>
      </c>
      <c r="AD677">
        <f t="shared" si="43"/>
        <v>0</v>
      </c>
    </row>
    <row r="678" spans="27:30" x14ac:dyDescent="0.3">
      <c r="AA678">
        <f t="shared" si="40"/>
        <v>0</v>
      </c>
      <c r="AB678">
        <f t="shared" si="41"/>
        <v>0</v>
      </c>
      <c r="AC678">
        <f t="shared" si="42"/>
        <v>0</v>
      </c>
      <c r="AD678">
        <f t="shared" si="43"/>
        <v>0</v>
      </c>
    </row>
    <row r="679" spans="27:30" x14ac:dyDescent="0.3">
      <c r="AA679">
        <f t="shared" si="40"/>
        <v>0</v>
      </c>
      <c r="AB679">
        <f t="shared" si="41"/>
        <v>0</v>
      </c>
      <c r="AC679">
        <f t="shared" si="42"/>
        <v>0</v>
      </c>
      <c r="AD679">
        <f t="shared" si="43"/>
        <v>0</v>
      </c>
    </row>
    <row r="680" spans="27:30" x14ac:dyDescent="0.3">
      <c r="AA680">
        <f t="shared" si="40"/>
        <v>0</v>
      </c>
      <c r="AB680">
        <f t="shared" si="41"/>
        <v>0</v>
      </c>
      <c r="AC680">
        <f t="shared" si="42"/>
        <v>0</v>
      </c>
      <c r="AD680">
        <f t="shared" si="43"/>
        <v>0</v>
      </c>
    </row>
    <row r="681" spans="27:30" x14ac:dyDescent="0.3">
      <c r="AA681">
        <f t="shared" si="40"/>
        <v>0</v>
      </c>
      <c r="AB681">
        <f t="shared" si="41"/>
        <v>0</v>
      </c>
      <c r="AC681">
        <f t="shared" si="42"/>
        <v>0</v>
      </c>
      <c r="AD681">
        <f t="shared" si="43"/>
        <v>0</v>
      </c>
    </row>
    <row r="682" spans="27:30" x14ac:dyDescent="0.3">
      <c r="AA682">
        <f t="shared" si="40"/>
        <v>0</v>
      </c>
      <c r="AB682">
        <f t="shared" si="41"/>
        <v>0</v>
      </c>
      <c r="AC682">
        <f t="shared" si="42"/>
        <v>0</v>
      </c>
      <c r="AD682">
        <f t="shared" si="43"/>
        <v>0</v>
      </c>
    </row>
    <row r="683" spans="27:30" x14ac:dyDescent="0.3">
      <c r="AA683">
        <f t="shared" si="40"/>
        <v>0</v>
      </c>
      <c r="AB683">
        <f t="shared" si="41"/>
        <v>0</v>
      </c>
      <c r="AC683">
        <f t="shared" si="42"/>
        <v>0</v>
      </c>
      <c r="AD683">
        <f t="shared" si="43"/>
        <v>0</v>
      </c>
    </row>
    <row r="684" spans="27:30" x14ac:dyDescent="0.3">
      <c r="AA684">
        <f t="shared" si="40"/>
        <v>0</v>
      </c>
      <c r="AB684">
        <f t="shared" si="41"/>
        <v>0</v>
      </c>
      <c r="AC684">
        <f t="shared" si="42"/>
        <v>0</v>
      </c>
      <c r="AD684">
        <f t="shared" si="43"/>
        <v>0</v>
      </c>
    </row>
    <row r="685" spans="27:30" x14ac:dyDescent="0.3">
      <c r="AA685">
        <f t="shared" si="40"/>
        <v>0</v>
      </c>
      <c r="AB685">
        <f t="shared" si="41"/>
        <v>0</v>
      </c>
      <c r="AC685">
        <f t="shared" si="42"/>
        <v>0</v>
      </c>
      <c r="AD685">
        <f t="shared" si="43"/>
        <v>0</v>
      </c>
    </row>
    <row r="686" spans="27:30" x14ac:dyDescent="0.3">
      <c r="AA686">
        <f t="shared" si="40"/>
        <v>0</v>
      </c>
      <c r="AB686">
        <f t="shared" si="41"/>
        <v>0</v>
      </c>
      <c r="AC686">
        <f t="shared" si="42"/>
        <v>0</v>
      </c>
      <c r="AD686">
        <f t="shared" si="43"/>
        <v>0</v>
      </c>
    </row>
    <row r="687" spans="27:30" x14ac:dyDescent="0.3">
      <c r="AA687">
        <f t="shared" si="40"/>
        <v>0</v>
      </c>
      <c r="AB687">
        <f t="shared" si="41"/>
        <v>0</v>
      </c>
      <c r="AC687">
        <f t="shared" si="42"/>
        <v>0</v>
      </c>
      <c r="AD687">
        <f t="shared" si="43"/>
        <v>0</v>
      </c>
    </row>
    <row r="688" spans="27:30" x14ac:dyDescent="0.3">
      <c r="AA688">
        <f t="shared" si="40"/>
        <v>0</v>
      </c>
      <c r="AB688">
        <f t="shared" si="41"/>
        <v>0</v>
      </c>
      <c r="AC688">
        <f t="shared" si="42"/>
        <v>0</v>
      </c>
      <c r="AD688">
        <f t="shared" si="43"/>
        <v>0</v>
      </c>
    </row>
    <row r="689" spans="27:30" x14ac:dyDescent="0.3">
      <c r="AA689">
        <f t="shared" si="40"/>
        <v>0</v>
      </c>
      <c r="AB689">
        <f t="shared" si="41"/>
        <v>0</v>
      </c>
      <c r="AC689">
        <f t="shared" si="42"/>
        <v>0</v>
      </c>
      <c r="AD689">
        <f t="shared" si="43"/>
        <v>0</v>
      </c>
    </row>
    <row r="690" spans="27:30" x14ac:dyDescent="0.3">
      <c r="AA690">
        <f t="shared" si="40"/>
        <v>0</v>
      </c>
      <c r="AB690">
        <f t="shared" si="41"/>
        <v>0</v>
      </c>
      <c r="AC690">
        <f t="shared" si="42"/>
        <v>0</v>
      </c>
      <c r="AD690">
        <f t="shared" si="43"/>
        <v>0</v>
      </c>
    </row>
    <row r="691" spans="27:30" x14ac:dyDescent="0.3">
      <c r="AA691">
        <f t="shared" si="40"/>
        <v>0</v>
      </c>
      <c r="AB691">
        <f t="shared" si="41"/>
        <v>0</v>
      </c>
      <c r="AC691">
        <f t="shared" si="42"/>
        <v>0</v>
      </c>
      <c r="AD691">
        <f t="shared" si="43"/>
        <v>0</v>
      </c>
    </row>
    <row r="692" spans="27:30" x14ac:dyDescent="0.3">
      <c r="AA692">
        <f t="shared" si="40"/>
        <v>0</v>
      </c>
      <c r="AB692">
        <f t="shared" si="41"/>
        <v>0</v>
      </c>
      <c r="AC692">
        <f t="shared" si="42"/>
        <v>0</v>
      </c>
      <c r="AD692">
        <f t="shared" si="43"/>
        <v>0</v>
      </c>
    </row>
    <row r="693" spans="27:30" x14ac:dyDescent="0.3">
      <c r="AA693">
        <f t="shared" si="40"/>
        <v>0</v>
      </c>
      <c r="AB693">
        <f t="shared" si="41"/>
        <v>0</v>
      </c>
      <c r="AC693">
        <f t="shared" si="42"/>
        <v>0</v>
      </c>
      <c r="AD693">
        <f t="shared" si="43"/>
        <v>0</v>
      </c>
    </row>
    <row r="694" spans="27:30" x14ac:dyDescent="0.3">
      <c r="AA694">
        <f t="shared" si="40"/>
        <v>0</v>
      </c>
      <c r="AB694">
        <f t="shared" si="41"/>
        <v>0</v>
      </c>
      <c r="AC694">
        <f t="shared" si="42"/>
        <v>0</v>
      </c>
      <c r="AD694">
        <f t="shared" si="43"/>
        <v>0</v>
      </c>
    </row>
    <row r="695" spans="27:30" x14ac:dyDescent="0.3">
      <c r="AA695">
        <f t="shared" si="40"/>
        <v>0</v>
      </c>
      <c r="AB695">
        <f t="shared" si="41"/>
        <v>0</v>
      </c>
      <c r="AC695">
        <f t="shared" si="42"/>
        <v>0</v>
      </c>
      <c r="AD695">
        <f t="shared" si="43"/>
        <v>0</v>
      </c>
    </row>
    <row r="696" spans="27:30" x14ac:dyDescent="0.3">
      <c r="AA696">
        <f t="shared" si="40"/>
        <v>0</v>
      </c>
      <c r="AB696">
        <f t="shared" si="41"/>
        <v>0</v>
      </c>
      <c r="AC696">
        <f t="shared" si="42"/>
        <v>0</v>
      </c>
      <c r="AD696">
        <f t="shared" si="43"/>
        <v>0</v>
      </c>
    </row>
    <row r="697" spans="27:30" x14ac:dyDescent="0.3">
      <c r="AA697">
        <f t="shared" si="40"/>
        <v>0</v>
      </c>
      <c r="AB697">
        <f t="shared" si="41"/>
        <v>0</v>
      </c>
      <c r="AC697">
        <f t="shared" si="42"/>
        <v>0</v>
      </c>
      <c r="AD697">
        <f t="shared" si="43"/>
        <v>0</v>
      </c>
    </row>
    <row r="698" spans="27:30" x14ac:dyDescent="0.3">
      <c r="AA698">
        <f t="shared" si="40"/>
        <v>0</v>
      </c>
      <c r="AB698">
        <f t="shared" si="41"/>
        <v>0</v>
      </c>
      <c r="AC698">
        <f t="shared" si="42"/>
        <v>0</v>
      </c>
      <c r="AD698">
        <f t="shared" si="43"/>
        <v>0</v>
      </c>
    </row>
    <row r="699" spans="27:30" x14ac:dyDescent="0.3">
      <c r="AA699">
        <f t="shared" si="40"/>
        <v>0</v>
      </c>
      <c r="AB699">
        <f t="shared" si="41"/>
        <v>0</v>
      </c>
      <c r="AC699">
        <f t="shared" si="42"/>
        <v>0</v>
      </c>
      <c r="AD699">
        <f t="shared" si="43"/>
        <v>0</v>
      </c>
    </row>
    <row r="700" spans="27:30" x14ac:dyDescent="0.3">
      <c r="AA700">
        <f t="shared" si="40"/>
        <v>0</v>
      </c>
      <c r="AB700">
        <f t="shared" si="41"/>
        <v>0</v>
      </c>
      <c r="AC700">
        <f t="shared" si="42"/>
        <v>0</v>
      </c>
      <c r="AD700">
        <f t="shared" si="43"/>
        <v>0</v>
      </c>
    </row>
    <row r="701" spans="27:30" x14ac:dyDescent="0.3">
      <c r="AA701">
        <f t="shared" si="40"/>
        <v>0</v>
      </c>
      <c r="AB701">
        <f t="shared" si="41"/>
        <v>0</v>
      </c>
      <c r="AC701">
        <f t="shared" si="42"/>
        <v>0</v>
      </c>
      <c r="AD701">
        <f t="shared" si="43"/>
        <v>0</v>
      </c>
    </row>
    <row r="702" spans="27:30" x14ac:dyDescent="0.3">
      <c r="AA702">
        <f t="shared" si="40"/>
        <v>0</v>
      </c>
      <c r="AB702">
        <f t="shared" si="41"/>
        <v>0</v>
      </c>
      <c r="AC702">
        <f t="shared" si="42"/>
        <v>0</v>
      </c>
      <c r="AD702">
        <f t="shared" si="43"/>
        <v>0</v>
      </c>
    </row>
    <row r="703" spans="27:30" x14ac:dyDescent="0.3">
      <c r="AA703">
        <f t="shared" si="40"/>
        <v>0</v>
      </c>
      <c r="AB703">
        <f t="shared" si="41"/>
        <v>0</v>
      </c>
      <c r="AC703">
        <f t="shared" si="42"/>
        <v>0</v>
      </c>
      <c r="AD703">
        <f t="shared" si="43"/>
        <v>0</v>
      </c>
    </row>
    <row r="704" spans="27:30" x14ac:dyDescent="0.3">
      <c r="AA704">
        <f t="shared" si="40"/>
        <v>0</v>
      </c>
      <c r="AB704">
        <f t="shared" si="41"/>
        <v>0</v>
      </c>
      <c r="AC704">
        <f t="shared" si="42"/>
        <v>0</v>
      </c>
      <c r="AD704">
        <f t="shared" si="43"/>
        <v>0</v>
      </c>
    </row>
    <row r="705" spans="27:30" x14ac:dyDescent="0.3">
      <c r="AA705">
        <f t="shared" si="40"/>
        <v>0</v>
      </c>
      <c r="AB705">
        <f t="shared" si="41"/>
        <v>0</v>
      </c>
      <c r="AC705">
        <f t="shared" si="42"/>
        <v>0</v>
      </c>
      <c r="AD705">
        <f t="shared" si="43"/>
        <v>0</v>
      </c>
    </row>
    <row r="706" spans="27:30" x14ac:dyDescent="0.3">
      <c r="AA706">
        <f t="shared" si="40"/>
        <v>0</v>
      </c>
      <c r="AB706">
        <f t="shared" si="41"/>
        <v>0</v>
      </c>
      <c r="AC706">
        <f t="shared" si="42"/>
        <v>0</v>
      </c>
      <c r="AD706">
        <f t="shared" si="43"/>
        <v>0</v>
      </c>
    </row>
    <row r="707" spans="27:30" x14ac:dyDescent="0.3">
      <c r="AA707">
        <f t="shared" si="40"/>
        <v>0</v>
      </c>
      <c r="AB707">
        <f t="shared" si="41"/>
        <v>0</v>
      </c>
      <c r="AC707">
        <f t="shared" si="42"/>
        <v>0</v>
      </c>
      <c r="AD707">
        <f t="shared" si="43"/>
        <v>0</v>
      </c>
    </row>
    <row r="708" spans="27:30" x14ac:dyDescent="0.3">
      <c r="AA708">
        <f t="shared" si="40"/>
        <v>0</v>
      </c>
      <c r="AB708">
        <f t="shared" si="41"/>
        <v>0</v>
      </c>
      <c r="AC708">
        <f t="shared" si="42"/>
        <v>0</v>
      </c>
      <c r="AD708">
        <f t="shared" si="43"/>
        <v>0</v>
      </c>
    </row>
    <row r="709" spans="27:30" x14ac:dyDescent="0.3">
      <c r="AA709">
        <f t="shared" ref="AA709:AA772" si="44">ROUND(Z709,0)</f>
        <v>0</v>
      </c>
      <c r="AB709">
        <f t="shared" ref="AB709:AB772" si="45">IF(AA709=Y709,0,1)</f>
        <v>0</v>
      </c>
      <c r="AC709">
        <f t="shared" ref="AC709:AC772" si="46">IF(AA709&lt;Y709+5,IF(AA709&gt;Y709-5,0,1),1)</f>
        <v>0</v>
      </c>
      <c r="AD709">
        <f t="shared" ref="AD709:AD772" si="47">IF(AA709&lt;Y709+10,IF(AA709&gt;Y709-10,0,1),1)</f>
        <v>0</v>
      </c>
    </row>
    <row r="710" spans="27:30" x14ac:dyDescent="0.3">
      <c r="AA710">
        <f t="shared" si="44"/>
        <v>0</v>
      </c>
      <c r="AB710">
        <f t="shared" si="45"/>
        <v>0</v>
      </c>
      <c r="AC710">
        <f t="shared" si="46"/>
        <v>0</v>
      </c>
      <c r="AD710">
        <f t="shared" si="47"/>
        <v>0</v>
      </c>
    </row>
    <row r="711" spans="27:30" x14ac:dyDescent="0.3">
      <c r="AA711">
        <f t="shared" si="44"/>
        <v>0</v>
      </c>
      <c r="AB711">
        <f t="shared" si="45"/>
        <v>0</v>
      </c>
      <c r="AC711">
        <f t="shared" si="46"/>
        <v>0</v>
      </c>
      <c r="AD711">
        <f t="shared" si="47"/>
        <v>0</v>
      </c>
    </row>
    <row r="712" spans="27:30" x14ac:dyDescent="0.3">
      <c r="AA712">
        <f t="shared" si="44"/>
        <v>0</v>
      </c>
      <c r="AB712">
        <f t="shared" si="45"/>
        <v>0</v>
      </c>
      <c r="AC712">
        <f t="shared" si="46"/>
        <v>0</v>
      </c>
      <c r="AD712">
        <f t="shared" si="47"/>
        <v>0</v>
      </c>
    </row>
    <row r="713" spans="27:30" x14ac:dyDescent="0.3">
      <c r="AA713">
        <f t="shared" si="44"/>
        <v>0</v>
      </c>
      <c r="AB713">
        <f t="shared" si="45"/>
        <v>0</v>
      </c>
      <c r="AC713">
        <f t="shared" si="46"/>
        <v>0</v>
      </c>
      <c r="AD713">
        <f t="shared" si="47"/>
        <v>0</v>
      </c>
    </row>
    <row r="714" spans="27:30" x14ac:dyDescent="0.3">
      <c r="AA714">
        <f t="shared" si="44"/>
        <v>0</v>
      </c>
      <c r="AB714">
        <f t="shared" si="45"/>
        <v>0</v>
      </c>
      <c r="AC714">
        <f t="shared" si="46"/>
        <v>0</v>
      </c>
      <c r="AD714">
        <f t="shared" si="47"/>
        <v>0</v>
      </c>
    </row>
    <row r="715" spans="27:30" x14ac:dyDescent="0.3">
      <c r="AA715">
        <f t="shared" si="44"/>
        <v>0</v>
      </c>
      <c r="AB715">
        <f t="shared" si="45"/>
        <v>0</v>
      </c>
      <c r="AC715">
        <f t="shared" si="46"/>
        <v>0</v>
      </c>
      <c r="AD715">
        <f t="shared" si="47"/>
        <v>0</v>
      </c>
    </row>
    <row r="716" spans="27:30" x14ac:dyDescent="0.3">
      <c r="AA716">
        <f t="shared" si="44"/>
        <v>0</v>
      </c>
      <c r="AB716">
        <f t="shared" si="45"/>
        <v>0</v>
      </c>
      <c r="AC716">
        <f t="shared" si="46"/>
        <v>0</v>
      </c>
      <c r="AD716">
        <f t="shared" si="47"/>
        <v>0</v>
      </c>
    </row>
    <row r="717" spans="27:30" x14ac:dyDescent="0.3">
      <c r="AA717">
        <f t="shared" si="44"/>
        <v>0</v>
      </c>
      <c r="AB717">
        <f t="shared" si="45"/>
        <v>0</v>
      </c>
      <c r="AC717">
        <f t="shared" si="46"/>
        <v>0</v>
      </c>
      <c r="AD717">
        <f t="shared" si="47"/>
        <v>0</v>
      </c>
    </row>
    <row r="718" spans="27:30" x14ac:dyDescent="0.3">
      <c r="AA718">
        <f t="shared" si="44"/>
        <v>0</v>
      </c>
      <c r="AB718">
        <f t="shared" si="45"/>
        <v>0</v>
      </c>
      <c r="AC718">
        <f t="shared" si="46"/>
        <v>0</v>
      </c>
      <c r="AD718">
        <f t="shared" si="47"/>
        <v>0</v>
      </c>
    </row>
    <row r="719" spans="27:30" x14ac:dyDescent="0.3">
      <c r="AA719">
        <f t="shared" si="44"/>
        <v>0</v>
      </c>
      <c r="AB719">
        <f t="shared" si="45"/>
        <v>0</v>
      </c>
      <c r="AC719">
        <f t="shared" si="46"/>
        <v>0</v>
      </c>
      <c r="AD719">
        <f t="shared" si="47"/>
        <v>0</v>
      </c>
    </row>
    <row r="720" spans="27:30" x14ac:dyDescent="0.3">
      <c r="AA720">
        <f t="shared" si="44"/>
        <v>0</v>
      </c>
      <c r="AB720">
        <f t="shared" si="45"/>
        <v>0</v>
      </c>
      <c r="AC720">
        <f t="shared" si="46"/>
        <v>0</v>
      </c>
      <c r="AD720">
        <f t="shared" si="47"/>
        <v>0</v>
      </c>
    </row>
    <row r="721" spans="27:30" x14ac:dyDescent="0.3">
      <c r="AA721">
        <f t="shared" si="44"/>
        <v>0</v>
      </c>
      <c r="AB721">
        <f t="shared" si="45"/>
        <v>0</v>
      </c>
      <c r="AC721">
        <f t="shared" si="46"/>
        <v>0</v>
      </c>
      <c r="AD721">
        <f t="shared" si="47"/>
        <v>0</v>
      </c>
    </row>
    <row r="722" spans="27:30" x14ac:dyDescent="0.3">
      <c r="AA722">
        <f t="shared" si="44"/>
        <v>0</v>
      </c>
      <c r="AB722">
        <f t="shared" si="45"/>
        <v>0</v>
      </c>
      <c r="AC722">
        <f t="shared" si="46"/>
        <v>0</v>
      </c>
      <c r="AD722">
        <f t="shared" si="47"/>
        <v>0</v>
      </c>
    </row>
    <row r="723" spans="27:30" x14ac:dyDescent="0.3">
      <c r="AA723">
        <f t="shared" si="44"/>
        <v>0</v>
      </c>
      <c r="AB723">
        <f t="shared" si="45"/>
        <v>0</v>
      </c>
      <c r="AC723">
        <f t="shared" si="46"/>
        <v>0</v>
      </c>
      <c r="AD723">
        <f t="shared" si="47"/>
        <v>0</v>
      </c>
    </row>
    <row r="724" spans="27:30" x14ac:dyDescent="0.3">
      <c r="AA724">
        <f t="shared" si="44"/>
        <v>0</v>
      </c>
      <c r="AB724">
        <f t="shared" si="45"/>
        <v>0</v>
      </c>
      <c r="AC724">
        <f t="shared" si="46"/>
        <v>0</v>
      </c>
      <c r="AD724">
        <f t="shared" si="47"/>
        <v>0</v>
      </c>
    </row>
    <row r="725" spans="27:30" x14ac:dyDescent="0.3">
      <c r="AA725">
        <f t="shared" si="44"/>
        <v>0</v>
      </c>
      <c r="AB725">
        <f t="shared" si="45"/>
        <v>0</v>
      </c>
      <c r="AC725">
        <f t="shared" si="46"/>
        <v>0</v>
      </c>
      <c r="AD725">
        <f t="shared" si="47"/>
        <v>0</v>
      </c>
    </row>
    <row r="726" spans="27:30" x14ac:dyDescent="0.3">
      <c r="AA726">
        <f t="shared" si="44"/>
        <v>0</v>
      </c>
      <c r="AB726">
        <f t="shared" si="45"/>
        <v>0</v>
      </c>
      <c r="AC726">
        <f t="shared" si="46"/>
        <v>0</v>
      </c>
      <c r="AD726">
        <f t="shared" si="47"/>
        <v>0</v>
      </c>
    </row>
    <row r="727" spans="27:30" x14ac:dyDescent="0.3">
      <c r="AA727">
        <f t="shared" si="44"/>
        <v>0</v>
      </c>
      <c r="AB727">
        <f t="shared" si="45"/>
        <v>0</v>
      </c>
      <c r="AC727">
        <f t="shared" si="46"/>
        <v>0</v>
      </c>
      <c r="AD727">
        <f t="shared" si="47"/>
        <v>0</v>
      </c>
    </row>
    <row r="728" spans="27:30" x14ac:dyDescent="0.3">
      <c r="AA728">
        <f t="shared" si="44"/>
        <v>0</v>
      </c>
      <c r="AB728">
        <f t="shared" si="45"/>
        <v>0</v>
      </c>
      <c r="AC728">
        <f t="shared" si="46"/>
        <v>0</v>
      </c>
      <c r="AD728">
        <f t="shared" si="47"/>
        <v>0</v>
      </c>
    </row>
    <row r="729" spans="27:30" x14ac:dyDescent="0.3">
      <c r="AA729">
        <f t="shared" si="44"/>
        <v>0</v>
      </c>
      <c r="AB729">
        <f t="shared" si="45"/>
        <v>0</v>
      </c>
      <c r="AC729">
        <f t="shared" si="46"/>
        <v>0</v>
      </c>
      <c r="AD729">
        <f t="shared" si="47"/>
        <v>0</v>
      </c>
    </row>
    <row r="730" spans="27:30" x14ac:dyDescent="0.3">
      <c r="AA730">
        <f t="shared" si="44"/>
        <v>0</v>
      </c>
      <c r="AB730">
        <f t="shared" si="45"/>
        <v>0</v>
      </c>
      <c r="AC730">
        <f t="shared" si="46"/>
        <v>0</v>
      </c>
      <c r="AD730">
        <f t="shared" si="47"/>
        <v>0</v>
      </c>
    </row>
    <row r="731" spans="27:30" x14ac:dyDescent="0.3">
      <c r="AA731">
        <f t="shared" si="44"/>
        <v>0</v>
      </c>
      <c r="AB731">
        <f t="shared" si="45"/>
        <v>0</v>
      </c>
      <c r="AC731">
        <f t="shared" si="46"/>
        <v>0</v>
      </c>
      <c r="AD731">
        <f t="shared" si="47"/>
        <v>0</v>
      </c>
    </row>
    <row r="732" spans="27:30" x14ac:dyDescent="0.3">
      <c r="AA732">
        <f t="shared" si="44"/>
        <v>0</v>
      </c>
      <c r="AB732">
        <f t="shared" si="45"/>
        <v>0</v>
      </c>
      <c r="AC732">
        <f t="shared" si="46"/>
        <v>0</v>
      </c>
      <c r="AD732">
        <f t="shared" si="47"/>
        <v>0</v>
      </c>
    </row>
    <row r="733" spans="27:30" x14ac:dyDescent="0.3">
      <c r="AA733">
        <f t="shared" si="44"/>
        <v>0</v>
      </c>
      <c r="AB733">
        <f t="shared" si="45"/>
        <v>0</v>
      </c>
      <c r="AC733">
        <f t="shared" si="46"/>
        <v>0</v>
      </c>
      <c r="AD733">
        <f t="shared" si="47"/>
        <v>0</v>
      </c>
    </row>
    <row r="734" spans="27:30" x14ac:dyDescent="0.3">
      <c r="AA734">
        <f t="shared" si="44"/>
        <v>0</v>
      </c>
      <c r="AB734">
        <f t="shared" si="45"/>
        <v>0</v>
      </c>
      <c r="AC734">
        <f t="shared" si="46"/>
        <v>0</v>
      </c>
      <c r="AD734">
        <f t="shared" si="47"/>
        <v>0</v>
      </c>
    </row>
    <row r="735" spans="27:30" x14ac:dyDescent="0.3">
      <c r="AA735">
        <f t="shared" si="44"/>
        <v>0</v>
      </c>
      <c r="AB735">
        <f t="shared" si="45"/>
        <v>0</v>
      </c>
      <c r="AC735">
        <f t="shared" si="46"/>
        <v>0</v>
      </c>
      <c r="AD735">
        <f t="shared" si="47"/>
        <v>0</v>
      </c>
    </row>
    <row r="736" spans="27:30" x14ac:dyDescent="0.3">
      <c r="AA736">
        <f t="shared" si="44"/>
        <v>0</v>
      </c>
      <c r="AB736">
        <f t="shared" si="45"/>
        <v>0</v>
      </c>
      <c r="AC736">
        <f t="shared" si="46"/>
        <v>0</v>
      </c>
      <c r="AD736">
        <f t="shared" si="47"/>
        <v>0</v>
      </c>
    </row>
    <row r="737" spans="27:30" x14ac:dyDescent="0.3">
      <c r="AA737">
        <f t="shared" si="44"/>
        <v>0</v>
      </c>
      <c r="AB737">
        <f t="shared" si="45"/>
        <v>0</v>
      </c>
      <c r="AC737">
        <f t="shared" si="46"/>
        <v>0</v>
      </c>
      <c r="AD737">
        <f t="shared" si="47"/>
        <v>0</v>
      </c>
    </row>
    <row r="738" spans="27:30" x14ac:dyDescent="0.3">
      <c r="AA738">
        <f t="shared" si="44"/>
        <v>0</v>
      </c>
      <c r="AB738">
        <f t="shared" si="45"/>
        <v>0</v>
      </c>
      <c r="AC738">
        <f t="shared" si="46"/>
        <v>0</v>
      </c>
      <c r="AD738">
        <f t="shared" si="47"/>
        <v>0</v>
      </c>
    </row>
    <row r="739" spans="27:30" x14ac:dyDescent="0.3">
      <c r="AA739">
        <f t="shared" si="44"/>
        <v>0</v>
      </c>
      <c r="AB739">
        <f t="shared" si="45"/>
        <v>0</v>
      </c>
      <c r="AC739">
        <f t="shared" si="46"/>
        <v>0</v>
      </c>
      <c r="AD739">
        <f t="shared" si="47"/>
        <v>0</v>
      </c>
    </row>
    <row r="740" spans="27:30" x14ac:dyDescent="0.3">
      <c r="AA740">
        <f t="shared" si="44"/>
        <v>0</v>
      </c>
      <c r="AB740">
        <f t="shared" si="45"/>
        <v>0</v>
      </c>
      <c r="AC740">
        <f t="shared" si="46"/>
        <v>0</v>
      </c>
      <c r="AD740">
        <f t="shared" si="47"/>
        <v>0</v>
      </c>
    </row>
    <row r="741" spans="27:30" x14ac:dyDescent="0.3">
      <c r="AA741">
        <f t="shared" si="44"/>
        <v>0</v>
      </c>
      <c r="AB741">
        <f t="shared" si="45"/>
        <v>0</v>
      </c>
      <c r="AC741">
        <f t="shared" si="46"/>
        <v>0</v>
      </c>
      <c r="AD741">
        <f t="shared" si="47"/>
        <v>0</v>
      </c>
    </row>
    <row r="742" spans="27:30" x14ac:dyDescent="0.3">
      <c r="AA742">
        <f t="shared" si="44"/>
        <v>0</v>
      </c>
      <c r="AB742">
        <f t="shared" si="45"/>
        <v>0</v>
      </c>
      <c r="AC742">
        <f t="shared" si="46"/>
        <v>0</v>
      </c>
      <c r="AD742">
        <f t="shared" si="47"/>
        <v>0</v>
      </c>
    </row>
    <row r="743" spans="27:30" x14ac:dyDescent="0.3">
      <c r="AA743">
        <f t="shared" si="44"/>
        <v>0</v>
      </c>
      <c r="AB743">
        <f t="shared" si="45"/>
        <v>0</v>
      </c>
      <c r="AC743">
        <f t="shared" si="46"/>
        <v>0</v>
      </c>
      <c r="AD743">
        <f t="shared" si="47"/>
        <v>0</v>
      </c>
    </row>
    <row r="744" spans="27:30" x14ac:dyDescent="0.3">
      <c r="AA744">
        <f t="shared" si="44"/>
        <v>0</v>
      </c>
      <c r="AB744">
        <f t="shared" si="45"/>
        <v>0</v>
      </c>
      <c r="AC744">
        <f t="shared" si="46"/>
        <v>0</v>
      </c>
      <c r="AD744">
        <f t="shared" si="47"/>
        <v>0</v>
      </c>
    </row>
    <row r="745" spans="27:30" x14ac:dyDescent="0.3">
      <c r="AA745">
        <f t="shared" si="44"/>
        <v>0</v>
      </c>
      <c r="AB745">
        <f t="shared" si="45"/>
        <v>0</v>
      </c>
      <c r="AC745">
        <f t="shared" si="46"/>
        <v>0</v>
      </c>
      <c r="AD745">
        <f t="shared" si="47"/>
        <v>0</v>
      </c>
    </row>
    <row r="746" spans="27:30" x14ac:dyDescent="0.3">
      <c r="AA746">
        <f t="shared" si="44"/>
        <v>0</v>
      </c>
      <c r="AB746">
        <f t="shared" si="45"/>
        <v>0</v>
      </c>
      <c r="AC746">
        <f t="shared" si="46"/>
        <v>0</v>
      </c>
      <c r="AD746">
        <f t="shared" si="47"/>
        <v>0</v>
      </c>
    </row>
    <row r="747" spans="27:30" x14ac:dyDescent="0.3">
      <c r="AA747">
        <f t="shared" si="44"/>
        <v>0</v>
      </c>
      <c r="AB747">
        <f t="shared" si="45"/>
        <v>0</v>
      </c>
      <c r="AC747">
        <f t="shared" si="46"/>
        <v>0</v>
      </c>
      <c r="AD747">
        <f t="shared" si="47"/>
        <v>0</v>
      </c>
    </row>
    <row r="748" spans="27:30" x14ac:dyDescent="0.3">
      <c r="AA748">
        <f t="shared" si="44"/>
        <v>0</v>
      </c>
      <c r="AB748">
        <f t="shared" si="45"/>
        <v>0</v>
      </c>
      <c r="AC748">
        <f t="shared" si="46"/>
        <v>0</v>
      </c>
      <c r="AD748">
        <f t="shared" si="47"/>
        <v>0</v>
      </c>
    </row>
    <row r="749" spans="27:30" x14ac:dyDescent="0.3">
      <c r="AA749">
        <f t="shared" si="44"/>
        <v>0</v>
      </c>
      <c r="AB749">
        <f t="shared" si="45"/>
        <v>0</v>
      </c>
      <c r="AC749">
        <f t="shared" si="46"/>
        <v>0</v>
      </c>
      <c r="AD749">
        <f t="shared" si="47"/>
        <v>0</v>
      </c>
    </row>
    <row r="750" spans="27:30" x14ac:dyDescent="0.3">
      <c r="AA750">
        <f t="shared" si="44"/>
        <v>0</v>
      </c>
      <c r="AB750">
        <f t="shared" si="45"/>
        <v>0</v>
      </c>
      <c r="AC750">
        <f t="shared" si="46"/>
        <v>0</v>
      </c>
      <c r="AD750">
        <f t="shared" si="47"/>
        <v>0</v>
      </c>
    </row>
    <row r="751" spans="27:30" x14ac:dyDescent="0.3">
      <c r="AA751">
        <f t="shared" si="44"/>
        <v>0</v>
      </c>
      <c r="AB751">
        <f t="shared" si="45"/>
        <v>0</v>
      </c>
      <c r="AC751">
        <f t="shared" si="46"/>
        <v>0</v>
      </c>
      <c r="AD751">
        <f t="shared" si="47"/>
        <v>0</v>
      </c>
    </row>
    <row r="752" spans="27:30" x14ac:dyDescent="0.3">
      <c r="AA752">
        <f t="shared" si="44"/>
        <v>0</v>
      </c>
      <c r="AB752">
        <f t="shared" si="45"/>
        <v>0</v>
      </c>
      <c r="AC752">
        <f t="shared" si="46"/>
        <v>0</v>
      </c>
      <c r="AD752">
        <f t="shared" si="47"/>
        <v>0</v>
      </c>
    </row>
    <row r="753" spans="27:30" x14ac:dyDescent="0.3">
      <c r="AA753">
        <f t="shared" si="44"/>
        <v>0</v>
      </c>
      <c r="AB753">
        <f t="shared" si="45"/>
        <v>0</v>
      </c>
      <c r="AC753">
        <f t="shared" si="46"/>
        <v>0</v>
      </c>
      <c r="AD753">
        <f t="shared" si="47"/>
        <v>0</v>
      </c>
    </row>
    <row r="754" spans="27:30" x14ac:dyDescent="0.3">
      <c r="AA754">
        <f t="shared" si="44"/>
        <v>0</v>
      </c>
      <c r="AB754">
        <f t="shared" si="45"/>
        <v>0</v>
      </c>
      <c r="AC754">
        <f t="shared" si="46"/>
        <v>0</v>
      </c>
      <c r="AD754">
        <f t="shared" si="47"/>
        <v>0</v>
      </c>
    </row>
    <row r="755" spans="27:30" x14ac:dyDescent="0.3">
      <c r="AA755">
        <f t="shared" si="44"/>
        <v>0</v>
      </c>
      <c r="AB755">
        <f t="shared" si="45"/>
        <v>0</v>
      </c>
      <c r="AC755">
        <f t="shared" si="46"/>
        <v>0</v>
      </c>
      <c r="AD755">
        <f t="shared" si="47"/>
        <v>0</v>
      </c>
    </row>
    <row r="756" spans="27:30" x14ac:dyDescent="0.3">
      <c r="AA756">
        <f t="shared" si="44"/>
        <v>0</v>
      </c>
      <c r="AB756">
        <f t="shared" si="45"/>
        <v>0</v>
      </c>
      <c r="AC756">
        <f t="shared" si="46"/>
        <v>0</v>
      </c>
      <c r="AD756">
        <f t="shared" si="47"/>
        <v>0</v>
      </c>
    </row>
    <row r="757" spans="27:30" x14ac:dyDescent="0.3">
      <c r="AA757">
        <f t="shared" si="44"/>
        <v>0</v>
      </c>
      <c r="AB757">
        <f t="shared" si="45"/>
        <v>0</v>
      </c>
      <c r="AC757">
        <f t="shared" si="46"/>
        <v>0</v>
      </c>
      <c r="AD757">
        <f t="shared" si="47"/>
        <v>0</v>
      </c>
    </row>
    <row r="758" spans="27:30" x14ac:dyDescent="0.3">
      <c r="AA758">
        <f t="shared" si="44"/>
        <v>0</v>
      </c>
      <c r="AB758">
        <f t="shared" si="45"/>
        <v>0</v>
      </c>
      <c r="AC758">
        <f t="shared" si="46"/>
        <v>0</v>
      </c>
      <c r="AD758">
        <f t="shared" si="47"/>
        <v>0</v>
      </c>
    </row>
    <row r="759" spans="27:30" x14ac:dyDescent="0.3">
      <c r="AA759">
        <f t="shared" si="44"/>
        <v>0</v>
      </c>
      <c r="AB759">
        <f t="shared" si="45"/>
        <v>0</v>
      </c>
      <c r="AC759">
        <f t="shared" si="46"/>
        <v>0</v>
      </c>
      <c r="AD759">
        <f t="shared" si="47"/>
        <v>0</v>
      </c>
    </row>
    <row r="760" spans="27:30" x14ac:dyDescent="0.3">
      <c r="AA760">
        <f t="shared" si="44"/>
        <v>0</v>
      </c>
      <c r="AB760">
        <f t="shared" si="45"/>
        <v>0</v>
      </c>
      <c r="AC760">
        <f t="shared" si="46"/>
        <v>0</v>
      </c>
      <c r="AD760">
        <f t="shared" si="47"/>
        <v>0</v>
      </c>
    </row>
    <row r="761" spans="27:30" x14ac:dyDescent="0.3">
      <c r="AA761">
        <f t="shared" si="44"/>
        <v>0</v>
      </c>
      <c r="AB761">
        <f t="shared" si="45"/>
        <v>0</v>
      </c>
      <c r="AC761">
        <f t="shared" si="46"/>
        <v>0</v>
      </c>
      <c r="AD761">
        <f t="shared" si="47"/>
        <v>0</v>
      </c>
    </row>
    <row r="762" spans="27:30" x14ac:dyDescent="0.3">
      <c r="AA762">
        <f t="shared" si="44"/>
        <v>0</v>
      </c>
      <c r="AB762">
        <f t="shared" si="45"/>
        <v>0</v>
      </c>
      <c r="AC762">
        <f t="shared" si="46"/>
        <v>0</v>
      </c>
      <c r="AD762">
        <f t="shared" si="47"/>
        <v>0</v>
      </c>
    </row>
    <row r="763" spans="27:30" x14ac:dyDescent="0.3">
      <c r="AA763">
        <f t="shared" si="44"/>
        <v>0</v>
      </c>
      <c r="AB763">
        <f t="shared" si="45"/>
        <v>0</v>
      </c>
      <c r="AC763">
        <f t="shared" si="46"/>
        <v>0</v>
      </c>
      <c r="AD763">
        <f t="shared" si="47"/>
        <v>0</v>
      </c>
    </row>
    <row r="764" spans="27:30" x14ac:dyDescent="0.3">
      <c r="AA764">
        <f t="shared" si="44"/>
        <v>0</v>
      </c>
      <c r="AB764">
        <f t="shared" si="45"/>
        <v>0</v>
      </c>
      <c r="AC764">
        <f t="shared" si="46"/>
        <v>0</v>
      </c>
      <c r="AD764">
        <f t="shared" si="47"/>
        <v>0</v>
      </c>
    </row>
    <row r="765" spans="27:30" x14ac:dyDescent="0.3">
      <c r="AA765">
        <f t="shared" si="44"/>
        <v>0</v>
      </c>
      <c r="AB765">
        <f t="shared" si="45"/>
        <v>0</v>
      </c>
      <c r="AC765">
        <f t="shared" si="46"/>
        <v>0</v>
      </c>
      <c r="AD765">
        <f t="shared" si="47"/>
        <v>0</v>
      </c>
    </row>
    <row r="766" spans="27:30" x14ac:dyDescent="0.3">
      <c r="AA766">
        <f t="shared" si="44"/>
        <v>0</v>
      </c>
      <c r="AB766">
        <f t="shared" si="45"/>
        <v>0</v>
      </c>
      <c r="AC766">
        <f t="shared" si="46"/>
        <v>0</v>
      </c>
      <c r="AD766">
        <f t="shared" si="47"/>
        <v>0</v>
      </c>
    </row>
    <row r="767" spans="27:30" x14ac:dyDescent="0.3">
      <c r="AA767">
        <f t="shared" si="44"/>
        <v>0</v>
      </c>
      <c r="AB767">
        <f t="shared" si="45"/>
        <v>0</v>
      </c>
      <c r="AC767">
        <f t="shared" si="46"/>
        <v>0</v>
      </c>
      <c r="AD767">
        <f t="shared" si="47"/>
        <v>0</v>
      </c>
    </row>
    <row r="768" spans="27:30" x14ac:dyDescent="0.3">
      <c r="AA768">
        <f t="shared" si="44"/>
        <v>0</v>
      </c>
      <c r="AB768">
        <f t="shared" si="45"/>
        <v>0</v>
      </c>
      <c r="AC768">
        <f t="shared" si="46"/>
        <v>0</v>
      </c>
      <c r="AD768">
        <f t="shared" si="47"/>
        <v>0</v>
      </c>
    </row>
    <row r="769" spans="27:30" x14ac:dyDescent="0.3">
      <c r="AA769">
        <f t="shared" si="44"/>
        <v>0</v>
      </c>
      <c r="AB769">
        <f t="shared" si="45"/>
        <v>0</v>
      </c>
      <c r="AC769">
        <f t="shared" si="46"/>
        <v>0</v>
      </c>
      <c r="AD769">
        <f t="shared" si="47"/>
        <v>0</v>
      </c>
    </row>
    <row r="770" spans="27:30" x14ac:dyDescent="0.3">
      <c r="AA770">
        <f t="shared" si="44"/>
        <v>0</v>
      </c>
      <c r="AB770">
        <f t="shared" si="45"/>
        <v>0</v>
      </c>
      <c r="AC770">
        <f t="shared" si="46"/>
        <v>0</v>
      </c>
      <c r="AD770">
        <f t="shared" si="47"/>
        <v>0</v>
      </c>
    </row>
    <row r="771" spans="27:30" x14ac:dyDescent="0.3">
      <c r="AA771">
        <f t="shared" si="44"/>
        <v>0</v>
      </c>
      <c r="AB771">
        <f t="shared" si="45"/>
        <v>0</v>
      </c>
      <c r="AC771">
        <f t="shared" si="46"/>
        <v>0</v>
      </c>
      <c r="AD771">
        <f t="shared" si="47"/>
        <v>0</v>
      </c>
    </row>
    <row r="772" spans="27:30" x14ac:dyDescent="0.3">
      <c r="AA772">
        <f t="shared" si="44"/>
        <v>0</v>
      </c>
      <c r="AB772">
        <f t="shared" si="45"/>
        <v>0</v>
      </c>
      <c r="AC772">
        <f t="shared" si="46"/>
        <v>0</v>
      </c>
      <c r="AD772">
        <f t="shared" si="47"/>
        <v>0</v>
      </c>
    </row>
    <row r="773" spans="27:30" x14ac:dyDescent="0.3">
      <c r="AA773">
        <f t="shared" ref="AA773:AA836" si="48">ROUND(Z773,0)</f>
        <v>0</v>
      </c>
      <c r="AB773">
        <f t="shared" ref="AB773:AB836" si="49">IF(AA773=Y773,0,1)</f>
        <v>0</v>
      </c>
      <c r="AC773">
        <f t="shared" ref="AC773:AC836" si="50">IF(AA773&lt;Y773+5,IF(AA773&gt;Y773-5,0,1),1)</f>
        <v>0</v>
      </c>
      <c r="AD773">
        <f t="shared" ref="AD773:AD836" si="51">IF(AA773&lt;Y773+10,IF(AA773&gt;Y773-10,0,1),1)</f>
        <v>0</v>
      </c>
    </row>
    <row r="774" spans="27:30" x14ac:dyDescent="0.3">
      <c r="AA774">
        <f t="shared" si="48"/>
        <v>0</v>
      </c>
      <c r="AB774">
        <f t="shared" si="49"/>
        <v>0</v>
      </c>
      <c r="AC774">
        <f t="shared" si="50"/>
        <v>0</v>
      </c>
      <c r="AD774">
        <f t="shared" si="51"/>
        <v>0</v>
      </c>
    </row>
    <row r="775" spans="27:30" x14ac:dyDescent="0.3">
      <c r="AA775">
        <f t="shared" si="48"/>
        <v>0</v>
      </c>
      <c r="AB775">
        <f t="shared" si="49"/>
        <v>0</v>
      </c>
      <c r="AC775">
        <f t="shared" si="50"/>
        <v>0</v>
      </c>
      <c r="AD775">
        <f t="shared" si="51"/>
        <v>0</v>
      </c>
    </row>
    <row r="776" spans="27:30" x14ac:dyDescent="0.3">
      <c r="AA776">
        <f t="shared" si="48"/>
        <v>0</v>
      </c>
      <c r="AB776">
        <f t="shared" si="49"/>
        <v>0</v>
      </c>
      <c r="AC776">
        <f t="shared" si="50"/>
        <v>0</v>
      </c>
      <c r="AD776">
        <f t="shared" si="51"/>
        <v>0</v>
      </c>
    </row>
    <row r="777" spans="27:30" x14ac:dyDescent="0.3">
      <c r="AA777">
        <f t="shared" si="48"/>
        <v>0</v>
      </c>
      <c r="AB777">
        <f t="shared" si="49"/>
        <v>0</v>
      </c>
      <c r="AC777">
        <f t="shared" si="50"/>
        <v>0</v>
      </c>
      <c r="AD777">
        <f t="shared" si="51"/>
        <v>0</v>
      </c>
    </row>
    <row r="778" spans="27:30" x14ac:dyDescent="0.3">
      <c r="AA778">
        <f t="shared" si="48"/>
        <v>0</v>
      </c>
      <c r="AB778">
        <f t="shared" si="49"/>
        <v>0</v>
      </c>
      <c r="AC778">
        <f t="shared" si="50"/>
        <v>0</v>
      </c>
      <c r="AD778">
        <f t="shared" si="51"/>
        <v>0</v>
      </c>
    </row>
    <row r="779" spans="27:30" x14ac:dyDescent="0.3">
      <c r="AA779">
        <f t="shared" si="48"/>
        <v>0</v>
      </c>
      <c r="AB779">
        <f t="shared" si="49"/>
        <v>0</v>
      </c>
      <c r="AC779">
        <f t="shared" si="50"/>
        <v>0</v>
      </c>
      <c r="AD779">
        <f t="shared" si="51"/>
        <v>0</v>
      </c>
    </row>
    <row r="780" spans="27:30" x14ac:dyDescent="0.3">
      <c r="AA780">
        <f t="shared" si="48"/>
        <v>0</v>
      </c>
      <c r="AB780">
        <f t="shared" si="49"/>
        <v>0</v>
      </c>
      <c r="AC780">
        <f t="shared" si="50"/>
        <v>0</v>
      </c>
      <c r="AD780">
        <f t="shared" si="51"/>
        <v>0</v>
      </c>
    </row>
    <row r="781" spans="27:30" x14ac:dyDescent="0.3">
      <c r="AA781">
        <f t="shared" si="48"/>
        <v>0</v>
      </c>
      <c r="AB781">
        <f t="shared" si="49"/>
        <v>0</v>
      </c>
      <c r="AC781">
        <f t="shared" si="50"/>
        <v>0</v>
      </c>
      <c r="AD781">
        <f t="shared" si="51"/>
        <v>0</v>
      </c>
    </row>
    <row r="782" spans="27:30" x14ac:dyDescent="0.3">
      <c r="AA782">
        <f t="shared" si="48"/>
        <v>0</v>
      </c>
      <c r="AB782">
        <f t="shared" si="49"/>
        <v>0</v>
      </c>
      <c r="AC782">
        <f t="shared" si="50"/>
        <v>0</v>
      </c>
      <c r="AD782">
        <f t="shared" si="51"/>
        <v>0</v>
      </c>
    </row>
    <row r="783" spans="27:30" x14ac:dyDescent="0.3">
      <c r="AA783">
        <f t="shared" si="48"/>
        <v>0</v>
      </c>
      <c r="AB783">
        <f t="shared" si="49"/>
        <v>0</v>
      </c>
      <c r="AC783">
        <f t="shared" si="50"/>
        <v>0</v>
      </c>
      <c r="AD783">
        <f t="shared" si="51"/>
        <v>0</v>
      </c>
    </row>
    <row r="784" spans="27:30" x14ac:dyDescent="0.3">
      <c r="AA784">
        <f t="shared" si="48"/>
        <v>0</v>
      </c>
      <c r="AB784">
        <f t="shared" si="49"/>
        <v>0</v>
      </c>
      <c r="AC784">
        <f t="shared" si="50"/>
        <v>0</v>
      </c>
      <c r="AD784">
        <f t="shared" si="51"/>
        <v>0</v>
      </c>
    </row>
    <row r="785" spans="27:30" x14ac:dyDescent="0.3">
      <c r="AA785">
        <f t="shared" si="48"/>
        <v>0</v>
      </c>
      <c r="AB785">
        <f t="shared" si="49"/>
        <v>0</v>
      </c>
      <c r="AC785">
        <f t="shared" si="50"/>
        <v>0</v>
      </c>
      <c r="AD785">
        <f t="shared" si="51"/>
        <v>0</v>
      </c>
    </row>
    <row r="786" spans="27:30" x14ac:dyDescent="0.3">
      <c r="AA786">
        <f t="shared" si="48"/>
        <v>0</v>
      </c>
      <c r="AB786">
        <f t="shared" si="49"/>
        <v>0</v>
      </c>
      <c r="AC786">
        <f t="shared" si="50"/>
        <v>0</v>
      </c>
      <c r="AD786">
        <f t="shared" si="51"/>
        <v>0</v>
      </c>
    </row>
    <row r="787" spans="27:30" x14ac:dyDescent="0.3">
      <c r="AA787">
        <f t="shared" si="48"/>
        <v>0</v>
      </c>
      <c r="AB787">
        <f t="shared" si="49"/>
        <v>0</v>
      </c>
      <c r="AC787">
        <f t="shared" si="50"/>
        <v>0</v>
      </c>
      <c r="AD787">
        <f t="shared" si="51"/>
        <v>0</v>
      </c>
    </row>
    <row r="788" spans="27:30" x14ac:dyDescent="0.3">
      <c r="AA788">
        <f t="shared" si="48"/>
        <v>0</v>
      </c>
      <c r="AB788">
        <f t="shared" si="49"/>
        <v>0</v>
      </c>
      <c r="AC788">
        <f t="shared" si="50"/>
        <v>0</v>
      </c>
      <c r="AD788">
        <f t="shared" si="51"/>
        <v>0</v>
      </c>
    </row>
    <row r="789" spans="27:30" x14ac:dyDescent="0.3">
      <c r="AA789">
        <f t="shared" si="48"/>
        <v>0</v>
      </c>
      <c r="AB789">
        <f t="shared" si="49"/>
        <v>0</v>
      </c>
      <c r="AC789">
        <f t="shared" si="50"/>
        <v>0</v>
      </c>
      <c r="AD789">
        <f t="shared" si="51"/>
        <v>0</v>
      </c>
    </row>
    <row r="790" spans="27:30" x14ac:dyDescent="0.3">
      <c r="AA790">
        <f t="shared" si="48"/>
        <v>0</v>
      </c>
      <c r="AB790">
        <f t="shared" si="49"/>
        <v>0</v>
      </c>
      <c r="AC790">
        <f t="shared" si="50"/>
        <v>0</v>
      </c>
      <c r="AD790">
        <f t="shared" si="51"/>
        <v>0</v>
      </c>
    </row>
    <row r="791" spans="27:30" x14ac:dyDescent="0.3">
      <c r="AA791">
        <f t="shared" si="48"/>
        <v>0</v>
      </c>
      <c r="AB791">
        <f t="shared" si="49"/>
        <v>0</v>
      </c>
      <c r="AC791">
        <f t="shared" si="50"/>
        <v>0</v>
      </c>
      <c r="AD791">
        <f t="shared" si="51"/>
        <v>0</v>
      </c>
    </row>
    <row r="792" spans="27:30" x14ac:dyDescent="0.3">
      <c r="AA792">
        <f t="shared" si="48"/>
        <v>0</v>
      </c>
      <c r="AB792">
        <f t="shared" si="49"/>
        <v>0</v>
      </c>
      <c r="AC792">
        <f t="shared" si="50"/>
        <v>0</v>
      </c>
      <c r="AD792">
        <f t="shared" si="51"/>
        <v>0</v>
      </c>
    </row>
    <row r="793" spans="27:30" x14ac:dyDescent="0.3">
      <c r="AA793">
        <f t="shared" si="48"/>
        <v>0</v>
      </c>
      <c r="AB793">
        <f t="shared" si="49"/>
        <v>0</v>
      </c>
      <c r="AC793">
        <f t="shared" si="50"/>
        <v>0</v>
      </c>
      <c r="AD793">
        <f t="shared" si="51"/>
        <v>0</v>
      </c>
    </row>
    <row r="794" spans="27:30" x14ac:dyDescent="0.3">
      <c r="AA794">
        <f t="shared" si="48"/>
        <v>0</v>
      </c>
      <c r="AB794">
        <f t="shared" si="49"/>
        <v>0</v>
      </c>
      <c r="AC794">
        <f t="shared" si="50"/>
        <v>0</v>
      </c>
      <c r="AD794">
        <f t="shared" si="51"/>
        <v>0</v>
      </c>
    </row>
    <row r="795" spans="27:30" x14ac:dyDescent="0.3">
      <c r="AA795">
        <f t="shared" si="48"/>
        <v>0</v>
      </c>
      <c r="AB795">
        <f t="shared" si="49"/>
        <v>0</v>
      </c>
      <c r="AC795">
        <f t="shared" si="50"/>
        <v>0</v>
      </c>
      <c r="AD795">
        <f t="shared" si="51"/>
        <v>0</v>
      </c>
    </row>
    <row r="796" spans="27:30" x14ac:dyDescent="0.3">
      <c r="AA796">
        <f t="shared" si="48"/>
        <v>0</v>
      </c>
      <c r="AB796">
        <f t="shared" si="49"/>
        <v>0</v>
      </c>
      <c r="AC796">
        <f t="shared" si="50"/>
        <v>0</v>
      </c>
      <c r="AD796">
        <f t="shared" si="51"/>
        <v>0</v>
      </c>
    </row>
    <row r="797" spans="27:30" x14ac:dyDescent="0.3">
      <c r="AA797">
        <f t="shared" si="48"/>
        <v>0</v>
      </c>
      <c r="AB797">
        <f t="shared" si="49"/>
        <v>0</v>
      </c>
      <c r="AC797">
        <f t="shared" si="50"/>
        <v>0</v>
      </c>
      <c r="AD797">
        <f t="shared" si="51"/>
        <v>0</v>
      </c>
    </row>
    <row r="798" spans="27:30" x14ac:dyDescent="0.3">
      <c r="AA798">
        <f t="shared" si="48"/>
        <v>0</v>
      </c>
      <c r="AB798">
        <f t="shared" si="49"/>
        <v>0</v>
      </c>
      <c r="AC798">
        <f t="shared" si="50"/>
        <v>0</v>
      </c>
      <c r="AD798">
        <f t="shared" si="51"/>
        <v>0</v>
      </c>
    </row>
    <row r="799" spans="27:30" x14ac:dyDescent="0.3">
      <c r="AA799">
        <f t="shared" si="48"/>
        <v>0</v>
      </c>
      <c r="AB799">
        <f t="shared" si="49"/>
        <v>0</v>
      </c>
      <c r="AC799">
        <f t="shared" si="50"/>
        <v>0</v>
      </c>
      <c r="AD799">
        <f t="shared" si="51"/>
        <v>0</v>
      </c>
    </row>
    <row r="800" spans="27:30" x14ac:dyDescent="0.3">
      <c r="AA800">
        <f t="shared" si="48"/>
        <v>0</v>
      </c>
      <c r="AB800">
        <f t="shared" si="49"/>
        <v>0</v>
      </c>
      <c r="AC800">
        <f t="shared" si="50"/>
        <v>0</v>
      </c>
      <c r="AD800">
        <f t="shared" si="51"/>
        <v>0</v>
      </c>
    </row>
    <row r="801" spans="27:30" x14ac:dyDescent="0.3">
      <c r="AA801">
        <f t="shared" si="48"/>
        <v>0</v>
      </c>
      <c r="AB801">
        <f t="shared" si="49"/>
        <v>0</v>
      </c>
      <c r="AC801">
        <f t="shared" si="50"/>
        <v>0</v>
      </c>
      <c r="AD801">
        <f t="shared" si="51"/>
        <v>0</v>
      </c>
    </row>
    <row r="802" spans="27:30" x14ac:dyDescent="0.3">
      <c r="AA802">
        <f t="shared" si="48"/>
        <v>0</v>
      </c>
      <c r="AB802">
        <f t="shared" si="49"/>
        <v>0</v>
      </c>
      <c r="AC802">
        <f t="shared" si="50"/>
        <v>0</v>
      </c>
      <c r="AD802">
        <f t="shared" si="51"/>
        <v>0</v>
      </c>
    </row>
    <row r="803" spans="27:30" x14ac:dyDescent="0.3">
      <c r="AA803">
        <f t="shared" si="48"/>
        <v>0</v>
      </c>
      <c r="AB803">
        <f t="shared" si="49"/>
        <v>0</v>
      </c>
      <c r="AC803">
        <f t="shared" si="50"/>
        <v>0</v>
      </c>
      <c r="AD803">
        <f t="shared" si="51"/>
        <v>0</v>
      </c>
    </row>
    <row r="804" spans="27:30" x14ac:dyDescent="0.3">
      <c r="AA804">
        <f t="shared" si="48"/>
        <v>0</v>
      </c>
      <c r="AB804">
        <f t="shared" si="49"/>
        <v>0</v>
      </c>
      <c r="AC804">
        <f t="shared" si="50"/>
        <v>0</v>
      </c>
      <c r="AD804">
        <f t="shared" si="51"/>
        <v>0</v>
      </c>
    </row>
    <row r="805" spans="27:30" x14ac:dyDescent="0.3">
      <c r="AA805">
        <f t="shared" si="48"/>
        <v>0</v>
      </c>
      <c r="AB805">
        <f t="shared" si="49"/>
        <v>0</v>
      </c>
      <c r="AC805">
        <f t="shared" si="50"/>
        <v>0</v>
      </c>
      <c r="AD805">
        <f t="shared" si="51"/>
        <v>0</v>
      </c>
    </row>
    <row r="806" spans="27:30" x14ac:dyDescent="0.3">
      <c r="AA806">
        <f t="shared" si="48"/>
        <v>0</v>
      </c>
      <c r="AB806">
        <f t="shared" si="49"/>
        <v>0</v>
      </c>
      <c r="AC806">
        <f t="shared" si="50"/>
        <v>0</v>
      </c>
      <c r="AD806">
        <f t="shared" si="51"/>
        <v>0</v>
      </c>
    </row>
    <row r="807" spans="27:30" x14ac:dyDescent="0.3">
      <c r="AA807">
        <f t="shared" si="48"/>
        <v>0</v>
      </c>
      <c r="AB807">
        <f t="shared" si="49"/>
        <v>0</v>
      </c>
      <c r="AC807">
        <f t="shared" si="50"/>
        <v>0</v>
      </c>
      <c r="AD807">
        <f t="shared" si="51"/>
        <v>0</v>
      </c>
    </row>
    <row r="808" spans="27:30" x14ac:dyDescent="0.3">
      <c r="AA808">
        <f t="shared" si="48"/>
        <v>0</v>
      </c>
      <c r="AB808">
        <f t="shared" si="49"/>
        <v>0</v>
      </c>
      <c r="AC808">
        <f t="shared" si="50"/>
        <v>0</v>
      </c>
      <c r="AD808">
        <f t="shared" si="51"/>
        <v>0</v>
      </c>
    </row>
    <row r="809" spans="27:30" x14ac:dyDescent="0.3">
      <c r="AA809">
        <f t="shared" si="48"/>
        <v>0</v>
      </c>
      <c r="AB809">
        <f t="shared" si="49"/>
        <v>0</v>
      </c>
      <c r="AC809">
        <f t="shared" si="50"/>
        <v>0</v>
      </c>
      <c r="AD809">
        <f t="shared" si="51"/>
        <v>0</v>
      </c>
    </row>
    <row r="810" spans="27:30" x14ac:dyDescent="0.3">
      <c r="AA810">
        <f t="shared" si="48"/>
        <v>0</v>
      </c>
      <c r="AB810">
        <f t="shared" si="49"/>
        <v>0</v>
      </c>
      <c r="AC810">
        <f t="shared" si="50"/>
        <v>0</v>
      </c>
      <c r="AD810">
        <f t="shared" si="51"/>
        <v>0</v>
      </c>
    </row>
    <row r="811" spans="27:30" x14ac:dyDescent="0.3">
      <c r="AA811">
        <f t="shared" si="48"/>
        <v>0</v>
      </c>
      <c r="AB811">
        <f t="shared" si="49"/>
        <v>0</v>
      </c>
      <c r="AC811">
        <f t="shared" si="50"/>
        <v>0</v>
      </c>
      <c r="AD811">
        <f t="shared" si="51"/>
        <v>0</v>
      </c>
    </row>
    <row r="812" spans="27:30" x14ac:dyDescent="0.3">
      <c r="AA812">
        <f t="shared" si="48"/>
        <v>0</v>
      </c>
      <c r="AB812">
        <f t="shared" si="49"/>
        <v>0</v>
      </c>
      <c r="AC812">
        <f t="shared" si="50"/>
        <v>0</v>
      </c>
      <c r="AD812">
        <f t="shared" si="51"/>
        <v>0</v>
      </c>
    </row>
    <row r="813" spans="27:30" x14ac:dyDescent="0.3">
      <c r="AA813">
        <f t="shared" si="48"/>
        <v>0</v>
      </c>
      <c r="AB813">
        <f t="shared" si="49"/>
        <v>0</v>
      </c>
      <c r="AC813">
        <f t="shared" si="50"/>
        <v>0</v>
      </c>
      <c r="AD813">
        <f t="shared" si="51"/>
        <v>0</v>
      </c>
    </row>
    <row r="814" spans="27:30" x14ac:dyDescent="0.3">
      <c r="AA814">
        <f t="shared" si="48"/>
        <v>0</v>
      </c>
      <c r="AB814">
        <f t="shared" si="49"/>
        <v>0</v>
      </c>
      <c r="AC814">
        <f t="shared" si="50"/>
        <v>0</v>
      </c>
      <c r="AD814">
        <f t="shared" si="51"/>
        <v>0</v>
      </c>
    </row>
    <row r="815" spans="27:30" x14ac:dyDescent="0.3">
      <c r="AA815">
        <f t="shared" si="48"/>
        <v>0</v>
      </c>
      <c r="AB815">
        <f t="shared" si="49"/>
        <v>0</v>
      </c>
      <c r="AC815">
        <f t="shared" si="50"/>
        <v>0</v>
      </c>
      <c r="AD815">
        <f t="shared" si="51"/>
        <v>0</v>
      </c>
    </row>
    <row r="816" spans="27:30" x14ac:dyDescent="0.3">
      <c r="AA816">
        <f t="shared" si="48"/>
        <v>0</v>
      </c>
      <c r="AB816">
        <f t="shared" si="49"/>
        <v>0</v>
      </c>
      <c r="AC816">
        <f t="shared" si="50"/>
        <v>0</v>
      </c>
      <c r="AD816">
        <f t="shared" si="51"/>
        <v>0</v>
      </c>
    </row>
    <row r="817" spans="27:30" x14ac:dyDescent="0.3">
      <c r="AA817">
        <f t="shared" si="48"/>
        <v>0</v>
      </c>
      <c r="AB817">
        <f t="shared" si="49"/>
        <v>0</v>
      </c>
      <c r="AC817">
        <f t="shared" si="50"/>
        <v>0</v>
      </c>
      <c r="AD817">
        <f t="shared" si="51"/>
        <v>0</v>
      </c>
    </row>
    <row r="818" spans="27:30" x14ac:dyDescent="0.3">
      <c r="AA818">
        <f t="shared" si="48"/>
        <v>0</v>
      </c>
      <c r="AB818">
        <f t="shared" si="49"/>
        <v>0</v>
      </c>
      <c r="AC818">
        <f t="shared" si="50"/>
        <v>0</v>
      </c>
      <c r="AD818">
        <f t="shared" si="51"/>
        <v>0</v>
      </c>
    </row>
    <row r="819" spans="27:30" x14ac:dyDescent="0.3">
      <c r="AA819">
        <f t="shared" si="48"/>
        <v>0</v>
      </c>
      <c r="AB819">
        <f t="shared" si="49"/>
        <v>0</v>
      </c>
      <c r="AC819">
        <f t="shared" si="50"/>
        <v>0</v>
      </c>
      <c r="AD819">
        <f t="shared" si="51"/>
        <v>0</v>
      </c>
    </row>
    <row r="820" spans="27:30" x14ac:dyDescent="0.3">
      <c r="AA820">
        <f t="shared" si="48"/>
        <v>0</v>
      </c>
      <c r="AB820">
        <f t="shared" si="49"/>
        <v>0</v>
      </c>
      <c r="AC820">
        <f t="shared" si="50"/>
        <v>0</v>
      </c>
      <c r="AD820">
        <f t="shared" si="51"/>
        <v>0</v>
      </c>
    </row>
    <row r="821" spans="27:30" x14ac:dyDescent="0.3">
      <c r="AA821">
        <f t="shared" si="48"/>
        <v>0</v>
      </c>
      <c r="AB821">
        <f t="shared" si="49"/>
        <v>0</v>
      </c>
      <c r="AC821">
        <f t="shared" si="50"/>
        <v>0</v>
      </c>
      <c r="AD821">
        <f t="shared" si="51"/>
        <v>0</v>
      </c>
    </row>
    <row r="822" spans="27:30" x14ac:dyDescent="0.3">
      <c r="AA822">
        <f t="shared" si="48"/>
        <v>0</v>
      </c>
      <c r="AB822">
        <f t="shared" si="49"/>
        <v>0</v>
      </c>
      <c r="AC822">
        <f t="shared" si="50"/>
        <v>0</v>
      </c>
      <c r="AD822">
        <f t="shared" si="51"/>
        <v>0</v>
      </c>
    </row>
    <row r="823" spans="27:30" x14ac:dyDescent="0.3">
      <c r="AA823">
        <f t="shared" si="48"/>
        <v>0</v>
      </c>
      <c r="AB823">
        <f t="shared" si="49"/>
        <v>0</v>
      </c>
      <c r="AC823">
        <f t="shared" si="50"/>
        <v>0</v>
      </c>
      <c r="AD823">
        <f t="shared" si="51"/>
        <v>0</v>
      </c>
    </row>
    <row r="824" spans="27:30" x14ac:dyDescent="0.3">
      <c r="AA824">
        <f t="shared" si="48"/>
        <v>0</v>
      </c>
      <c r="AB824">
        <f t="shared" si="49"/>
        <v>0</v>
      </c>
      <c r="AC824">
        <f t="shared" si="50"/>
        <v>0</v>
      </c>
      <c r="AD824">
        <f t="shared" si="51"/>
        <v>0</v>
      </c>
    </row>
    <row r="825" spans="27:30" x14ac:dyDescent="0.3">
      <c r="AA825">
        <f t="shared" si="48"/>
        <v>0</v>
      </c>
      <c r="AB825">
        <f t="shared" si="49"/>
        <v>0</v>
      </c>
      <c r="AC825">
        <f t="shared" si="50"/>
        <v>0</v>
      </c>
      <c r="AD825">
        <f t="shared" si="51"/>
        <v>0</v>
      </c>
    </row>
    <row r="826" spans="27:30" x14ac:dyDescent="0.3">
      <c r="AA826">
        <f t="shared" si="48"/>
        <v>0</v>
      </c>
      <c r="AB826">
        <f t="shared" si="49"/>
        <v>0</v>
      </c>
      <c r="AC826">
        <f t="shared" si="50"/>
        <v>0</v>
      </c>
      <c r="AD826">
        <f t="shared" si="51"/>
        <v>0</v>
      </c>
    </row>
    <row r="827" spans="27:30" x14ac:dyDescent="0.3">
      <c r="AA827">
        <f t="shared" si="48"/>
        <v>0</v>
      </c>
      <c r="AB827">
        <f t="shared" si="49"/>
        <v>0</v>
      </c>
      <c r="AC827">
        <f t="shared" si="50"/>
        <v>0</v>
      </c>
      <c r="AD827">
        <f t="shared" si="51"/>
        <v>0</v>
      </c>
    </row>
    <row r="828" spans="27:30" x14ac:dyDescent="0.3">
      <c r="AA828">
        <f t="shared" si="48"/>
        <v>0</v>
      </c>
      <c r="AB828">
        <f t="shared" si="49"/>
        <v>0</v>
      </c>
      <c r="AC828">
        <f t="shared" si="50"/>
        <v>0</v>
      </c>
      <c r="AD828">
        <f t="shared" si="51"/>
        <v>0</v>
      </c>
    </row>
    <row r="829" spans="27:30" x14ac:dyDescent="0.3">
      <c r="AA829">
        <f t="shared" si="48"/>
        <v>0</v>
      </c>
      <c r="AB829">
        <f t="shared" si="49"/>
        <v>0</v>
      </c>
      <c r="AC829">
        <f t="shared" si="50"/>
        <v>0</v>
      </c>
      <c r="AD829">
        <f t="shared" si="51"/>
        <v>0</v>
      </c>
    </row>
    <row r="830" spans="27:30" x14ac:dyDescent="0.3">
      <c r="AA830">
        <f t="shared" si="48"/>
        <v>0</v>
      </c>
      <c r="AB830">
        <f t="shared" si="49"/>
        <v>0</v>
      </c>
      <c r="AC830">
        <f t="shared" si="50"/>
        <v>0</v>
      </c>
      <c r="AD830">
        <f t="shared" si="51"/>
        <v>0</v>
      </c>
    </row>
    <row r="831" spans="27:30" x14ac:dyDescent="0.3">
      <c r="AA831">
        <f t="shared" si="48"/>
        <v>0</v>
      </c>
      <c r="AB831">
        <f t="shared" si="49"/>
        <v>0</v>
      </c>
      <c r="AC831">
        <f t="shared" si="50"/>
        <v>0</v>
      </c>
      <c r="AD831">
        <f t="shared" si="51"/>
        <v>0</v>
      </c>
    </row>
    <row r="832" spans="27:30" x14ac:dyDescent="0.3">
      <c r="AA832">
        <f t="shared" si="48"/>
        <v>0</v>
      </c>
      <c r="AB832">
        <f t="shared" si="49"/>
        <v>0</v>
      </c>
      <c r="AC832">
        <f t="shared" si="50"/>
        <v>0</v>
      </c>
      <c r="AD832">
        <f t="shared" si="51"/>
        <v>0</v>
      </c>
    </row>
    <row r="833" spans="27:30" x14ac:dyDescent="0.3">
      <c r="AA833">
        <f t="shared" si="48"/>
        <v>0</v>
      </c>
      <c r="AB833">
        <f t="shared" si="49"/>
        <v>0</v>
      </c>
      <c r="AC833">
        <f t="shared" si="50"/>
        <v>0</v>
      </c>
      <c r="AD833">
        <f t="shared" si="51"/>
        <v>0</v>
      </c>
    </row>
    <row r="834" spans="27:30" x14ac:dyDescent="0.3">
      <c r="AA834">
        <f t="shared" si="48"/>
        <v>0</v>
      </c>
      <c r="AB834">
        <f t="shared" si="49"/>
        <v>0</v>
      </c>
      <c r="AC834">
        <f t="shared" si="50"/>
        <v>0</v>
      </c>
      <c r="AD834">
        <f t="shared" si="51"/>
        <v>0</v>
      </c>
    </row>
    <row r="835" spans="27:30" x14ac:dyDescent="0.3">
      <c r="AA835">
        <f t="shared" si="48"/>
        <v>0</v>
      </c>
      <c r="AB835">
        <f t="shared" si="49"/>
        <v>0</v>
      </c>
      <c r="AC835">
        <f t="shared" si="50"/>
        <v>0</v>
      </c>
      <c r="AD835">
        <f t="shared" si="51"/>
        <v>0</v>
      </c>
    </row>
    <row r="836" spans="27:30" x14ac:dyDescent="0.3">
      <c r="AA836">
        <f t="shared" si="48"/>
        <v>0</v>
      </c>
      <c r="AB836">
        <f t="shared" si="49"/>
        <v>0</v>
      </c>
      <c r="AC836">
        <f t="shared" si="50"/>
        <v>0</v>
      </c>
      <c r="AD836">
        <f t="shared" si="51"/>
        <v>0</v>
      </c>
    </row>
    <row r="837" spans="27:30" x14ac:dyDescent="0.3">
      <c r="AA837">
        <f t="shared" ref="AA837:AA900" si="52">ROUND(Z837,0)</f>
        <v>0</v>
      </c>
      <c r="AB837">
        <f t="shared" ref="AB837:AB900" si="53">IF(AA837=Y837,0,1)</f>
        <v>0</v>
      </c>
      <c r="AC837">
        <f t="shared" ref="AC837:AC900" si="54">IF(AA837&lt;Y837+5,IF(AA837&gt;Y837-5,0,1),1)</f>
        <v>0</v>
      </c>
      <c r="AD837">
        <f t="shared" ref="AD837:AD900" si="55">IF(AA837&lt;Y837+10,IF(AA837&gt;Y837-10,0,1),1)</f>
        <v>0</v>
      </c>
    </row>
    <row r="838" spans="27:30" x14ac:dyDescent="0.3">
      <c r="AA838">
        <f t="shared" si="52"/>
        <v>0</v>
      </c>
      <c r="AB838">
        <f t="shared" si="53"/>
        <v>0</v>
      </c>
      <c r="AC838">
        <f t="shared" si="54"/>
        <v>0</v>
      </c>
      <c r="AD838">
        <f t="shared" si="55"/>
        <v>0</v>
      </c>
    </row>
    <row r="839" spans="27:30" x14ac:dyDescent="0.3">
      <c r="AA839">
        <f t="shared" si="52"/>
        <v>0</v>
      </c>
      <c r="AB839">
        <f t="shared" si="53"/>
        <v>0</v>
      </c>
      <c r="AC839">
        <f t="shared" si="54"/>
        <v>0</v>
      </c>
      <c r="AD839">
        <f t="shared" si="55"/>
        <v>0</v>
      </c>
    </row>
    <row r="840" spans="27:30" x14ac:dyDescent="0.3">
      <c r="AA840">
        <f t="shared" si="52"/>
        <v>0</v>
      </c>
      <c r="AB840">
        <f t="shared" si="53"/>
        <v>0</v>
      </c>
      <c r="AC840">
        <f t="shared" si="54"/>
        <v>0</v>
      </c>
      <c r="AD840">
        <f t="shared" si="55"/>
        <v>0</v>
      </c>
    </row>
    <row r="841" spans="27:30" x14ac:dyDescent="0.3">
      <c r="AA841">
        <f t="shared" si="52"/>
        <v>0</v>
      </c>
      <c r="AB841">
        <f t="shared" si="53"/>
        <v>0</v>
      </c>
      <c r="AC841">
        <f t="shared" si="54"/>
        <v>0</v>
      </c>
      <c r="AD841">
        <f t="shared" si="55"/>
        <v>0</v>
      </c>
    </row>
    <row r="842" spans="27:30" x14ac:dyDescent="0.3">
      <c r="AA842">
        <f t="shared" si="52"/>
        <v>0</v>
      </c>
      <c r="AB842">
        <f t="shared" si="53"/>
        <v>0</v>
      </c>
      <c r="AC842">
        <f t="shared" si="54"/>
        <v>0</v>
      </c>
      <c r="AD842">
        <f t="shared" si="55"/>
        <v>0</v>
      </c>
    </row>
    <row r="843" spans="27:30" x14ac:dyDescent="0.3">
      <c r="AA843">
        <f t="shared" si="52"/>
        <v>0</v>
      </c>
      <c r="AB843">
        <f t="shared" si="53"/>
        <v>0</v>
      </c>
      <c r="AC843">
        <f t="shared" si="54"/>
        <v>0</v>
      </c>
      <c r="AD843">
        <f t="shared" si="55"/>
        <v>0</v>
      </c>
    </row>
    <row r="844" spans="27:30" x14ac:dyDescent="0.3">
      <c r="AA844">
        <f t="shared" si="52"/>
        <v>0</v>
      </c>
      <c r="AB844">
        <f t="shared" si="53"/>
        <v>0</v>
      </c>
      <c r="AC844">
        <f t="shared" si="54"/>
        <v>0</v>
      </c>
      <c r="AD844">
        <f t="shared" si="55"/>
        <v>0</v>
      </c>
    </row>
    <row r="845" spans="27:30" x14ac:dyDescent="0.3">
      <c r="AA845">
        <f t="shared" si="52"/>
        <v>0</v>
      </c>
      <c r="AB845">
        <f t="shared" si="53"/>
        <v>0</v>
      </c>
      <c r="AC845">
        <f t="shared" si="54"/>
        <v>0</v>
      </c>
      <c r="AD845">
        <f t="shared" si="55"/>
        <v>0</v>
      </c>
    </row>
    <row r="846" spans="27:30" x14ac:dyDescent="0.3">
      <c r="AA846">
        <f t="shared" si="52"/>
        <v>0</v>
      </c>
      <c r="AB846">
        <f t="shared" si="53"/>
        <v>0</v>
      </c>
      <c r="AC846">
        <f t="shared" si="54"/>
        <v>0</v>
      </c>
      <c r="AD846">
        <f t="shared" si="55"/>
        <v>0</v>
      </c>
    </row>
    <row r="847" spans="27:30" x14ac:dyDescent="0.3">
      <c r="AA847">
        <f t="shared" si="52"/>
        <v>0</v>
      </c>
      <c r="AB847">
        <f t="shared" si="53"/>
        <v>0</v>
      </c>
      <c r="AC847">
        <f t="shared" si="54"/>
        <v>0</v>
      </c>
      <c r="AD847">
        <f t="shared" si="55"/>
        <v>0</v>
      </c>
    </row>
    <row r="848" spans="27:30" x14ac:dyDescent="0.3">
      <c r="AA848">
        <f t="shared" si="52"/>
        <v>0</v>
      </c>
      <c r="AB848">
        <f t="shared" si="53"/>
        <v>0</v>
      </c>
      <c r="AC848">
        <f t="shared" si="54"/>
        <v>0</v>
      </c>
      <c r="AD848">
        <f t="shared" si="55"/>
        <v>0</v>
      </c>
    </row>
    <row r="849" spans="27:30" x14ac:dyDescent="0.3">
      <c r="AA849">
        <f t="shared" si="52"/>
        <v>0</v>
      </c>
      <c r="AB849">
        <f t="shared" si="53"/>
        <v>0</v>
      </c>
      <c r="AC849">
        <f t="shared" si="54"/>
        <v>0</v>
      </c>
      <c r="AD849">
        <f t="shared" si="55"/>
        <v>0</v>
      </c>
    </row>
    <row r="850" spans="27:30" x14ac:dyDescent="0.3">
      <c r="AA850">
        <f t="shared" si="52"/>
        <v>0</v>
      </c>
      <c r="AB850">
        <f t="shared" si="53"/>
        <v>0</v>
      </c>
      <c r="AC850">
        <f t="shared" si="54"/>
        <v>0</v>
      </c>
      <c r="AD850">
        <f t="shared" si="55"/>
        <v>0</v>
      </c>
    </row>
    <row r="851" spans="27:30" x14ac:dyDescent="0.3">
      <c r="AA851">
        <f t="shared" si="52"/>
        <v>0</v>
      </c>
      <c r="AB851">
        <f t="shared" si="53"/>
        <v>0</v>
      </c>
      <c r="AC851">
        <f t="shared" si="54"/>
        <v>0</v>
      </c>
      <c r="AD851">
        <f t="shared" si="55"/>
        <v>0</v>
      </c>
    </row>
    <row r="852" spans="27:30" x14ac:dyDescent="0.3">
      <c r="AA852">
        <f t="shared" si="52"/>
        <v>0</v>
      </c>
      <c r="AB852">
        <f t="shared" si="53"/>
        <v>0</v>
      </c>
      <c r="AC852">
        <f t="shared" si="54"/>
        <v>0</v>
      </c>
      <c r="AD852">
        <f t="shared" si="55"/>
        <v>0</v>
      </c>
    </row>
    <row r="853" spans="27:30" x14ac:dyDescent="0.3">
      <c r="AA853">
        <f t="shared" si="52"/>
        <v>0</v>
      </c>
      <c r="AB853">
        <f t="shared" si="53"/>
        <v>0</v>
      </c>
      <c r="AC853">
        <f t="shared" si="54"/>
        <v>0</v>
      </c>
      <c r="AD853">
        <f t="shared" si="55"/>
        <v>0</v>
      </c>
    </row>
    <row r="854" spans="27:30" x14ac:dyDescent="0.3">
      <c r="AA854">
        <f t="shared" si="52"/>
        <v>0</v>
      </c>
      <c r="AB854">
        <f t="shared" si="53"/>
        <v>0</v>
      </c>
      <c r="AC854">
        <f t="shared" si="54"/>
        <v>0</v>
      </c>
      <c r="AD854">
        <f t="shared" si="55"/>
        <v>0</v>
      </c>
    </row>
    <row r="855" spans="27:30" x14ac:dyDescent="0.3">
      <c r="AA855">
        <f t="shared" si="52"/>
        <v>0</v>
      </c>
      <c r="AB855">
        <f t="shared" si="53"/>
        <v>0</v>
      </c>
      <c r="AC855">
        <f t="shared" si="54"/>
        <v>0</v>
      </c>
      <c r="AD855">
        <f t="shared" si="55"/>
        <v>0</v>
      </c>
    </row>
    <row r="856" spans="27:30" x14ac:dyDescent="0.3">
      <c r="AA856">
        <f t="shared" si="52"/>
        <v>0</v>
      </c>
      <c r="AB856">
        <f t="shared" si="53"/>
        <v>0</v>
      </c>
      <c r="AC856">
        <f t="shared" si="54"/>
        <v>0</v>
      </c>
      <c r="AD856">
        <f t="shared" si="55"/>
        <v>0</v>
      </c>
    </row>
    <row r="857" spans="27:30" x14ac:dyDescent="0.3">
      <c r="AA857">
        <f t="shared" si="52"/>
        <v>0</v>
      </c>
      <c r="AB857">
        <f t="shared" si="53"/>
        <v>0</v>
      </c>
      <c r="AC857">
        <f t="shared" si="54"/>
        <v>0</v>
      </c>
      <c r="AD857">
        <f t="shared" si="55"/>
        <v>0</v>
      </c>
    </row>
    <row r="858" spans="27:30" x14ac:dyDescent="0.3">
      <c r="AA858">
        <f t="shared" si="52"/>
        <v>0</v>
      </c>
      <c r="AB858">
        <f t="shared" si="53"/>
        <v>0</v>
      </c>
      <c r="AC858">
        <f t="shared" si="54"/>
        <v>0</v>
      </c>
      <c r="AD858">
        <f t="shared" si="55"/>
        <v>0</v>
      </c>
    </row>
    <row r="859" spans="27:30" x14ac:dyDescent="0.3">
      <c r="AA859">
        <f t="shared" si="52"/>
        <v>0</v>
      </c>
      <c r="AB859">
        <f t="shared" si="53"/>
        <v>0</v>
      </c>
      <c r="AC859">
        <f t="shared" si="54"/>
        <v>0</v>
      </c>
      <c r="AD859">
        <f t="shared" si="55"/>
        <v>0</v>
      </c>
    </row>
    <row r="860" spans="27:30" x14ac:dyDescent="0.3">
      <c r="AA860">
        <f t="shared" si="52"/>
        <v>0</v>
      </c>
      <c r="AB860">
        <f t="shared" si="53"/>
        <v>0</v>
      </c>
      <c r="AC860">
        <f t="shared" si="54"/>
        <v>0</v>
      </c>
      <c r="AD860">
        <f t="shared" si="55"/>
        <v>0</v>
      </c>
    </row>
    <row r="861" spans="27:30" x14ac:dyDescent="0.3">
      <c r="AA861">
        <f t="shared" si="52"/>
        <v>0</v>
      </c>
      <c r="AB861">
        <f t="shared" si="53"/>
        <v>0</v>
      </c>
      <c r="AC861">
        <f t="shared" si="54"/>
        <v>0</v>
      </c>
      <c r="AD861">
        <f t="shared" si="55"/>
        <v>0</v>
      </c>
    </row>
    <row r="862" spans="27:30" x14ac:dyDescent="0.3">
      <c r="AA862">
        <f t="shared" si="52"/>
        <v>0</v>
      </c>
      <c r="AB862">
        <f t="shared" si="53"/>
        <v>0</v>
      </c>
      <c r="AC862">
        <f t="shared" si="54"/>
        <v>0</v>
      </c>
      <c r="AD862">
        <f t="shared" si="55"/>
        <v>0</v>
      </c>
    </row>
    <row r="863" spans="27:30" x14ac:dyDescent="0.3">
      <c r="AA863">
        <f t="shared" si="52"/>
        <v>0</v>
      </c>
      <c r="AB863">
        <f t="shared" si="53"/>
        <v>0</v>
      </c>
      <c r="AC863">
        <f t="shared" si="54"/>
        <v>0</v>
      </c>
      <c r="AD863">
        <f t="shared" si="55"/>
        <v>0</v>
      </c>
    </row>
    <row r="864" spans="27:30" x14ac:dyDescent="0.3">
      <c r="AA864">
        <f t="shared" si="52"/>
        <v>0</v>
      </c>
      <c r="AB864">
        <f t="shared" si="53"/>
        <v>0</v>
      </c>
      <c r="AC864">
        <f t="shared" si="54"/>
        <v>0</v>
      </c>
      <c r="AD864">
        <f t="shared" si="55"/>
        <v>0</v>
      </c>
    </row>
    <row r="865" spans="27:30" x14ac:dyDescent="0.3">
      <c r="AA865">
        <f t="shared" si="52"/>
        <v>0</v>
      </c>
      <c r="AB865">
        <f t="shared" si="53"/>
        <v>0</v>
      </c>
      <c r="AC865">
        <f t="shared" si="54"/>
        <v>0</v>
      </c>
      <c r="AD865">
        <f t="shared" si="55"/>
        <v>0</v>
      </c>
    </row>
    <row r="866" spans="27:30" x14ac:dyDescent="0.3">
      <c r="AA866">
        <f t="shared" si="52"/>
        <v>0</v>
      </c>
      <c r="AB866">
        <f t="shared" si="53"/>
        <v>0</v>
      </c>
      <c r="AC866">
        <f t="shared" si="54"/>
        <v>0</v>
      </c>
      <c r="AD866">
        <f t="shared" si="55"/>
        <v>0</v>
      </c>
    </row>
    <row r="867" spans="27:30" x14ac:dyDescent="0.3">
      <c r="AA867">
        <f t="shared" si="52"/>
        <v>0</v>
      </c>
      <c r="AB867">
        <f t="shared" si="53"/>
        <v>0</v>
      </c>
      <c r="AC867">
        <f t="shared" si="54"/>
        <v>0</v>
      </c>
      <c r="AD867">
        <f t="shared" si="55"/>
        <v>0</v>
      </c>
    </row>
    <row r="868" spans="27:30" x14ac:dyDescent="0.3">
      <c r="AA868">
        <f t="shared" si="52"/>
        <v>0</v>
      </c>
      <c r="AB868">
        <f t="shared" si="53"/>
        <v>0</v>
      </c>
      <c r="AC868">
        <f t="shared" si="54"/>
        <v>0</v>
      </c>
      <c r="AD868">
        <f t="shared" si="55"/>
        <v>0</v>
      </c>
    </row>
    <row r="869" spans="27:30" x14ac:dyDescent="0.3">
      <c r="AA869">
        <f t="shared" si="52"/>
        <v>0</v>
      </c>
      <c r="AB869">
        <f t="shared" si="53"/>
        <v>0</v>
      </c>
      <c r="AC869">
        <f t="shared" si="54"/>
        <v>0</v>
      </c>
      <c r="AD869">
        <f t="shared" si="55"/>
        <v>0</v>
      </c>
    </row>
    <row r="870" spans="27:30" x14ac:dyDescent="0.3">
      <c r="AA870">
        <f t="shared" si="52"/>
        <v>0</v>
      </c>
      <c r="AB870">
        <f t="shared" si="53"/>
        <v>0</v>
      </c>
      <c r="AC870">
        <f t="shared" si="54"/>
        <v>0</v>
      </c>
      <c r="AD870">
        <f t="shared" si="55"/>
        <v>0</v>
      </c>
    </row>
    <row r="871" spans="27:30" x14ac:dyDescent="0.3">
      <c r="AA871">
        <f t="shared" si="52"/>
        <v>0</v>
      </c>
      <c r="AB871">
        <f t="shared" si="53"/>
        <v>0</v>
      </c>
      <c r="AC871">
        <f t="shared" si="54"/>
        <v>0</v>
      </c>
      <c r="AD871">
        <f t="shared" si="55"/>
        <v>0</v>
      </c>
    </row>
    <row r="872" spans="27:30" x14ac:dyDescent="0.3">
      <c r="AA872">
        <f t="shared" si="52"/>
        <v>0</v>
      </c>
      <c r="AB872">
        <f t="shared" si="53"/>
        <v>0</v>
      </c>
      <c r="AC872">
        <f t="shared" si="54"/>
        <v>0</v>
      </c>
      <c r="AD872">
        <f t="shared" si="55"/>
        <v>0</v>
      </c>
    </row>
    <row r="873" spans="27:30" x14ac:dyDescent="0.3">
      <c r="AA873">
        <f t="shared" si="52"/>
        <v>0</v>
      </c>
      <c r="AB873">
        <f t="shared" si="53"/>
        <v>0</v>
      </c>
      <c r="AC873">
        <f t="shared" si="54"/>
        <v>0</v>
      </c>
      <c r="AD873">
        <f t="shared" si="55"/>
        <v>0</v>
      </c>
    </row>
    <row r="874" spans="27:30" x14ac:dyDescent="0.3">
      <c r="AA874">
        <f t="shared" si="52"/>
        <v>0</v>
      </c>
      <c r="AB874">
        <f t="shared" si="53"/>
        <v>0</v>
      </c>
      <c r="AC874">
        <f t="shared" si="54"/>
        <v>0</v>
      </c>
      <c r="AD874">
        <f t="shared" si="55"/>
        <v>0</v>
      </c>
    </row>
    <row r="875" spans="27:30" x14ac:dyDescent="0.3">
      <c r="AA875">
        <f t="shared" si="52"/>
        <v>0</v>
      </c>
      <c r="AB875">
        <f t="shared" si="53"/>
        <v>0</v>
      </c>
      <c r="AC875">
        <f t="shared" si="54"/>
        <v>0</v>
      </c>
      <c r="AD875">
        <f t="shared" si="55"/>
        <v>0</v>
      </c>
    </row>
    <row r="876" spans="27:30" x14ac:dyDescent="0.3">
      <c r="AA876">
        <f t="shared" si="52"/>
        <v>0</v>
      </c>
      <c r="AB876">
        <f t="shared" si="53"/>
        <v>0</v>
      </c>
      <c r="AC876">
        <f t="shared" si="54"/>
        <v>0</v>
      </c>
      <c r="AD876">
        <f t="shared" si="55"/>
        <v>0</v>
      </c>
    </row>
    <row r="877" spans="27:30" x14ac:dyDescent="0.3">
      <c r="AA877">
        <f t="shared" si="52"/>
        <v>0</v>
      </c>
      <c r="AB877">
        <f t="shared" si="53"/>
        <v>0</v>
      </c>
      <c r="AC877">
        <f t="shared" si="54"/>
        <v>0</v>
      </c>
      <c r="AD877">
        <f t="shared" si="55"/>
        <v>0</v>
      </c>
    </row>
    <row r="878" spans="27:30" x14ac:dyDescent="0.3">
      <c r="AA878">
        <f t="shared" si="52"/>
        <v>0</v>
      </c>
      <c r="AB878">
        <f t="shared" si="53"/>
        <v>0</v>
      </c>
      <c r="AC878">
        <f t="shared" si="54"/>
        <v>0</v>
      </c>
      <c r="AD878">
        <f t="shared" si="55"/>
        <v>0</v>
      </c>
    </row>
    <row r="879" spans="27:30" x14ac:dyDescent="0.3">
      <c r="AA879">
        <f t="shared" si="52"/>
        <v>0</v>
      </c>
      <c r="AB879">
        <f t="shared" si="53"/>
        <v>0</v>
      </c>
      <c r="AC879">
        <f t="shared" si="54"/>
        <v>0</v>
      </c>
      <c r="AD879">
        <f t="shared" si="55"/>
        <v>0</v>
      </c>
    </row>
    <row r="880" spans="27:30" x14ac:dyDescent="0.3">
      <c r="AA880">
        <f t="shared" si="52"/>
        <v>0</v>
      </c>
      <c r="AB880">
        <f t="shared" si="53"/>
        <v>0</v>
      </c>
      <c r="AC880">
        <f t="shared" si="54"/>
        <v>0</v>
      </c>
      <c r="AD880">
        <f t="shared" si="55"/>
        <v>0</v>
      </c>
    </row>
    <row r="881" spans="27:30" x14ac:dyDescent="0.3">
      <c r="AA881">
        <f t="shared" si="52"/>
        <v>0</v>
      </c>
      <c r="AB881">
        <f t="shared" si="53"/>
        <v>0</v>
      </c>
      <c r="AC881">
        <f t="shared" si="54"/>
        <v>0</v>
      </c>
      <c r="AD881">
        <f t="shared" si="55"/>
        <v>0</v>
      </c>
    </row>
    <row r="882" spans="27:30" x14ac:dyDescent="0.3">
      <c r="AA882">
        <f t="shared" si="52"/>
        <v>0</v>
      </c>
      <c r="AB882">
        <f t="shared" si="53"/>
        <v>0</v>
      </c>
      <c r="AC882">
        <f t="shared" si="54"/>
        <v>0</v>
      </c>
      <c r="AD882">
        <f t="shared" si="55"/>
        <v>0</v>
      </c>
    </row>
    <row r="883" spans="27:30" x14ac:dyDescent="0.3">
      <c r="AA883">
        <f t="shared" si="52"/>
        <v>0</v>
      </c>
      <c r="AB883">
        <f t="shared" si="53"/>
        <v>0</v>
      </c>
      <c r="AC883">
        <f t="shared" si="54"/>
        <v>0</v>
      </c>
      <c r="AD883">
        <f t="shared" si="55"/>
        <v>0</v>
      </c>
    </row>
    <row r="884" spans="27:30" x14ac:dyDescent="0.3">
      <c r="AA884">
        <f t="shared" si="52"/>
        <v>0</v>
      </c>
      <c r="AB884">
        <f t="shared" si="53"/>
        <v>0</v>
      </c>
      <c r="AC884">
        <f t="shared" si="54"/>
        <v>0</v>
      </c>
      <c r="AD884">
        <f t="shared" si="55"/>
        <v>0</v>
      </c>
    </row>
    <row r="885" spans="27:30" x14ac:dyDescent="0.3">
      <c r="AA885">
        <f t="shared" si="52"/>
        <v>0</v>
      </c>
      <c r="AB885">
        <f t="shared" si="53"/>
        <v>0</v>
      </c>
      <c r="AC885">
        <f t="shared" si="54"/>
        <v>0</v>
      </c>
      <c r="AD885">
        <f t="shared" si="55"/>
        <v>0</v>
      </c>
    </row>
    <row r="886" spans="27:30" x14ac:dyDescent="0.3">
      <c r="AA886">
        <f t="shared" si="52"/>
        <v>0</v>
      </c>
      <c r="AB886">
        <f t="shared" si="53"/>
        <v>0</v>
      </c>
      <c r="AC886">
        <f t="shared" si="54"/>
        <v>0</v>
      </c>
      <c r="AD886">
        <f t="shared" si="55"/>
        <v>0</v>
      </c>
    </row>
    <row r="887" spans="27:30" x14ac:dyDescent="0.3">
      <c r="AA887">
        <f t="shared" si="52"/>
        <v>0</v>
      </c>
      <c r="AB887">
        <f t="shared" si="53"/>
        <v>0</v>
      </c>
      <c r="AC887">
        <f t="shared" si="54"/>
        <v>0</v>
      </c>
      <c r="AD887">
        <f t="shared" si="55"/>
        <v>0</v>
      </c>
    </row>
    <row r="888" spans="27:30" x14ac:dyDescent="0.3">
      <c r="AA888">
        <f t="shared" si="52"/>
        <v>0</v>
      </c>
      <c r="AB888">
        <f t="shared" si="53"/>
        <v>0</v>
      </c>
      <c r="AC888">
        <f t="shared" si="54"/>
        <v>0</v>
      </c>
      <c r="AD888">
        <f t="shared" si="55"/>
        <v>0</v>
      </c>
    </row>
    <row r="889" spans="27:30" x14ac:dyDescent="0.3">
      <c r="AA889">
        <f t="shared" si="52"/>
        <v>0</v>
      </c>
      <c r="AB889">
        <f t="shared" si="53"/>
        <v>0</v>
      </c>
      <c r="AC889">
        <f t="shared" si="54"/>
        <v>0</v>
      </c>
      <c r="AD889">
        <f t="shared" si="55"/>
        <v>0</v>
      </c>
    </row>
    <row r="890" spans="27:30" x14ac:dyDescent="0.3">
      <c r="AA890">
        <f t="shared" si="52"/>
        <v>0</v>
      </c>
      <c r="AB890">
        <f t="shared" si="53"/>
        <v>0</v>
      </c>
      <c r="AC890">
        <f t="shared" si="54"/>
        <v>0</v>
      </c>
      <c r="AD890">
        <f t="shared" si="55"/>
        <v>0</v>
      </c>
    </row>
    <row r="891" spans="27:30" x14ac:dyDescent="0.3">
      <c r="AA891">
        <f t="shared" si="52"/>
        <v>0</v>
      </c>
      <c r="AB891">
        <f t="shared" si="53"/>
        <v>0</v>
      </c>
      <c r="AC891">
        <f t="shared" si="54"/>
        <v>0</v>
      </c>
      <c r="AD891">
        <f t="shared" si="55"/>
        <v>0</v>
      </c>
    </row>
    <row r="892" spans="27:30" x14ac:dyDescent="0.3">
      <c r="AA892">
        <f t="shared" si="52"/>
        <v>0</v>
      </c>
      <c r="AB892">
        <f t="shared" si="53"/>
        <v>0</v>
      </c>
      <c r="AC892">
        <f t="shared" si="54"/>
        <v>0</v>
      </c>
      <c r="AD892">
        <f t="shared" si="55"/>
        <v>0</v>
      </c>
    </row>
    <row r="893" spans="27:30" x14ac:dyDescent="0.3">
      <c r="AA893">
        <f t="shared" si="52"/>
        <v>0</v>
      </c>
      <c r="AB893">
        <f t="shared" si="53"/>
        <v>0</v>
      </c>
      <c r="AC893">
        <f t="shared" si="54"/>
        <v>0</v>
      </c>
      <c r="AD893">
        <f t="shared" si="55"/>
        <v>0</v>
      </c>
    </row>
    <row r="894" spans="27:30" x14ac:dyDescent="0.3">
      <c r="AA894">
        <f t="shared" si="52"/>
        <v>0</v>
      </c>
      <c r="AB894">
        <f t="shared" si="53"/>
        <v>0</v>
      </c>
      <c r="AC894">
        <f t="shared" si="54"/>
        <v>0</v>
      </c>
      <c r="AD894">
        <f t="shared" si="55"/>
        <v>0</v>
      </c>
    </row>
    <row r="895" spans="27:30" x14ac:dyDescent="0.3">
      <c r="AA895">
        <f t="shared" si="52"/>
        <v>0</v>
      </c>
      <c r="AB895">
        <f t="shared" si="53"/>
        <v>0</v>
      </c>
      <c r="AC895">
        <f t="shared" si="54"/>
        <v>0</v>
      </c>
      <c r="AD895">
        <f t="shared" si="55"/>
        <v>0</v>
      </c>
    </row>
    <row r="896" spans="27:30" x14ac:dyDescent="0.3">
      <c r="AA896">
        <f t="shared" si="52"/>
        <v>0</v>
      </c>
      <c r="AB896">
        <f t="shared" si="53"/>
        <v>0</v>
      </c>
      <c r="AC896">
        <f t="shared" si="54"/>
        <v>0</v>
      </c>
      <c r="AD896">
        <f t="shared" si="55"/>
        <v>0</v>
      </c>
    </row>
    <row r="897" spans="27:30" x14ac:dyDescent="0.3">
      <c r="AA897">
        <f t="shared" si="52"/>
        <v>0</v>
      </c>
      <c r="AB897">
        <f t="shared" si="53"/>
        <v>0</v>
      </c>
      <c r="AC897">
        <f t="shared" si="54"/>
        <v>0</v>
      </c>
      <c r="AD897">
        <f t="shared" si="55"/>
        <v>0</v>
      </c>
    </row>
    <row r="898" spans="27:30" x14ac:dyDescent="0.3">
      <c r="AA898">
        <f t="shared" si="52"/>
        <v>0</v>
      </c>
      <c r="AB898">
        <f t="shared" si="53"/>
        <v>0</v>
      </c>
      <c r="AC898">
        <f t="shared" si="54"/>
        <v>0</v>
      </c>
      <c r="AD898">
        <f t="shared" si="55"/>
        <v>0</v>
      </c>
    </row>
    <row r="899" spans="27:30" x14ac:dyDescent="0.3">
      <c r="AA899">
        <f t="shared" si="52"/>
        <v>0</v>
      </c>
      <c r="AB899">
        <f t="shared" si="53"/>
        <v>0</v>
      </c>
      <c r="AC899">
        <f t="shared" si="54"/>
        <v>0</v>
      </c>
      <c r="AD899">
        <f t="shared" si="55"/>
        <v>0</v>
      </c>
    </row>
    <row r="900" spans="27:30" x14ac:dyDescent="0.3">
      <c r="AA900">
        <f t="shared" si="52"/>
        <v>0</v>
      </c>
      <c r="AB900">
        <f t="shared" si="53"/>
        <v>0</v>
      </c>
      <c r="AC900">
        <f t="shared" si="54"/>
        <v>0</v>
      </c>
      <c r="AD900">
        <f t="shared" si="55"/>
        <v>0</v>
      </c>
    </row>
    <row r="901" spans="27:30" x14ac:dyDescent="0.3">
      <c r="AA901">
        <f t="shared" ref="AA901:AA964" si="56">ROUND(Z901,0)</f>
        <v>0</v>
      </c>
      <c r="AB901">
        <f t="shared" ref="AB901:AB964" si="57">IF(AA901=Y901,0,1)</f>
        <v>0</v>
      </c>
      <c r="AC901">
        <f t="shared" ref="AC901:AC964" si="58">IF(AA901&lt;Y901+5,IF(AA901&gt;Y901-5,0,1),1)</f>
        <v>0</v>
      </c>
      <c r="AD901">
        <f t="shared" ref="AD901:AD964" si="59">IF(AA901&lt;Y901+10,IF(AA901&gt;Y901-10,0,1),1)</f>
        <v>0</v>
      </c>
    </row>
    <row r="902" spans="27:30" x14ac:dyDescent="0.3">
      <c r="AA902">
        <f t="shared" si="56"/>
        <v>0</v>
      </c>
      <c r="AB902">
        <f t="shared" si="57"/>
        <v>0</v>
      </c>
      <c r="AC902">
        <f t="shared" si="58"/>
        <v>0</v>
      </c>
      <c r="AD902">
        <f t="shared" si="59"/>
        <v>0</v>
      </c>
    </row>
    <row r="903" spans="27:30" x14ac:dyDescent="0.3">
      <c r="AA903">
        <f t="shared" si="56"/>
        <v>0</v>
      </c>
      <c r="AB903">
        <f t="shared" si="57"/>
        <v>0</v>
      </c>
      <c r="AC903">
        <f t="shared" si="58"/>
        <v>0</v>
      </c>
      <c r="AD903">
        <f t="shared" si="59"/>
        <v>0</v>
      </c>
    </row>
    <row r="904" spans="27:30" x14ac:dyDescent="0.3">
      <c r="AA904">
        <f t="shared" si="56"/>
        <v>0</v>
      </c>
      <c r="AB904">
        <f t="shared" si="57"/>
        <v>0</v>
      </c>
      <c r="AC904">
        <f t="shared" si="58"/>
        <v>0</v>
      </c>
      <c r="AD904">
        <f t="shared" si="59"/>
        <v>0</v>
      </c>
    </row>
    <row r="905" spans="27:30" x14ac:dyDescent="0.3">
      <c r="AA905">
        <f t="shared" si="56"/>
        <v>0</v>
      </c>
      <c r="AB905">
        <f t="shared" si="57"/>
        <v>0</v>
      </c>
      <c r="AC905">
        <f t="shared" si="58"/>
        <v>0</v>
      </c>
      <c r="AD905">
        <f t="shared" si="59"/>
        <v>0</v>
      </c>
    </row>
    <row r="906" spans="27:30" x14ac:dyDescent="0.3">
      <c r="AA906">
        <f t="shared" si="56"/>
        <v>0</v>
      </c>
      <c r="AB906">
        <f t="shared" si="57"/>
        <v>0</v>
      </c>
      <c r="AC906">
        <f t="shared" si="58"/>
        <v>0</v>
      </c>
      <c r="AD906">
        <f t="shared" si="59"/>
        <v>0</v>
      </c>
    </row>
    <row r="907" spans="27:30" x14ac:dyDescent="0.3">
      <c r="AA907">
        <f t="shared" si="56"/>
        <v>0</v>
      </c>
      <c r="AB907">
        <f t="shared" si="57"/>
        <v>0</v>
      </c>
      <c r="AC907">
        <f t="shared" si="58"/>
        <v>0</v>
      </c>
      <c r="AD907">
        <f t="shared" si="59"/>
        <v>0</v>
      </c>
    </row>
    <row r="908" spans="27:30" x14ac:dyDescent="0.3">
      <c r="AA908">
        <f t="shared" si="56"/>
        <v>0</v>
      </c>
      <c r="AB908">
        <f t="shared" si="57"/>
        <v>0</v>
      </c>
      <c r="AC908">
        <f t="shared" si="58"/>
        <v>0</v>
      </c>
      <c r="AD908">
        <f t="shared" si="59"/>
        <v>0</v>
      </c>
    </row>
    <row r="909" spans="27:30" x14ac:dyDescent="0.3">
      <c r="AA909">
        <f t="shared" si="56"/>
        <v>0</v>
      </c>
      <c r="AB909">
        <f t="shared" si="57"/>
        <v>0</v>
      </c>
      <c r="AC909">
        <f t="shared" si="58"/>
        <v>0</v>
      </c>
      <c r="AD909">
        <f t="shared" si="59"/>
        <v>0</v>
      </c>
    </row>
    <row r="910" spans="27:30" x14ac:dyDescent="0.3">
      <c r="AA910">
        <f t="shared" si="56"/>
        <v>0</v>
      </c>
      <c r="AB910">
        <f t="shared" si="57"/>
        <v>0</v>
      </c>
      <c r="AC910">
        <f t="shared" si="58"/>
        <v>0</v>
      </c>
      <c r="AD910">
        <f t="shared" si="59"/>
        <v>0</v>
      </c>
    </row>
    <row r="911" spans="27:30" x14ac:dyDescent="0.3">
      <c r="AA911">
        <f t="shared" si="56"/>
        <v>0</v>
      </c>
      <c r="AB911">
        <f t="shared" si="57"/>
        <v>0</v>
      </c>
      <c r="AC911">
        <f t="shared" si="58"/>
        <v>0</v>
      </c>
      <c r="AD911">
        <f t="shared" si="59"/>
        <v>0</v>
      </c>
    </row>
    <row r="912" spans="27:30" x14ac:dyDescent="0.3">
      <c r="AA912">
        <f t="shared" si="56"/>
        <v>0</v>
      </c>
      <c r="AB912">
        <f t="shared" si="57"/>
        <v>0</v>
      </c>
      <c r="AC912">
        <f t="shared" si="58"/>
        <v>0</v>
      </c>
      <c r="AD912">
        <f t="shared" si="59"/>
        <v>0</v>
      </c>
    </row>
    <row r="913" spans="27:30" x14ac:dyDescent="0.3">
      <c r="AA913">
        <f t="shared" si="56"/>
        <v>0</v>
      </c>
      <c r="AB913">
        <f t="shared" si="57"/>
        <v>0</v>
      </c>
      <c r="AC913">
        <f t="shared" si="58"/>
        <v>0</v>
      </c>
      <c r="AD913">
        <f t="shared" si="59"/>
        <v>0</v>
      </c>
    </row>
    <row r="914" spans="27:30" x14ac:dyDescent="0.3">
      <c r="AA914">
        <f t="shared" si="56"/>
        <v>0</v>
      </c>
      <c r="AB914">
        <f t="shared" si="57"/>
        <v>0</v>
      </c>
      <c r="AC914">
        <f t="shared" si="58"/>
        <v>0</v>
      </c>
      <c r="AD914">
        <f t="shared" si="59"/>
        <v>0</v>
      </c>
    </row>
    <row r="915" spans="27:30" x14ac:dyDescent="0.3">
      <c r="AA915">
        <f t="shared" si="56"/>
        <v>0</v>
      </c>
      <c r="AB915">
        <f t="shared" si="57"/>
        <v>0</v>
      </c>
      <c r="AC915">
        <f t="shared" si="58"/>
        <v>0</v>
      </c>
      <c r="AD915">
        <f t="shared" si="59"/>
        <v>0</v>
      </c>
    </row>
    <row r="916" spans="27:30" x14ac:dyDescent="0.3">
      <c r="AA916">
        <f t="shared" si="56"/>
        <v>0</v>
      </c>
      <c r="AB916">
        <f t="shared" si="57"/>
        <v>0</v>
      </c>
      <c r="AC916">
        <f t="shared" si="58"/>
        <v>0</v>
      </c>
      <c r="AD916">
        <f t="shared" si="59"/>
        <v>0</v>
      </c>
    </row>
    <row r="917" spans="27:30" x14ac:dyDescent="0.3">
      <c r="AA917">
        <f t="shared" si="56"/>
        <v>0</v>
      </c>
      <c r="AB917">
        <f t="shared" si="57"/>
        <v>0</v>
      </c>
      <c r="AC917">
        <f t="shared" si="58"/>
        <v>0</v>
      </c>
      <c r="AD917">
        <f t="shared" si="59"/>
        <v>0</v>
      </c>
    </row>
    <row r="918" spans="27:30" x14ac:dyDescent="0.3">
      <c r="AA918">
        <f t="shared" si="56"/>
        <v>0</v>
      </c>
      <c r="AB918">
        <f t="shared" si="57"/>
        <v>0</v>
      </c>
      <c r="AC918">
        <f t="shared" si="58"/>
        <v>0</v>
      </c>
      <c r="AD918">
        <f t="shared" si="59"/>
        <v>0</v>
      </c>
    </row>
    <row r="919" spans="27:30" x14ac:dyDescent="0.3">
      <c r="AA919">
        <f t="shared" si="56"/>
        <v>0</v>
      </c>
      <c r="AB919">
        <f t="shared" si="57"/>
        <v>0</v>
      </c>
      <c r="AC919">
        <f t="shared" si="58"/>
        <v>0</v>
      </c>
      <c r="AD919">
        <f t="shared" si="59"/>
        <v>0</v>
      </c>
    </row>
    <row r="920" spans="27:30" x14ac:dyDescent="0.3">
      <c r="AA920">
        <f t="shared" si="56"/>
        <v>0</v>
      </c>
      <c r="AB920">
        <f t="shared" si="57"/>
        <v>0</v>
      </c>
      <c r="AC920">
        <f t="shared" si="58"/>
        <v>0</v>
      </c>
      <c r="AD920">
        <f t="shared" si="59"/>
        <v>0</v>
      </c>
    </row>
    <row r="921" spans="27:30" x14ac:dyDescent="0.3">
      <c r="AA921">
        <f t="shared" si="56"/>
        <v>0</v>
      </c>
      <c r="AB921">
        <f t="shared" si="57"/>
        <v>0</v>
      </c>
      <c r="AC921">
        <f t="shared" si="58"/>
        <v>0</v>
      </c>
      <c r="AD921">
        <f t="shared" si="59"/>
        <v>0</v>
      </c>
    </row>
    <row r="922" spans="27:30" x14ac:dyDescent="0.3">
      <c r="AA922">
        <f t="shared" si="56"/>
        <v>0</v>
      </c>
      <c r="AB922">
        <f t="shared" si="57"/>
        <v>0</v>
      </c>
      <c r="AC922">
        <f t="shared" si="58"/>
        <v>0</v>
      </c>
      <c r="AD922">
        <f t="shared" si="59"/>
        <v>0</v>
      </c>
    </row>
    <row r="923" spans="27:30" x14ac:dyDescent="0.3">
      <c r="AA923">
        <f t="shared" si="56"/>
        <v>0</v>
      </c>
      <c r="AB923">
        <f t="shared" si="57"/>
        <v>0</v>
      </c>
      <c r="AC923">
        <f t="shared" si="58"/>
        <v>0</v>
      </c>
      <c r="AD923">
        <f t="shared" si="59"/>
        <v>0</v>
      </c>
    </row>
    <row r="924" spans="27:30" x14ac:dyDescent="0.3">
      <c r="AA924">
        <f t="shared" si="56"/>
        <v>0</v>
      </c>
      <c r="AB924">
        <f t="shared" si="57"/>
        <v>0</v>
      </c>
      <c r="AC924">
        <f t="shared" si="58"/>
        <v>0</v>
      </c>
      <c r="AD924">
        <f t="shared" si="59"/>
        <v>0</v>
      </c>
    </row>
    <row r="925" spans="27:30" x14ac:dyDescent="0.3">
      <c r="AA925">
        <f t="shared" si="56"/>
        <v>0</v>
      </c>
      <c r="AB925">
        <f t="shared" si="57"/>
        <v>0</v>
      </c>
      <c r="AC925">
        <f t="shared" si="58"/>
        <v>0</v>
      </c>
      <c r="AD925">
        <f t="shared" si="59"/>
        <v>0</v>
      </c>
    </row>
    <row r="926" spans="27:30" x14ac:dyDescent="0.3">
      <c r="AA926">
        <f t="shared" si="56"/>
        <v>0</v>
      </c>
      <c r="AB926">
        <f t="shared" si="57"/>
        <v>0</v>
      </c>
      <c r="AC926">
        <f t="shared" si="58"/>
        <v>0</v>
      </c>
      <c r="AD926">
        <f t="shared" si="59"/>
        <v>0</v>
      </c>
    </row>
    <row r="927" spans="27:30" x14ac:dyDescent="0.3">
      <c r="AA927">
        <f t="shared" si="56"/>
        <v>0</v>
      </c>
      <c r="AB927">
        <f t="shared" si="57"/>
        <v>0</v>
      </c>
      <c r="AC927">
        <f t="shared" si="58"/>
        <v>0</v>
      </c>
      <c r="AD927">
        <f t="shared" si="59"/>
        <v>0</v>
      </c>
    </row>
    <row r="928" spans="27:30" x14ac:dyDescent="0.3">
      <c r="AA928">
        <f t="shared" si="56"/>
        <v>0</v>
      </c>
      <c r="AB928">
        <f t="shared" si="57"/>
        <v>0</v>
      </c>
      <c r="AC928">
        <f t="shared" si="58"/>
        <v>0</v>
      </c>
      <c r="AD928">
        <f t="shared" si="59"/>
        <v>0</v>
      </c>
    </row>
    <row r="929" spans="27:30" x14ac:dyDescent="0.3">
      <c r="AA929">
        <f t="shared" si="56"/>
        <v>0</v>
      </c>
      <c r="AB929">
        <f t="shared" si="57"/>
        <v>0</v>
      </c>
      <c r="AC929">
        <f t="shared" si="58"/>
        <v>0</v>
      </c>
      <c r="AD929">
        <f t="shared" si="59"/>
        <v>0</v>
      </c>
    </row>
    <row r="930" spans="27:30" x14ac:dyDescent="0.3">
      <c r="AA930">
        <f t="shared" si="56"/>
        <v>0</v>
      </c>
      <c r="AB930">
        <f t="shared" si="57"/>
        <v>0</v>
      </c>
      <c r="AC930">
        <f t="shared" si="58"/>
        <v>0</v>
      </c>
      <c r="AD930">
        <f t="shared" si="59"/>
        <v>0</v>
      </c>
    </row>
    <row r="931" spans="27:30" x14ac:dyDescent="0.3">
      <c r="AA931">
        <f t="shared" si="56"/>
        <v>0</v>
      </c>
      <c r="AB931">
        <f t="shared" si="57"/>
        <v>0</v>
      </c>
      <c r="AC931">
        <f t="shared" si="58"/>
        <v>0</v>
      </c>
      <c r="AD931">
        <f t="shared" si="59"/>
        <v>0</v>
      </c>
    </row>
    <row r="932" spans="27:30" x14ac:dyDescent="0.3">
      <c r="AA932">
        <f t="shared" si="56"/>
        <v>0</v>
      </c>
      <c r="AB932">
        <f t="shared" si="57"/>
        <v>0</v>
      </c>
      <c r="AC932">
        <f t="shared" si="58"/>
        <v>0</v>
      </c>
      <c r="AD932">
        <f t="shared" si="59"/>
        <v>0</v>
      </c>
    </row>
    <row r="933" spans="27:30" x14ac:dyDescent="0.3">
      <c r="AA933">
        <f t="shared" si="56"/>
        <v>0</v>
      </c>
      <c r="AB933">
        <f t="shared" si="57"/>
        <v>0</v>
      </c>
      <c r="AC933">
        <f t="shared" si="58"/>
        <v>0</v>
      </c>
      <c r="AD933">
        <f t="shared" si="59"/>
        <v>0</v>
      </c>
    </row>
    <row r="934" spans="27:30" x14ac:dyDescent="0.3">
      <c r="AA934">
        <f t="shared" si="56"/>
        <v>0</v>
      </c>
      <c r="AB934">
        <f t="shared" si="57"/>
        <v>0</v>
      </c>
      <c r="AC934">
        <f t="shared" si="58"/>
        <v>0</v>
      </c>
      <c r="AD934">
        <f t="shared" si="59"/>
        <v>0</v>
      </c>
    </row>
    <row r="935" spans="27:30" x14ac:dyDescent="0.3">
      <c r="AA935">
        <f t="shared" si="56"/>
        <v>0</v>
      </c>
      <c r="AB935">
        <f t="shared" si="57"/>
        <v>0</v>
      </c>
      <c r="AC935">
        <f t="shared" si="58"/>
        <v>0</v>
      </c>
      <c r="AD935">
        <f t="shared" si="59"/>
        <v>0</v>
      </c>
    </row>
    <row r="936" spans="27:30" x14ac:dyDescent="0.3">
      <c r="AA936">
        <f t="shared" si="56"/>
        <v>0</v>
      </c>
      <c r="AB936">
        <f t="shared" si="57"/>
        <v>0</v>
      </c>
      <c r="AC936">
        <f t="shared" si="58"/>
        <v>0</v>
      </c>
      <c r="AD936">
        <f t="shared" si="59"/>
        <v>0</v>
      </c>
    </row>
    <row r="937" spans="27:30" x14ac:dyDescent="0.3">
      <c r="AA937">
        <f t="shared" si="56"/>
        <v>0</v>
      </c>
      <c r="AB937">
        <f t="shared" si="57"/>
        <v>0</v>
      </c>
      <c r="AC937">
        <f t="shared" si="58"/>
        <v>0</v>
      </c>
      <c r="AD937">
        <f t="shared" si="59"/>
        <v>0</v>
      </c>
    </row>
    <row r="938" spans="27:30" x14ac:dyDescent="0.3">
      <c r="AA938">
        <f t="shared" si="56"/>
        <v>0</v>
      </c>
      <c r="AB938">
        <f t="shared" si="57"/>
        <v>0</v>
      </c>
      <c r="AC938">
        <f t="shared" si="58"/>
        <v>0</v>
      </c>
      <c r="AD938">
        <f t="shared" si="59"/>
        <v>0</v>
      </c>
    </row>
    <row r="939" spans="27:30" x14ac:dyDescent="0.3">
      <c r="AA939">
        <f t="shared" si="56"/>
        <v>0</v>
      </c>
      <c r="AB939">
        <f t="shared" si="57"/>
        <v>0</v>
      </c>
      <c r="AC939">
        <f t="shared" si="58"/>
        <v>0</v>
      </c>
      <c r="AD939">
        <f t="shared" si="59"/>
        <v>0</v>
      </c>
    </row>
    <row r="940" spans="27:30" x14ac:dyDescent="0.3">
      <c r="AA940">
        <f t="shared" si="56"/>
        <v>0</v>
      </c>
      <c r="AB940">
        <f t="shared" si="57"/>
        <v>0</v>
      </c>
      <c r="AC940">
        <f t="shared" si="58"/>
        <v>0</v>
      </c>
      <c r="AD940">
        <f t="shared" si="59"/>
        <v>0</v>
      </c>
    </row>
    <row r="941" spans="27:30" x14ac:dyDescent="0.3">
      <c r="AA941">
        <f t="shared" si="56"/>
        <v>0</v>
      </c>
      <c r="AB941">
        <f t="shared" si="57"/>
        <v>0</v>
      </c>
      <c r="AC941">
        <f t="shared" si="58"/>
        <v>0</v>
      </c>
      <c r="AD941">
        <f t="shared" si="59"/>
        <v>0</v>
      </c>
    </row>
    <row r="942" spans="27:30" x14ac:dyDescent="0.3">
      <c r="AA942">
        <f t="shared" si="56"/>
        <v>0</v>
      </c>
      <c r="AB942">
        <f t="shared" si="57"/>
        <v>0</v>
      </c>
      <c r="AC942">
        <f t="shared" si="58"/>
        <v>0</v>
      </c>
      <c r="AD942">
        <f t="shared" si="59"/>
        <v>0</v>
      </c>
    </row>
    <row r="943" spans="27:30" x14ac:dyDescent="0.3">
      <c r="AA943">
        <f t="shared" si="56"/>
        <v>0</v>
      </c>
      <c r="AB943">
        <f t="shared" si="57"/>
        <v>0</v>
      </c>
      <c r="AC943">
        <f t="shared" si="58"/>
        <v>0</v>
      </c>
      <c r="AD943">
        <f t="shared" si="59"/>
        <v>0</v>
      </c>
    </row>
    <row r="944" spans="27:30" x14ac:dyDescent="0.3">
      <c r="AA944">
        <f t="shared" si="56"/>
        <v>0</v>
      </c>
      <c r="AB944">
        <f t="shared" si="57"/>
        <v>0</v>
      </c>
      <c r="AC944">
        <f t="shared" si="58"/>
        <v>0</v>
      </c>
      <c r="AD944">
        <f t="shared" si="59"/>
        <v>0</v>
      </c>
    </row>
    <row r="945" spans="27:30" x14ac:dyDescent="0.3">
      <c r="AA945">
        <f t="shared" si="56"/>
        <v>0</v>
      </c>
      <c r="AB945">
        <f t="shared" si="57"/>
        <v>0</v>
      </c>
      <c r="AC945">
        <f t="shared" si="58"/>
        <v>0</v>
      </c>
      <c r="AD945">
        <f t="shared" si="59"/>
        <v>0</v>
      </c>
    </row>
    <row r="946" spans="27:30" x14ac:dyDescent="0.3">
      <c r="AA946">
        <f t="shared" si="56"/>
        <v>0</v>
      </c>
      <c r="AB946">
        <f t="shared" si="57"/>
        <v>0</v>
      </c>
      <c r="AC946">
        <f t="shared" si="58"/>
        <v>0</v>
      </c>
      <c r="AD946">
        <f t="shared" si="59"/>
        <v>0</v>
      </c>
    </row>
    <row r="947" spans="27:30" x14ac:dyDescent="0.3">
      <c r="AA947">
        <f t="shared" si="56"/>
        <v>0</v>
      </c>
      <c r="AB947">
        <f t="shared" si="57"/>
        <v>0</v>
      </c>
      <c r="AC947">
        <f t="shared" si="58"/>
        <v>0</v>
      </c>
      <c r="AD947">
        <f t="shared" si="59"/>
        <v>0</v>
      </c>
    </row>
    <row r="948" spans="27:30" x14ac:dyDescent="0.3">
      <c r="AA948">
        <f t="shared" si="56"/>
        <v>0</v>
      </c>
      <c r="AB948">
        <f t="shared" si="57"/>
        <v>0</v>
      </c>
      <c r="AC948">
        <f t="shared" si="58"/>
        <v>0</v>
      </c>
      <c r="AD948">
        <f t="shared" si="59"/>
        <v>0</v>
      </c>
    </row>
    <row r="949" spans="27:30" x14ac:dyDescent="0.3">
      <c r="AA949">
        <f t="shared" si="56"/>
        <v>0</v>
      </c>
      <c r="AB949">
        <f t="shared" si="57"/>
        <v>0</v>
      </c>
      <c r="AC949">
        <f t="shared" si="58"/>
        <v>0</v>
      </c>
      <c r="AD949">
        <f t="shared" si="59"/>
        <v>0</v>
      </c>
    </row>
    <row r="950" spans="27:30" x14ac:dyDescent="0.3">
      <c r="AA950">
        <f t="shared" si="56"/>
        <v>0</v>
      </c>
      <c r="AB950">
        <f t="shared" si="57"/>
        <v>0</v>
      </c>
      <c r="AC950">
        <f t="shared" si="58"/>
        <v>0</v>
      </c>
      <c r="AD950">
        <f t="shared" si="59"/>
        <v>0</v>
      </c>
    </row>
    <row r="951" spans="27:30" x14ac:dyDescent="0.3">
      <c r="AA951">
        <f t="shared" si="56"/>
        <v>0</v>
      </c>
      <c r="AB951">
        <f t="shared" si="57"/>
        <v>0</v>
      </c>
      <c r="AC951">
        <f t="shared" si="58"/>
        <v>0</v>
      </c>
      <c r="AD951">
        <f t="shared" si="59"/>
        <v>0</v>
      </c>
    </row>
    <row r="952" spans="27:30" x14ac:dyDescent="0.3">
      <c r="AA952">
        <f t="shared" si="56"/>
        <v>0</v>
      </c>
      <c r="AB952">
        <f t="shared" si="57"/>
        <v>0</v>
      </c>
      <c r="AC952">
        <f t="shared" si="58"/>
        <v>0</v>
      </c>
      <c r="AD952">
        <f t="shared" si="59"/>
        <v>0</v>
      </c>
    </row>
    <row r="953" spans="27:30" x14ac:dyDescent="0.3">
      <c r="AA953">
        <f t="shared" si="56"/>
        <v>0</v>
      </c>
      <c r="AB953">
        <f t="shared" si="57"/>
        <v>0</v>
      </c>
      <c r="AC953">
        <f t="shared" si="58"/>
        <v>0</v>
      </c>
      <c r="AD953">
        <f t="shared" si="59"/>
        <v>0</v>
      </c>
    </row>
    <row r="954" spans="27:30" x14ac:dyDescent="0.3">
      <c r="AA954">
        <f t="shared" si="56"/>
        <v>0</v>
      </c>
      <c r="AB954">
        <f t="shared" si="57"/>
        <v>0</v>
      </c>
      <c r="AC954">
        <f t="shared" si="58"/>
        <v>0</v>
      </c>
      <c r="AD954">
        <f t="shared" si="59"/>
        <v>0</v>
      </c>
    </row>
    <row r="955" spans="27:30" x14ac:dyDescent="0.3">
      <c r="AA955">
        <f t="shared" si="56"/>
        <v>0</v>
      </c>
      <c r="AB955">
        <f t="shared" si="57"/>
        <v>0</v>
      </c>
      <c r="AC955">
        <f t="shared" si="58"/>
        <v>0</v>
      </c>
      <c r="AD955">
        <f t="shared" si="59"/>
        <v>0</v>
      </c>
    </row>
    <row r="956" spans="27:30" x14ac:dyDescent="0.3">
      <c r="AA956">
        <f t="shared" si="56"/>
        <v>0</v>
      </c>
      <c r="AB956">
        <f t="shared" si="57"/>
        <v>0</v>
      </c>
      <c r="AC956">
        <f t="shared" si="58"/>
        <v>0</v>
      </c>
      <c r="AD956">
        <f t="shared" si="59"/>
        <v>0</v>
      </c>
    </row>
    <row r="957" spans="27:30" x14ac:dyDescent="0.3">
      <c r="AA957">
        <f t="shared" si="56"/>
        <v>0</v>
      </c>
      <c r="AB957">
        <f t="shared" si="57"/>
        <v>0</v>
      </c>
      <c r="AC957">
        <f t="shared" si="58"/>
        <v>0</v>
      </c>
      <c r="AD957">
        <f t="shared" si="59"/>
        <v>0</v>
      </c>
    </row>
    <row r="958" spans="27:30" x14ac:dyDescent="0.3">
      <c r="AA958">
        <f t="shared" si="56"/>
        <v>0</v>
      </c>
      <c r="AB958">
        <f t="shared" si="57"/>
        <v>0</v>
      </c>
      <c r="AC958">
        <f t="shared" si="58"/>
        <v>0</v>
      </c>
      <c r="AD958">
        <f t="shared" si="59"/>
        <v>0</v>
      </c>
    </row>
    <row r="959" spans="27:30" x14ac:dyDescent="0.3">
      <c r="AA959">
        <f t="shared" si="56"/>
        <v>0</v>
      </c>
      <c r="AB959">
        <f t="shared" si="57"/>
        <v>0</v>
      </c>
      <c r="AC959">
        <f t="shared" si="58"/>
        <v>0</v>
      </c>
      <c r="AD959">
        <f t="shared" si="59"/>
        <v>0</v>
      </c>
    </row>
    <row r="960" spans="27:30" x14ac:dyDescent="0.3">
      <c r="AA960">
        <f t="shared" si="56"/>
        <v>0</v>
      </c>
      <c r="AB960">
        <f t="shared" si="57"/>
        <v>0</v>
      </c>
      <c r="AC960">
        <f t="shared" si="58"/>
        <v>0</v>
      </c>
      <c r="AD960">
        <f t="shared" si="59"/>
        <v>0</v>
      </c>
    </row>
    <row r="961" spans="27:30" x14ac:dyDescent="0.3">
      <c r="AA961">
        <f t="shared" si="56"/>
        <v>0</v>
      </c>
      <c r="AB961">
        <f t="shared" si="57"/>
        <v>0</v>
      </c>
      <c r="AC961">
        <f t="shared" si="58"/>
        <v>0</v>
      </c>
      <c r="AD961">
        <f t="shared" si="59"/>
        <v>0</v>
      </c>
    </row>
    <row r="962" spans="27:30" x14ac:dyDescent="0.3">
      <c r="AA962">
        <f t="shared" si="56"/>
        <v>0</v>
      </c>
      <c r="AB962">
        <f t="shared" si="57"/>
        <v>0</v>
      </c>
      <c r="AC962">
        <f t="shared" si="58"/>
        <v>0</v>
      </c>
      <c r="AD962">
        <f t="shared" si="59"/>
        <v>0</v>
      </c>
    </row>
    <row r="963" spans="27:30" x14ac:dyDescent="0.3">
      <c r="AA963">
        <f t="shared" si="56"/>
        <v>0</v>
      </c>
      <c r="AB963">
        <f t="shared" si="57"/>
        <v>0</v>
      </c>
      <c r="AC963">
        <f t="shared" si="58"/>
        <v>0</v>
      </c>
      <c r="AD963">
        <f t="shared" si="59"/>
        <v>0</v>
      </c>
    </row>
    <row r="964" spans="27:30" x14ac:dyDescent="0.3">
      <c r="AA964">
        <f t="shared" si="56"/>
        <v>0</v>
      </c>
      <c r="AB964">
        <f t="shared" si="57"/>
        <v>0</v>
      </c>
      <c r="AC964">
        <f t="shared" si="58"/>
        <v>0</v>
      </c>
      <c r="AD964">
        <f t="shared" si="59"/>
        <v>0</v>
      </c>
    </row>
    <row r="965" spans="27:30" x14ac:dyDescent="0.3">
      <c r="AA965">
        <f t="shared" ref="AA965:AA1028" si="60">ROUND(Z965,0)</f>
        <v>0</v>
      </c>
      <c r="AB965">
        <f t="shared" ref="AB965:AB1028" si="61">IF(AA965=Y965,0,1)</f>
        <v>0</v>
      </c>
      <c r="AC965">
        <f t="shared" ref="AC965:AC1028" si="62">IF(AA965&lt;Y965+5,IF(AA965&gt;Y965-5,0,1),1)</f>
        <v>0</v>
      </c>
      <c r="AD965">
        <f t="shared" ref="AD965:AD1028" si="63">IF(AA965&lt;Y965+10,IF(AA965&gt;Y965-10,0,1),1)</f>
        <v>0</v>
      </c>
    </row>
    <row r="966" spans="27:30" x14ac:dyDescent="0.3">
      <c r="AA966">
        <f t="shared" si="60"/>
        <v>0</v>
      </c>
      <c r="AB966">
        <f t="shared" si="61"/>
        <v>0</v>
      </c>
      <c r="AC966">
        <f t="shared" si="62"/>
        <v>0</v>
      </c>
      <c r="AD966">
        <f t="shared" si="63"/>
        <v>0</v>
      </c>
    </row>
    <row r="967" spans="27:30" x14ac:dyDescent="0.3">
      <c r="AA967">
        <f t="shared" si="60"/>
        <v>0</v>
      </c>
      <c r="AB967">
        <f t="shared" si="61"/>
        <v>0</v>
      </c>
      <c r="AC967">
        <f t="shared" si="62"/>
        <v>0</v>
      </c>
      <c r="AD967">
        <f t="shared" si="63"/>
        <v>0</v>
      </c>
    </row>
    <row r="968" spans="27:30" x14ac:dyDescent="0.3">
      <c r="AA968">
        <f t="shared" si="60"/>
        <v>0</v>
      </c>
      <c r="AB968">
        <f t="shared" si="61"/>
        <v>0</v>
      </c>
      <c r="AC968">
        <f t="shared" si="62"/>
        <v>0</v>
      </c>
      <c r="AD968">
        <f t="shared" si="63"/>
        <v>0</v>
      </c>
    </row>
    <row r="969" spans="27:30" x14ac:dyDescent="0.3">
      <c r="AA969">
        <f t="shared" si="60"/>
        <v>0</v>
      </c>
      <c r="AB969">
        <f t="shared" si="61"/>
        <v>0</v>
      </c>
      <c r="AC969">
        <f t="shared" si="62"/>
        <v>0</v>
      </c>
      <c r="AD969">
        <f t="shared" si="63"/>
        <v>0</v>
      </c>
    </row>
    <row r="970" spans="27:30" x14ac:dyDescent="0.3">
      <c r="AA970">
        <f t="shared" si="60"/>
        <v>0</v>
      </c>
      <c r="AB970">
        <f t="shared" si="61"/>
        <v>0</v>
      </c>
      <c r="AC970">
        <f t="shared" si="62"/>
        <v>0</v>
      </c>
      <c r="AD970">
        <f t="shared" si="63"/>
        <v>0</v>
      </c>
    </row>
    <row r="971" spans="27:30" x14ac:dyDescent="0.3">
      <c r="AA971">
        <f t="shared" si="60"/>
        <v>0</v>
      </c>
      <c r="AB971">
        <f t="shared" si="61"/>
        <v>0</v>
      </c>
      <c r="AC971">
        <f t="shared" si="62"/>
        <v>0</v>
      </c>
      <c r="AD971">
        <f t="shared" si="63"/>
        <v>0</v>
      </c>
    </row>
    <row r="972" spans="27:30" x14ac:dyDescent="0.3">
      <c r="AA972">
        <f t="shared" si="60"/>
        <v>0</v>
      </c>
      <c r="AB972">
        <f t="shared" si="61"/>
        <v>0</v>
      </c>
      <c r="AC972">
        <f t="shared" si="62"/>
        <v>0</v>
      </c>
      <c r="AD972">
        <f t="shared" si="63"/>
        <v>0</v>
      </c>
    </row>
    <row r="973" spans="27:30" x14ac:dyDescent="0.3">
      <c r="AA973">
        <f t="shared" si="60"/>
        <v>0</v>
      </c>
      <c r="AB973">
        <f t="shared" si="61"/>
        <v>0</v>
      </c>
      <c r="AC973">
        <f t="shared" si="62"/>
        <v>0</v>
      </c>
      <c r="AD973">
        <f t="shared" si="63"/>
        <v>0</v>
      </c>
    </row>
    <row r="974" spans="27:30" x14ac:dyDescent="0.3">
      <c r="AA974">
        <f t="shared" si="60"/>
        <v>0</v>
      </c>
      <c r="AB974">
        <f t="shared" si="61"/>
        <v>0</v>
      </c>
      <c r="AC974">
        <f t="shared" si="62"/>
        <v>0</v>
      </c>
      <c r="AD974">
        <f t="shared" si="63"/>
        <v>0</v>
      </c>
    </row>
    <row r="975" spans="27:30" x14ac:dyDescent="0.3">
      <c r="AA975">
        <f t="shared" si="60"/>
        <v>0</v>
      </c>
      <c r="AB975">
        <f t="shared" si="61"/>
        <v>0</v>
      </c>
      <c r="AC975">
        <f t="shared" si="62"/>
        <v>0</v>
      </c>
      <c r="AD975">
        <f t="shared" si="63"/>
        <v>0</v>
      </c>
    </row>
    <row r="976" spans="27:30" x14ac:dyDescent="0.3">
      <c r="AA976">
        <f t="shared" si="60"/>
        <v>0</v>
      </c>
      <c r="AB976">
        <f t="shared" si="61"/>
        <v>0</v>
      </c>
      <c r="AC976">
        <f t="shared" si="62"/>
        <v>0</v>
      </c>
      <c r="AD976">
        <f t="shared" si="63"/>
        <v>0</v>
      </c>
    </row>
    <row r="977" spans="27:30" x14ac:dyDescent="0.3">
      <c r="AA977">
        <f t="shared" si="60"/>
        <v>0</v>
      </c>
      <c r="AB977">
        <f t="shared" si="61"/>
        <v>0</v>
      </c>
      <c r="AC977">
        <f t="shared" si="62"/>
        <v>0</v>
      </c>
      <c r="AD977">
        <f t="shared" si="63"/>
        <v>0</v>
      </c>
    </row>
    <row r="978" spans="27:30" x14ac:dyDescent="0.3">
      <c r="AA978">
        <f t="shared" si="60"/>
        <v>0</v>
      </c>
      <c r="AB978">
        <f t="shared" si="61"/>
        <v>0</v>
      </c>
      <c r="AC978">
        <f t="shared" si="62"/>
        <v>0</v>
      </c>
      <c r="AD978">
        <f t="shared" si="63"/>
        <v>0</v>
      </c>
    </row>
    <row r="979" spans="27:30" x14ac:dyDescent="0.3">
      <c r="AA979">
        <f t="shared" si="60"/>
        <v>0</v>
      </c>
      <c r="AB979">
        <f t="shared" si="61"/>
        <v>0</v>
      </c>
      <c r="AC979">
        <f t="shared" si="62"/>
        <v>0</v>
      </c>
      <c r="AD979">
        <f t="shared" si="63"/>
        <v>0</v>
      </c>
    </row>
    <row r="980" spans="27:30" x14ac:dyDescent="0.3">
      <c r="AA980">
        <f t="shared" si="60"/>
        <v>0</v>
      </c>
      <c r="AB980">
        <f t="shared" si="61"/>
        <v>0</v>
      </c>
      <c r="AC980">
        <f t="shared" si="62"/>
        <v>0</v>
      </c>
      <c r="AD980">
        <f t="shared" si="63"/>
        <v>0</v>
      </c>
    </row>
    <row r="981" spans="27:30" x14ac:dyDescent="0.3">
      <c r="AA981">
        <f t="shared" si="60"/>
        <v>0</v>
      </c>
      <c r="AB981">
        <f t="shared" si="61"/>
        <v>0</v>
      </c>
      <c r="AC981">
        <f t="shared" si="62"/>
        <v>0</v>
      </c>
      <c r="AD981">
        <f t="shared" si="63"/>
        <v>0</v>
      </c>
    </row>
    <row r="982" spans="27:30" x14ac:dyDescent="0.3">
      <c r="AA982">
        <f t="shared" si="60"/>
        <v>0</v>
      </c>
      <c r="AB982">
        <f t="shared" si="61"/>
        <v>0</v>
      </c>
      <c r="AC982">
        <f t="shared" si="62"/>
        <v>0</v>
      </c>
      <c r="AD982">
        <f t="shared" si="63"/>
        <v>0</v>
      </c>
    </row>
    <row r="983" spans="27:30" x14ac:dyDescent="0.3">
      <c r="AA983">
        <f t="shared" si="60"/>
        <v>0</v>
      </c>
      <c r="AB983">
        <f t="shared" si="61"/>
        <v>0</v>
      </c>
      <c r="AC983">
        <f t="shared" si="62"/>
        <v>0</v>
      </c>
      <c r="AD983">
        <f t="shared" si="63"/>
        <v>0</v>
      </c>
    </row>
    <row r="984" spans="27:30" x14ac:dyDescent="0.3">
      <c r="AA984">
        <f t="shared" si="60"/>
        <v>0</v>
      </c>
      <c r="AB984">
        <f t="shared" si="61"/>
        <v>0</v>
      </c>
      <c r="AC984">
        <f t="shared" si="62"/>
        <v>0</v>
      </c>
      <c r="AD984">
        <f t="shared" si="63"/>
        <v>0</v>
      </c>
    </row>
    <row r="985" spans="27:30" x14ac:dyDescent="0.3">
      <c r="AA985">
        <f t="shared" si="60"/>
        <v>0</v>
      </c>
      <c r="AB985">
        <f t="shared" si="61"/>
        <v>0</v>
      </c>
      <c r="AC985">
        <f t="shared" si="62"/>
        <v>0</v>
      </c>
      <c r="AD985">
        <f t="shared" si="63"/>
        <v>0</v>
      </c>
    </row>
    <row r="986" spans="27:30" x14ac:dyDescent="0.3">
      <c r="AA986">
        <f t="shared" si="60"/>
        <v>0</v>
      </c>
      <c r="AB986">
        <f t="shared" si="61"/>
        <v>0</v>
      </c>
      <c r="AC986">
        <f t="shared" si="62"/>
        <v>0</v>
      </c>
      <c r="AD986">
        <f t="shared" si="63"/>
        <v>0</v>
      </c>
    </row>
    <row r="987" spans="27:30" x14ac:dyDescent="0.3">
      <c r="AA987">
        <f t="shared" si="60"/>
        <v>0</v>
      </c>
      <c r="AB987">
        <f t="shared" si="61"/>
        <v>0</v>
      </c>
      <c r="AC987">
        <f t="shared" si="62"/>
        <v>0</v>
      </c>
      <c r="AD987">
        <f t="shared" si="63"/>
        <v>0</v>
      </c>
    </row>
    <row r="988" spans="27:30" x14ac:dyDescent="0.3">
      <c r="AA988">
        <f t="shared" si="60"/>
        <v>0</v>
      </c>
      <c r="AB988">
        <f t="shared" si="61"/>
        <v>0</v>
      </c>
      <c r="AC988">
        <f t="shared" si="62"/>
        <v>0</v>
      </c>
      <c r="AD988">
        <f t="shared" si="63"/>
        <v>0</v>
      </c>
    </row>
    <row r="989" spans="27:30" x14ac:dyDescent="0.3">
      <c r="AA989">
        <f t="shared" si="60"/>
        <v>0</v>
      </c>
      <c r="AB989">
        <f t="shared" si="61"/>
        <v>0</v>
      </c>
      <c r="AC989">
        <f t="shared" si="62"/>
        <v>0</v>
      </c>
      <c r="AD989">
        <f t="shared" si="63"/>
        <v>0</v>
      </c>
    </row>
    <row r="990" spans="27:30" x14ac:dyDescent="0.3">
      <c r="AA990">
        <f t="shared" si="60"/>
        <v>0</v>
      </c>
      <c r="AB990">
        <f t="shared" si="61"/>
        <v>0</v>
      </c>
      <c r="AC990">
        <f t="shared" si="62"/>
        <v>0</v>
      </c>
      <c r="AD990">
        <f t="shared" si="63"/>
        <v>0</v>
      </c>
    </row>
    <row r="991" spans="27:30" x14ac:dyDescent="0.3">
      <c r="AA991">
        <f t="shared" si="60"/>
        <v>0</v>
      </c>
      <c r="AB991">
        <f t="shared" si="61"/>
        <v>0</v>
      </c>
      <c r="AC991">
        <f t="shared" si="62"/>
        <v>0</v>
      </c>
      <c r="AD991">
        <f t="shared" si="63"/>
        <v>0</v>
      </c>
    </row>
    <row r="992" spans="27:30" x14ac:dyDescent="0.3">
      <c r="AA992">
        <f t="shared" si="60"/>
        <v>0</v>
      </c>
      <c r="AB992">
        <f t="shared" si="61"/>
        <v>0</v>
      </c>
      <c r="AC992">
        <f t="shared" si="62"/>
        <v>0</v>
      </c>
      <c r="AD992">
        <f t="shared" si="63"/>
        <v>0</v>
      </c>
    </row>
    <row r="993" spans="27:30" x14ac:dyDescent="0.3">
      <c r="AA993">
        <f t="shared" si="60"/>
        <v>0</v>
      </c>
      <c r="AB993">
        <f t="shared" si="61"/>
        <v>0</v>
      </c>
      <c r="AC993">
        <f t="shared" si="62"/>
        <v>0</v>
      </c>
      <c r="AD993">
        <f t="shared" si="63"/>
        <v>0</v>
      </c>
    </row>
    <row r="994" spans="27:30" x14ac:dyDescent="0.3">
      <c r="AA994">
        <f t="shared" si="60"/>
        <v>0</v>
      </c>
      <c r="AB994">
        <f t="shared" si="61"/>
        <v>0</v>
      </c>
      <c r="AC994">
        <f t="shared" si="62"/>
        <v>0</v>
      </c>
      <c r="AD994">
        <f t="shared" si="63"/>
        <v>0</v>
      </c>
    </row>
    <row r="995" spans="27:30" x14ac:dyDescent="0.3">
      <c r="AA995">
        <f t="shared" si="60"/>
        <v>0</v>
      </c>
      <c r="AB995">
        <f t="shared" si="61"/>
        <v>0</v>
      </c>
      <c r="AC995">
        <f t="shared" si="62"/>
        <v>0</v>
      </c>
      <c r="AD995">
        <f t="shared" si="63"/>
        <v>0</v>
      </c>
    </row>
    <row r="996" spans="27:30" x14ac:dyDescent="0.3">
      <c r="AA996">
        <f t="shared" si="60"/>
        <v>0</v>
      </c>
      <c r="AB996">
        <f t="shared" si="61"/>
        <v>0</v>
      </c>
      <c r="AC996">
        <f t="shared" si="62"/>
        <v>0</v>
      </c>
      <c r="AD996">
        <f t="shared" si="63"/>
        <v>0</v>
      </c>
    </row>
    <row r="997" spans="27:30" x14ac:dyDescent="0.3">
      <c r="AA997">
        <f t="shared" si="60"/>
        <v>0</v>
      </c>
      <c r="AB997">
        <f t="shared" si="61"/>
        <v>0</v>
      </c>
      <c r="AC997">
        <f t="shared" si="62"/>
        <v>0</v>
      </c>
      <c r="AD997">
        <f t="shared" si="63"/>
        <v>0</v>
      </c>
    </row>
    <row r="998" spans="27:30" x14ac:dyDescent="0.3">
      <c r="AA998">
        <f t="shared" si="60"/>
        <v>0</v>
      </c>
      <c r="AB998">
        <f t="shared" si="61"/>
        <v>0</v>
      </c>
      <c r="AC998">
        <f t="shared" si="62"/>
        <v>0</v>
      </c>
      <c r="AD998">
        <f t="shared" si="63"/>
        <v>0</v>
      </c>
    </row>
    <row r="999" spans="27:30" x14ac:dyDescent="0.3">
      <c r="AA999">
        <f t="shared" si="60"/>
        <v>0</v>
      </c>
      <c r="AB999">
        <f t="shared" si="61"/>
        <v>0</v>
      </c>
      <c r="AC999">
        <f t="shared" si="62"/>
        <v>0</v>
      </c>
      <c r="AD999">
        <f t="shared" si="63"/>
        <v>0</v>
      </c>
    </row>
    <row r="1000" spans="27:30" x14ac:dyDescent="0.3">
      <c r="AA1000">
        <f t="shared" si="60"/>
        <v>0</v>
      </c>
      <c r="AB1000">
        <f t="shared" si="61"/>
        <v>0</v>
      </c>
      <c r="AC1000">
        <f t="shared" si="62"/>
        <v>0</v>
      </c>
      <c r="AD1000">
        <f t="shared" si="63"/>
        <v>0</v>
      </c>
    </row>
    <row r="1001" spans="27:30" x14ac:dyDescent="0.3">
      <c r="AA1001">
        <f t="shared" si="60"/>
        <v>0</v>
      </c>
      <c r="AB1001">
        <f t="shared" si="61"/>
        <v>0</v>
      </c>
      <c r="AC1001">
        <f t="shared" si="62"/>
        <v>0</v>
      </c>
      <c r="AD1001">
        <f t="shared" si="63"/>
        <v>0</v>
      </c>
    </row>
    <row r="1002" spans="27:30" x14ac:dyDescent="0.3">
      <c r="AA1002">
        <f t="shared" si="60"/>
        <v>0</v>
      </c>
      <c r="AB1002">
        <f t="shared" si="61"/>
        <v>0</v>
      </c>
      <c r="AC1002">
        <f t="shared" si="62"/>
        <v>0</v>
      </c>
      <c r="AD1002">
        <f t="shared" si="63"/>
        <v>0</v>
      </c>
    </row>
    <row r="1003" spans="27:30" x14ac:dyDescent="0.3">
      <c r="AA1003">
        <f t="shared" si="60"/>
        <v>0</v>
      </c>
      <c r="AB1003">
        <f t="shared" si="61"/>
        <v>0</v>
      </c>
      <c r="AC1003">
        <f t="shared" si="62"/>
        <v>0</v>
      </c>
      <c r="AD1003">
        <f t="shared" si="63"/>
        <v>0</v>
      </c>
    </row>
    <row r="1004" spans="27:30" x14ac:dyDescent="0.3">
      <c r="AA1004">
        <f t="shared" si="60"/>
        <v>0</v>
      </c>
      <c r="AB1004">
        <f t="shared" si="61"/>
        <v>0</v>
      </c>
      <c r="AC1004">
        <f t="shared" si="62"/>
        <v>0</v>
      </c>
      <c r="AD1004">
        <f t="shared" si="63"/>
        <v>0</v>
      </c>
    </row>
    <row r="1005" spans="27:30" x14ac:dyDescent="0.3">
      <c r="AA1005">
        <f t="shared" si="60"/>
        <v>0</v>
      </c>
      <c r="AB1005">
        <f t="shared" si="61"/>
        <v>0</v>
      </c>
      <c r="AC1005">
        <f t="shared" si="62"/>
        <v>0</v>
      </c>
      <c r="AD1005">
        <f t="shared" si="63"/>
        <v>0</v>
      </c>
    </row>
    <row r="1006" spans="27:30" x14ac:dyDescent="0.3">
      <c r="AA1006">
        <f t="shared" si="60"/>
        <v>0</v>
      </c>
      <c r="AB1006">
        <f t="shared" si="61"/>
        <v>0</v>
      </c>
      <c r="AC1006">
        <f t="shared" si="62"/>
        <v>0</v>
      </c>
      <c r="AD1006">
        <f t="shared" si="63"/>
        <v>0</v>
      </c>
    </row>
    <row r="1007" spans="27:30" x14ac:dyDescent="0.3">
      <c r="AA1007">
        <f t="shared" si="60"/>
        <v>0</v>
      </c>
      <c r="AB1007">
        <f t="shared" si="61"/>
        <v>0</v>
      </c>
      <c r="AC1007">
        <f t="shared" si="62"/>
        <v>0</v>
      </c>
      <c r="AD1007">
        <f t="shared" si="63"/>
        <v>0</v>
      </c>
    </row>
    <row r="1008" spans="27:30" x14ac:dyDescent="0.3">
      <c r="AA1008">
        <f t="shared" si="60"/>
        <v>0</v>
      </c>
      <c r="AB1008">
        <f t="shared" si="61"/>
        <v>0</v>
      </c>
      <c r="AC1008">
        <f t="shared" si="62"/>
        <v>0</v>
      </c>
      <c r="AD1008">
        <f t="shared" si="63"/>
        <v>0</v>
      </c>
    </row>
    <row r="1009" spans="27:30" x14ac:dyDescent="0.3">
      <c r="AA1009">
        <f t="shared" si="60"/>
        <v>0</v>
      </c>
      <c r="AB1009">
        <f t="shared" si="61"/>
        <v>0</v>
      </c>
      <c r="AC1009">
        <f t="shared" si="62"/>
        <v>0</v>
      </c>
      <c r="AD1009">
        <f t="shared" si="63"/>
        <v>0</v>
      </c>
    </row>
    <row r="1010" spans="27:30" x14ac:dyDescent="0.3">
      <c r="AA1010">
        <f t="shared" si="60"/>
        <v>0</v>
      </c>
      <c r="AB1010">
        <f t="shared" si="61"/>
        <v>0</v>
      </c>
      <c r="AC1010">
        <f t="shared" si="62"/>
        <v>0</v>
      </c>
      <c r="AD1010">
        <f t="shared" si="63"/>
        <v>0</v>
      </c>
    </row>
    <row r="1011" spans="27:30" x14ac:dyDescent="0.3">
      <c r="AA1011">
        <f t="shared" si="60"/>
        <v>0</v>
      </c>
      <c r="AB1011">
        <f t="shared" si="61"/>
        <v>0</v>
      </c>
      <c r="AC1011">
        <f t="shared" si="62"/>
        <v>0</v>
      </c>
      <c r="AD1011">
        <f t="shared" si="63"/>
        <v>0</v>
      </c>
    </row>
    <row r="1012" spans="27:30" x14ac:dyDescent="0.3">
      <c r="AA1012">
        <f t="shared" si="60"/>
        <v>0</v>
      </c>
      <c r="AB1012">
        <f t="shared" si="61"/>
        <v>0</v>
      </c>
      <c r="AC1012">
        <f t="shared" si="62"/>
        <v>0</v>
      </c>
      <c r="AD1012">
        <f t="shared" si="63"/>
        <v>0</v>
      </c>
    </row>
    <row r="1013" spans="27:30" x14ac:dyDescent="0.3">
      <c r="AA1013">
        <f t="shared" si="60"/>
        <v>0</v>
      </c>
      <c r="AB1013">
        <f t="shared" si="61"/>
        <v>0</v>
      </c>
      <c r="AC1013">
        <f t="shared" si="62"/>
        <v>0</v>
      </c>
      <c r="AD1013">
        <f t="shared" si="63"/>
        <v>0</v>
      </c>
    </row>
    <row r="1014" spans="27:30" x14ac:dyDescent="0.3">
      <c r="AA1014">
        <f t="shared" si="60"/>
        <v>0</v>
      </c>
      <c r="AB1014">
        <f t="shared" si="61"/>
        <v>0</v>
      </c>
      <c r="AC1014">
        <f t="shared" si="62"/>
        <v>0</v>
      </c>
      <c r="AD1014">
        <f t="shared" si="63"/>
        <v>0</v>
      </c>
    </row>
    <row r="1015" spans="27:30" x14ac:dyDescent="0.3">
      <c r="AA1015">
        <f t="shared" si="60"/>
        <v>0</v>
      </c>
      <c r="AB1015">
        <f t="shared" si="61"/>
        <v>0</v>
      </c>
      <c r="AC1015">
        <f t="shared" si="62"/>
        <v>0</v>
      </c>
      <c r="AD1015">
        <f t="shared" si="63"/>
        <v>0</v>
      </c>
    </row>
    <row r="1016" spans="27:30" x14ac:dyDescent="0.3">
      <c r="AA1016">
        <f t="shared" si="60"/>
        <v>0</v>
      </c>
      <c r="AB1016">
        <f t="shared" si="61"/>
        <v>0</v>
      </c>
      <c r="AC1016">
        <f t="shared" si="62"/>
        <v>0</v>
      </c>
      <c r="AD1016">
        <f t="shared" si="63"/>
        <v>0</v>
      </c>
    </row>
    <row r="1017" spans="27:30" x14ac:dyDescent="0.3">
      <c r="AA1017">
        <f t="shared" si="60"/>
        <v>0</v>
      </c>
      <c r="AB1017">
        <f t="shared" si="61"/>
        <v>0</v>
      </c>
      <c r="AC1017">
        <f t="shared" si="62"/>
        <v>0</v>
      </c>
      <c r="AD1017">
        <f t="shared" si="63"/>
        <v>0</v>
      </c>
    </row>
    <row r="1018" spans="27:30" x14ac:dyDescent="0.3">
      <c r="AA1018">
        <f t="shared" si="60"/>
        <v>0</v>
      </c>
      <c r="AB1018">
        <f t="shared" si="61"/>
        <v>0</v>
      </c>
      <c r="AC1018">
        <f t="shared" si="62"/>
        <v>0</v>
      </c>
      <c r="AD1018">
        <f t="shared" si="63"/>
        <v>0</v>
      </c>
    </row>
    <row r="1019" spans="27:30" x14ac:dyDescent="0.3">
      <c r="AA1019">
        <f t="shared" si="60"/>
        <v>0</v>
      </c>
      <c r="AB1019">
        <f t="shared" si="61"/>
        <v>0</v>
      </c>
      <c r="AC1019">
        <f t="shared" si="62"/>
        <v>0</v>
      </c>
      <c r="AD1019">
        <f t="shared" si="63"/>
        <v>0</v>
      </c>
    </row>
    <row r="1020" spans="27:30" x14ac:dyDescent="0.3">
      <c r="AA1020">
        <f t="shared" si="60"/>
        <v>0</v>
      </c>
      <c r="AB1020">
        <f t="shared" si="61"/>
        <v>0</v>
      </c>
      <c r="AC1020">
        <f t="shared" si="62"/>
        <v>0</v>
      </c>
      <c r="AD1020">
        <f t="shared" si="63"/>
        <v>0</v>
      </c>
    </row>
    <row r="1021" spans="27:30" x14ac:dyDescent="0.3">
      <c r="AA1021">
        <f t="shared" si="60"/>
        <v>0</v>
      </c>
      <c r="AB1021">
        <f t="shared" si="61"/>
        <v>0</v>
      </c>
      <c r="AC1021">
        <f t="shared" si="62"/>
        <v>0</v>
      </c>
      <c r="AD1021">
        <f t="shared" si="63"/>
        <v>0</v>
      </c>
    </row>
    <row r="1022" spans="27:30" x14ac:dyDescent="0.3">
      <c r="AA1022">
        <f t="shared" si="60"/>
        <v>0</v>
      </c>
      <c r="AB1022">
        <f t="shared" si="61"/>
        <v>0</v>
      </c>
      <c r="AC1022">
        <f t="shared" si="62"/>
        <v>0</v>
      </c>
      <c r="AD1022">
        <f t="shared" si="63"/>
        <v>0</v>
      </c>
    </row>
    <row r="1023" spans="27:30" x14ac:dyDescent="0.3">
      <c r="AA1023">
        <f t="shared" si="60"/>
        <v>0</v>
      </c>
      <c r="AB1023">
        <f t="shared" si="61"/>
        <v>0</v>
      </c>
      <c r="AC1023">
        <f t="shared" si="62"/>
        <v>0</v>
      </c>
      <c r="AD1023">
        <f t="shared" si="63"/>
        <v>0</v>
      </c>
    </row>
    <row r="1024" spans="27:30" x14ac:dyDescent="0.3">
      <c r="AA1024">
        <f t="shared" si="60"/>
        <v>0</v>
      </c>
      <c r="AB1024">
        <f t="shared" si="61"/>
        <v>0</v>
      </c>
      <c r="AC1024">
        <f t="shared" si="62"/>
        <v>0</v>
      </c>
      <c r="AD1024">
        <f t="shared" si="63"/>
        <v>0</v>
      </c>
    </row>
    <row r="1025" spans="27:30" x14ac:dyDescent="0.3">
      <c r="AA1025">
        <f t="shared" si="60"/>
        <v>0</v>
      </c>
      <c r="AB1025">
        <f t="shared" si="61"/>
        <v>0</v>
      </c>
      <c r="AC1025">
        <f t="shared" si="62"/>
        <v>0</v>
      </c>
      <c r="AD1025">
        <f t="shared" si="63"/>
        <v>0</v>
      </c>
    </row>
    <row r="1026" spans="27:30" x14ac:dyDescent="0.3">
      <c r="AA1026">
        <f t="shared" si="60"/>
        <v>0</v>
      </c>
      <c r="AB1026">
        <f t="shared" si="61"/>
        <v>0</v>
      </c>
      <c r="AC1026">
        <f t="shared" si="62"/>
        <v>0</v>
      </c>
      <c r="AD1026">
        <f t="shared" si="63"/>
        <v>0</v>
      </c>
    </row>
    <row r="1027" spans="27:30" x14ac:dyDescent="0.3">
      <c r="AA1027">
        <f t="shared" si="60"/>
        <v>0</v>
      </c>
      <c r="AB1027">
        <f t="shared" si="61"/>
        <v>0</v>
      </c>
      <c r="AC1027">
        <f t="shared" si="62"/>
        <v>0</v>
      </c>
      <c r="AD1027">
        <f t="shared" si="63"/>
        <v>0</v>
      </c>
    </row>
    <row r="1028" spans="27:30" x14ac:dyDescent="0.3">
      <c r="AA1028">
        <f t="shared" si="60"/>
        <v>0</v>
      </c>
      <c r="AB1028">
        <f t="shared" si="61"/>
        <v>0</v>
      </c>
      <c r="AC1028">
        <f t="shared" si="62"/>
        <v>0</v>
      </c>
      <c r="AD1028">
        <f t="shared" si="63"/>
        <v>0</v>
      </c>
    </row>
    <row r="1029" spans="27:30" x14ac:dyDescent="0.3">
      <c r="AA1029">
        <f t="shared" ref="AA1029:AA1092" si="64">ROUND(Z1029,0)</f>
        <v>0</v>
      </c>
      <c r="AB1029">
        <f t="shared" ref="AB1029:AB1092" si="65">IF(AA1029=Y1029,0,1)</f>
        <v>0</v>
      </c>
      <c r="AC1029">
        <f t="shared" ref="AC1029:AC1092" si="66">IF(AA1029&lt;Y1029+5,IF(AA1029&gt;Y1029-5,0,1),1)</f>
        <v>0</v>
      </c>
      <c r="AD1029">
        <f t="shared" ref="AD1029:AD1092" si="67">IF(AA1029&lt;Y1029+10,IF(AA1029&gt;Y1029-10,0,1),1)</f>
        <v>0</v>
      </c>
    </row>
    <row r="1030" spans="27:30" x14ac:dyDescent="0.3">
      <c r="AA1030">
        <f t="shared" si="64"/>
        <v>0</v>
      </c>
      <c r="AB1030">
        <f t="shared" si="65"/>
        <v>0</v>
      </c>
      <c r="AC1030">
        <f t="shared" si="66"/>
        <v>0</v>
      </c>
      <c r="AD1030">
        <f t="shared" si="67"/>
        <v>0</v>
      </c>
    </row>
    <row r="1031" spans="27:30" x14ac:dyDescent="0.3">
      <c r="AA1031">
        <f t="shared" si="64"/>
        <v>0</v>
      </c>
      <c r="AB1031">
        <f t="shared" si="65"/>
        <v>0</v>
      </c>
      <c r="AC1031">
        <f t="shared" si="66"/>
        <v>0</v>
      </c>
      <c r="AD1031">
        <f t="shared" si="67"/>
        <v>0</v>
      </c>
    </row>
    <row r="1032" spans="27:30" x14ac:dyDescent="0.3">
      <c r="AA1032">
        <f t="shared" si="64"/>
        <v>0</v>
      </c>
      <c r="AB1032">
        <f t="shared" si="65"/>
        <v>0</v>
      </c>
      <c r="AC1032">
        <f t="shared" si="66"/>
        <v>0</v>
      </c>
      <c r="AD1032">
        <f t="shared" si="67"/>
        <v>0</v>
      </c>
    </row>
    <row r="1033" spans="27:30" x14ac:dyDescent="0.3">
      <c r="AA1033">
        <f t="shared" si="64"/>
        <v>0</v>
      </c>
      <c r="AB1033">
        <f t="shared" si="65"/>
        <v>0</v>
      </c>
      <c r="AC1033">
        <f t="shared" si="66"/>
        <v>0</v>
      </c>
      <c r="AD1033">
        <f t="shared" si="67"/>
        <v>0</v>
      </c>
    </row>
    <row r="1034" spans="27:30" x14ac:dyDescent="0.3">
      <c r="AA1034">
        <f t="shared" si="64"/>
        <v>0</v>
      </c>
      <c r="AB1034">
        <f t="shared" si="65"/>
        <v>0</v>
      </c>
      <c r="AC1034">
        <f t="shared" si="66"/>
        <v>0</v>
      </c>
      <c r="AD1034">
        <f t="shared" si="67"/>
        <v>0</v>
      </c>
    </row>
    <row r="1035" spans="27:30" x14ac:dyDescent="0.3">
      <c r="AA1035">
        <f t="shared" si="64"/>
        <v>0</v>
      </c>
      <c r="AB1035">
        <f t="shared" si="65"/>
        <v>0</v>
      </c>
      <c r="AC1035">
        <f t="shared" si="66"/>
        <v>0</v>
      </c>
      <c r="AD1035">
        <f t="shared" si="67"/>
        <v>0</v>
      </c>
    </row>
    <row r="1036" spans="27:30" x14ac:dyDescent="0.3">
      <c r="AA1036">
        <f t="shared" si="64"/>
        <v>0</v>
      </c>
      <c r="AB1036">
        <f t="shared" si="65"/>
        <v>0</v>
      </c>
      <c r="AC1036">
        <f t="shared" si="66"/>
        <v>0</v>
      </c>
      <c r="AD1036">
        <f t="shared" si="67"/>
        <v>0</v>
      </c>
    </row>
    <row r="1037" spans="27:30" x14ac:dyDescent="0.3">
      <c r="AA1037">
        <f t="shared" si="64"/>
        <v>0</v>
      </c>
      <c r="AB1037">
        <f t="shared" si="65"/>
        <v>0</v>
      </c>
      <c r="AC1037">
        <f t="shared" si="66"/>
        <v>0</v>
      </c>
      <c r="AD1037">
        <f t="shared" si="67"/>
        <v>0</v>
      </c>
    </row>
    <row r="1038" spans="27:30" x14ac:dyDescent="0.3">
      <c r="AA1038">
        <f t="shared" si="64"/>
        <v>0</v>
      </c>
      <c r="AB1038">
        <f t="shared" si="65"/>
        <v>0</v>
      </c>
      <c r="AC1038">
        <f t="shared" si="66"/>
        <v>0</v>
      </c>
      <c r="AD1038">
        <f t="shared" si="67"/>
        <v>0</v>
      </c>
    </row>
    <row r="1039" spans="27:30" x14ac:dyDescent="0.3">
      <c r="AA1039">
        <f t="shared" si="64"/>
        <v>0</v>
      </c>
      <c r="AB1039">
        <f t="shared" si="65"/>
        <v>0</v>
      </c>
      <c r="AC1039">
        <f t="shared" si="66"/>
        <v>0</v>
      </c>
      <c r="AD1039">
        <f t="shared" si="67"/>
        <v>0</v>
      </c>
    </row>
    <row r="1040" spans="27:30" x14ac:dyDescent="0.3">
      <c r="AA1040">
        <f t="shared" si="64"/>
        <v>0</v>
      </c>
      <c r="AB1040">
        <f t="shared" si="65"/>
        <v>0</v>
      </c>
      <c r="AC1040">
        <f t="shared" si="66"/>
        <v>0</v>
      </c>
      <c r="AD1040">
        <f t="shared" si="67"/>
        <v>0</v>
      </c>
    </row>
    <row r="1041" spans="27:30" x14ac:dyDescent="0.3">
      <c r="AA1041">
        <f t="shared" si="64"/>
        <v>0</v>
      </c>
      <c r="AB1041">
        <f t="shared" si="65"/>
        <v>0</v>
      </c>
      <c r="AC1041">
        <f t="shared" si="66"/>
        <v>0</v>
      </c>
      <c r="AD1041">
        <f t="shared" si="67"/>
        <v>0</v>
      </c>
    </row>
    <row r="1042" spans="27:30" x14ac:dyDescent="0.3">
      <c r="AA1042">
        <f t="shared" si="64"/>
        <v>0</v>
      </c>
      <c r="AB1042">
        <f t="shared" si="65"/>
        <v>0</v>
      </c>
      <c r="AC1042">
        <f t="shared" si="66"/>
        <v>0</v>
      </c>
      <c r="AD1042">
        <f t="shared" si="67"/>
        <v>0</v>
      </c>
    </row>
    <row r="1043" spans="27:30" x14ac:dyDescent="0.3">
      <c r="AA1043">
        <f t="shared" si="64"/>
        <v>0</v>
      </c>
      <c r="AB1043">
        <f t="shared" si="65"/>
        <v>0</v>
      </c>
      <c r="AC1043">
        <f t="shared" si="66"/>
        <v>0</v>
      </c>
      <c r="AD1043">
        <f t="shared" si="67"/>
        <v>0</v>
      </c>
    </row>
    <row r="1044" spans="27:30" x14ac:dyDescent="0.3">
      <c r="AA1044">
        <f t="shared" si="64"/>
        <v>0</v>
      </c>
      <c r="AB1044">
        <f t="shared" si="65"/>
        <v>0</v>
      </c>
      <c r="AC1044">
        <f t="shared" si="66"/>
        <v>0</v>
      </c>
      <c r="AD1044">
        <f t="shared" si="67"/>
        <v>0</v>
      </c>
    </row>
    <row r="1045" spans="27:30" x14ac:dyDescent="0.3">
      <c r="AA1045">
        <f t="shared" si="64"/>
        <v>0</v>
      </c>
      <c r="AB1045">
        <f t="shared" si="65"/>
        <v>0</v>
      </c>
      <c r="AC1045">
        <f t="shared" si="66"/>
        <v>0</v>
      </c>
      <c r="AD1045">
        <f t="shared" si="67"/>
        <v>0</v>
      </c>
    </row>
    <row r="1046" spans="27:30" x14ac:dyDescent="0.3">
      <c r="AA1046">
        <f t="shared" si="64"/>
        <v>0</v>
      </c>
      <c r="AB1046">
        <f t="shared" si="65"/>
        <v>0</v>
      </c>
      <c r="AC1046">
        <f t="shared" si="66"/>
        <v>0</v>
      </c>
      <c r="AD1046">
        <f t="shared" si="67"/>
        <v>0</v>
      </c>
    </row>
    <row r="1047" spans="27:30" x14ac:dyDescent="0.3">
      <c r="AA1047">
        <f t="shared" si="64"/>
        <v>0</v>
      </c>
      <c r="AB1047">
        <f t="shared" si="65"/>
        <v>0</v>
      </c>
      <c r="AC1047">
        <f t="shared" si="66"/>
        <v>0</v>
      </c>
      <c r="AD1047">
        <f t="shared" si="67"/>
        <v>0</v>
      </c>
    </row>
    <row r="1048" spans="27:30" x14ac:dyDescent="0.3">
      <c r="AA1048">
        <f t="shared" si="64"/>
        <v>0</v>
      </c>
      <c r="AB1048">
        <f t="shared" si="65"/>
        <v>0</v>
      </c>
      <c r="AC1048">
        <f t="shared" si="66"/>
        <v>0</v>
      </c>
      <c r="AD1048">
        <f t="shared" si="67"/>
        <v>0</v>
      </c>
    </row>
    <row r="1049" spans="27:30" x14ac:dyDescent="0.3">
      <c r="AA1049">
        <f t="shared" si="64"/>
        <v>0</v>
      </c>
      <c r="AB1049">
        <f t="shared" si="65"/>
        <v>0</v>
      </c>
      <c r="AC1049">
        <f t="shared" si="66"/>
        <v>0</v>
      </c>
      <c r="AD1049">
        <f t="shared" si="67"/>
        <v>0</v>
      </c>
    </row>
    <row r="1050" spans="27:30" x14ac:dyDescent="0.3">
      <c r="AA1050">
        <f t="shared" si="64"/>
        <v>0</v>
      </c>
      <c r="AB1050">
        <f t="shared" si="65"/>
        <v>0</v>
      </c>
      <c r="AC1050">
        <f t="shared" si="66"/>
        <v>0</v>
      </c>
      <c r="AD1050">
        <f t="shared" si="67"/>
        <v>0</v>
      </c>
    </row>
    <row r="1051" spans="27:30" x14ac:dyDescent="0.3">
      <c r="AA1051">
        <f t="shared" si="64"/>
        <v>0</v>
      </c>
      <c r="AB1051">
        <f t="shared" si="65"/>
        <v>0</v>
      </c>
      <c r="AC1051">
        <f t="shared" si="66"/>
        <v>0</v>
      </c>
      <c r="AD1051">
        <f t="shared" si="67"/>
        <v>0</v>
      </c>
    </row>
    <row r="1052" spans="27:30" x14ac:dyDescent="0.3">
      <c r="AA1052">
        <f t="shared" si="64"/>
        <v>0</v>
      </c>
      <c r="AB1052">
        <f t="shared" si="65"/>
        <v>0</v>
      </c>
      <c r="AC1052">
        <f t="shared" si="66"/>
        <v>0</v>
      </c>
      <c r="AD1052">
        <f t="shared" si="67"/>
        <v>0</v>
      </c>
    </row>
    <row r="1053" spans="27:30" x14ac:dyDescent="0.3">
      <c r="AA1053">
        <f t="shared" si="64"/>
        <v>0</v>
      </c>
      <c r="AB1053">
        <f t="shared" si="65"/>
        <v>0</v>
      </c>
      <c r="AC1053">
        <f t="shared" si="66"/>
        <v>0</v>
      </c>
      <c r="AD1053">
        <f t="shared" si="67"/>
        <v>0</v>
      </c>
    </row>
    <row r="1054" spans="27:30" x14ac:dyDescent="0.3">
      <c r="AA1054">
        <f t="shared" si="64"/>
        <v>0</v>
      </c>
      <c r="AB1054">
        <f t="shared" si="65"/>
        <v>0</v>
      </c>
      <c r="AC1054">
        <f t="shared" si="66"/>
        <v>0</v>
      </c>
      <c r="AD1054">
        <f t="shared" si="67"/>
        <v>0</v>
      </c>
    </row>
    <row r="1055" spans="27:30" x14ac:dyDescent="0.3">
      <c r="AA1055">
        <f t="shared" si="64"/>
        <v>0</v>
      </c>
      <c r="AB1055">
        <f t="shared" si="65"/>
        <v>0</v>
      </c>
      <c r="AC1055">
        <f t="shared" si="66"/>
        <v>0</v>
      </c>
      <c r="AD1055">
        <f t="shared" si="67"/>
        <v>0</v>
      </c>
    </row>
    <row r="1056" spans="27:30" x14ac:dyDescent="0.3">
      <c r="AA1056">
        <f t="shared" si="64"/>
        <v>0</v>
      </c>
      <c r="AB1056">
        <f t="shared" si="65"/>
        <v>0</v>
      </c>
      <c r="AC1056">
        <f t="shared" si="66"/>
        <v>0</v>
      </c>
      <c r="AD1056">
        <f t="shared" si="67"/>
        <v>0</v>
      </c>
    </row>
    <row r="1057" spans="27:30" x14ac:dyDescent="0.3">
      <c r="AA1057">
        <f t="shared" si="64"/>
        <v>0</v>
      </c>
      <c r="AB1057">
        <f t="shared" si="65"/>
        <v>0</v>
      </c>
      <c r="AC1057">
        <f t="shared" si="66"/>
        <v>0</v>
      </c>
      <c r="AD1057">
        <f t="shared" si="67"/>
        <v>0</v>
      </c>
    </row>
    <row r="1058" spans="27:30" x14ac:dyDescent="0.3">
      <c r="AA1058">
        <f t="shared" si="64"/>
        <v>0</v>
      </c>
      <c r="AB1058">
        <f t="shared" si="65"/>
        <v>0</v>
      </c>
      <c r="AC1058">
        <f t="shared" si="66"/>
        <v>0</v>
      </c>
      <c r="AD1058">
        <f t="shared" si="67"/>
        <v>0</v>
      </c>
    </row>
    <row r="1059" spans="27:30" x14ac:dyDescent="0.3">
      <c r="AA1059">
        <f t="shared" si="64"/>
        <v>0</v>
      </c>
      <c r="AB1059">
        <f t="shared" si="65"/>
        <v>0</v>
      </c>
      <c r="AC1059">
        <f t="shared" si="66"/>
        <v>0</v>
      </c>
      <c r="AD1059">
        <f t="shared" si="67"/>
        <v>0</v>
      </c>
    </row>
    <row r="1060" spans="27:30" x14ac:dyDescent="0.3">
      <c r="AA1060">
        <f t="shared" si="64"/>
        <v>0</v>
      </c>
      <c r="AB1060">
        <f t="shared" si="65"/>
        <v>0</v>
      </c>
      <c r="AC1060">
        <f t="shared" si="66"/>
        <v>0</v>
      </c>
      <c r="AD1060">
        <f t="shared" si="67"/>
        <v>0</v>
      </c>
    </row>
    <row r="1061" spans="27:30" x14ac:dyDescent="0.3">
      <c r="AA1061">
        <f t="shared" si="64"/>
        <v>0</v>
      </c>
      <c r="AB1061">
        <f t="shared" si="65"/>
        <v>0</v>
      </c>
      <c r="AC1061">
        <f t="shared" si="66"/>
        <v>0</v>
      </c>
      <c r="AD1061">
        <f t="shared" si="67"/>
        <v>0</v>
      </c>
    </row>
    <row r="1062" spans="27:30" x14ac:dyDescent="0.3">
      <c r="AA1062">
        <f t="shared" si="64"/>
        <v>0</v>
      </c>
      <c r="AB1062">
        <f t="shared" si="65"/>
        <v>0</v>
      </c>
      <c r="AC1062">
        <f t="shared" si="66"/>
        <v>0</v>
      </c>
      <c r="AD1062">
        <f t="shared" si="67"/>
        <v>0</v>
      </c>
    </row>
    <row r="1063" spans="27:30" x14ac:dyDescent="0.3">
      <c r="AA1063">
        <f t="shared" si="64"/>
        <v>0</v>
      </c>
      <c r="AB1063">
        <f t="shared" si="65"/>
        <v>0</v>
      </c>
      <c r="AC1063">
        <f t="shared" si="66"/>
        <v>0</v>
      </c>
      <c r="AD1063">
        <f t="shared" si="67"/>
        <v>0</v>
      </c>
    </row>
    <row r="1064" spans="27:30" x14ac:dyDescent="0.3">
      <c r="AA1064">
        <f t="shared" si="64"/>
        <v>0</v>
      </c>
      <c r="AB1064">
        <f t="shared" si="65"/>
        <v>0</v>
      </c>
      <c r="AC1064">
        <f t="shared" si="66"/>
        <v>0</v>
      </c>
      <c r="AD1064">
        <f t="shared" si="67"/>
        <v>0</v>
      </c>
    </row>
    <row r="1065" spans="27:30" x14ac:dyDescent="0.3">
      <c r="AA1065">
        <f t="shared" si="64"/>
        <v>0</v>
      </c>
      <c r="AB1065">
        <f t="shared" si="65"/>
        <v>0</v>
      </c>
      <c r="AC1065">
        <f t="shared" si="66"/>
        <v>0</v>
      </c>
      <c r="AD1065">
        <f t="shared" si="67"/>
        <v>0</v>
      </c>
    </row>
    <row r="1066" spans="27:30" x14ac:dyDescent="0.3">
      <c r="AA1066">
        <f t="shared" si="64"/>
        <v>0</v>
      </c>
      <c r="AB1066">
        <f t="shared" si="65"/>
        <v>0</v>
      </c>
      <c r="AC1066">
        <f t="shared" si="66"/>
        <v>0</v>
      </c>
      <c r="AD1066">
        <f t="shared" si="67"/>
        <v>0</v>
      </c>
    </row>
    <row r="1067" spans="27:30" x14ac:dyDescent="0.3">
      <c r="AA1067">
        <f t="shared" si="64"/>
        <v>0</v>
      </c>
      <c r="AB1067">
        <f t="shared" si="65"/>
        <v>0</v>
      </c>
      <c r="AC1067">
        <f t="shared" si="66"/>
        <v>0</v>
      </c>
      <c r="AD1067">
        <f t="shared" si="67"/>
        <v>0</v>
      </c>
    </row>
    <row r="1068" spans="27:30" x14ac:dyDescent="0.3">
      <c r="AA1068">
        <f t="shared" si="64"/>
        <v>0</v>
      </c>
      <c r="AB1068">
        <f t="shared" si="65"/>
        <v>0</v>
      </c>
      <c r="AC1068">
        <f t="shared" si="66"/>
        <v>0</v>
      </c>
      <c r="AD1068">
        <f t="shared" si="67"/>
        <v>0</v>
      </c>
    </row>
    <row r="1069" spans="27:30" x14ac:dyDescent="0.3">
      <c r="AA1069">
        <f t="shared" si="64"/>
        <v>0</v>
      </c>
      <c r="AB1069">
        <f t="shared" si="65"/>
        <v>0</v>
      </c>
      <c r="AC1069">
        <f t="shared" si="66"/>
        <v>0</v>
      </c>
      <c r="AD1069">
        <f t="shared" si="67"/>
        <v>0</v>
      </c>
    </row>
    <row r="1070" spans="27:30" x14ac:dyDescent="0.3">
      <c r="AA1070">
        <f t="shared" si="64"/>
        <v>0</v>
      </c>
      <c r="AB1070">
        <f t="shared" si="65"/>
        <v>0</v>
      </c>
      <c r="AC1070">
        <f t="shared" si="66"/>
        <v>0</v>
      </c>
      <c r="AD1070">
        <f t="shared" si="67"/>
        <v>0</v>
      </c>
    </row>
    <row r="1071" spans="27:30" x14ac:dyDescent="0.3">
      <c r="AA1071">
        <f t="shared" si="64"/>
        <v>0</v>
      </c>
      <c r="AB1071">
        <f t="shared" si="65"/>
        <v>0</v>
      </c>
      <c r="AC1071">
        <f t="shared" si="66"/>
        <v>0</v>
      </c>
      <c r="AD1071">
        <f t="shared" si="67"/>
        <v>0</v>
      </c>
    </row>
    <row r="1072" spans="27:30" x14ac:dyDescent="0.3">
      <c r="AA1072">
        <f t="shared" si="64"/>
        <v>0</v>
      </c>
      <c r="AB1072">
        <f t="shared" si="65"/>
        <v>0</v>
      </c>
      <c r="AC1072">
        <f t="shared" si="66"/>
        <v>0</v>
      </c>
      <c r="AD1072">
        <f t="shared" si="67"/>
        <v>0</v>
      </c>
    </row>
    <row r="1073" spans="27:30" x14ac:dyDescent="0.3">
      <c r="AA1073">
        <f t="shared" si="64"/>
        <v>0</v>
      </c>
      <c r="AB1073">
        <f t="shared" si="65"/>
        <v>0</v>
      </c>
      <c r="AC1073">
        <f t="shared" si="66"/>
        <v>0</v>
      </c>
      <c r="AD1073">
        <f t="shared" si="67"/>
        <v>0</v>
      </c>
    </row>
    <row r="1074" spans="27:30" x14ac:dyDescent="0.3">
      <c r="AA1074">
        <f t="shared" si="64"/>
        <v>0</v>
      </c>
      <c r="AB1074">
        <f t="shared" si="65"/>
        <v>0</v>
      </c>
      <c r="AC1074">
        <f t="shared" si="66"/>
        <v>0</v>
      </c>
      <c r="AD1074">
        <f t="shared" si="67"/>
        <v>0</v>
      </c>
    </row>
    <row r="1075" spans="27:30" x14ac:dyDescent="0.3">
      <c r="AA1075">
        <f t="shared" si="64"/>
        <v>0</v>
      </c>
      <c r="AB1075">
        <f t="shared" si="65"/>
        <v>0</v>
      </c>
      <c r="AC1075">
        <f t="shared" si="66"/>
        <v>0</v>
      </c>
      <c r="AD1075">
        <f t="shared" si="67"/>
        <v>0</v>
      </c>
    </row>
    <row r="1076" spans="27:30" x14ac:dyDescent="0.3">
      <c r="AA1076">
        <f t="shared" si="64"/>
        <v>0</v>
      </c>
      <c r="AB1076">
        <f t="shared" si="65"/>
        <v>0</v>
      </c>
      <c r="AC1076">
        <f t="shared" si="66"/>
        <v>0</v>
      </c>
      <c r="AD1076">
        <f t="shared" si="67"/>
        <v>0</v>
      </c>
    </row>
    <row r="1077" spans="27:30" x14ac:dyDescent="0.3">
      <c r="AA1077">
        <f t="shared" si="64"/>
        <v>0</v>
      </c>
      <c r="AB1077">
        <f t="shared" si="65"/>
        <v>0</v>
      </c>
      <c r="AC1077">
        <f t="shared" si="66"/>
        <v>0</v>
      </c>
      <c r="AD1077">
        <f t="shared" si="67"/>
        <v>0</v>
      </c>
    </row>
    <row r="1078" spans="27:30" x14ac:dyDescent="0.3">
      <c r="AA1078">
        <f t="shared" si="64"/>
        <v>0</v>
      </c>
      <c r="AB1078">
        <f t="shared" si="65"/>
        <v>0</v>
      </c>
      <c r="AC1078">
        <f t="shared" si="66"/>
        <v>0</v>
      </c>
      <c r="AD1078">
        <f t="shared" si="67"/>
        <v>0</v>
      </c>
    </row>
    <row r="1079" spans="27:30" x14ac:dyDescent="0.3">
      <c r="AA1079">
        <f t="shared" si="64"/>
        <v>0</v>
      </c>
      <c r="AB1079">
        <f t="shared" si="65"/>
        <v>0</v>
      </c>
      <c r="AC1079">
        <f t="shared" si="66"/>
        <v>0</v>
      </c>
      <c r="AD1079">
        <f t="shared" si="67"/>
        <v>0</v>
      </c>
    </row>
    <row r="1080" spans="27:30" x14ac:dyDescent="0.3">
      <c r="AA1080">
        <f t="shared" si="64"/>
        <v>0</v>
      </c>
      <c r="AB1080">
        <f t="shared" si="65"/>
        <v>0</v>
      </c>
      <c r="AC1080">
        <f t="shared" si="66"/>
        <v>0</v>
      </c>
      <c r="AD1080">
        <f t="shared" si="67"/>
        <v>0</v>
      </c>
    </row>
    <row r="1081" spans="27:30" x14ac:dyDescent="0.3">
      <c r="AA1081">
        <f t="shared" si="64"/>
        <v>0</v>
      </c>
      <c r="AB1081">
        <f t="shared" si="65"/>
        <v>0</v>
      </c>
      <c r="AC1081">
        <f t="shared" si="66"/>
        <v>0</v>
      </c>
      <c r="AD1081">
        <f t="shared" si="67"/>
        <v>0</v>
      </c>
    </row>
    <row r="1082" spans="27:30" x14ac:dyDescent="0.3">
      <c r="AA1082">
        <f t="shared" si="64"/>
        <v>0</v>
      </c>
      <c r="AB1082">
        <f t="shared" si="65"/>
        <v>0</v>
      </c>
      <c r="AC1082">
        <f t="shared" si="66"/>
        <v>0</v>
      </c>
      <c r="AD1082">
        <f t="shared" si="67"/>
        <v>0</v>
      </c>
    </row>
    <row r="1083" spans="27:30" x14ac:dyDescent="0.3">
      <c r="AA1083">
        <f t="shared" si="64"/>
        <v>0</v>
      </c>
      <c r="AB1083">
        <f t="shared" si="65"/>
        <v>0</v>
      </c>
      <c r="AC1083">
        <f t="shared" si="66"/>
        <v>0</v>
      </c>
      <c r="AD1083">
        <f t="shared" si="67"/>
        <v>0</v>
      </c>
    </row>
    <row r="1084" spans="27:30" x14ac:dyDescent="0.3">
      <c r="AA1084">
        <f t="shared" si="64"/>
        <v>0</v>
      </c>
      <c r="AB1084">
        <f t="shared" si="65"/>
        <v>0</v>
      </c>
      <c r="AC1084">
        <f t="shared" si="66"/>
        <v>0</v>
      </c>
      <c r="AD1084">
        <f t="shared" si="67"/>
        <v>0</v>
      </c>
    </row>
    <row r="1085" spans="27:30" x14ac:dyDescent="0.3">
      <c r="AA1085">
        <f t="shared" si="64"/>
        <v>0</v>
      </c>
      <c r="AB1085">
        <f t="shared" si="65"/>
        <v>0</v>
      </c>
      <c r="AC1085">
        <f t="shared" si="66"/>
        <v>0</v>
      </c>
      <c r="AD1085">
        <f t="shared" si="67"/>
        <v>0</v>
      </c>
    </row>
    <row r="1086" spans="27:30" x14ac:dyDescent="0.3">
      <c r="AA1086">
        <f t="shared" si="64"/>
        <v>0</v>
      </c>
      <c r="AB1086">
        <f t="shared" si="65"/>
        <v>0</v>
      </c>
      <c r="AC1086">
        <f t="shared" si="66"/>
        <v>0</v>
      </c>
      <c r="AD1086">
        <f t="shared" si="67"/>
        <v>0</v>
      </c>
    </row>
    <row r="1087" spans="27:30" x14ac:dyDescent="0.3">
      <c r="AA1087">
        <f t="shared" si="64"/>
        <v>0</v>
      </c>
      <c r="AB1087">
        <f t="shared" si="65"/>
        <v>0</v>
      </c>
      <c r="AC1087">
        <f t="shared" si="66"/>
        <v>0</v>
      </c>
      <c r="AD1087">
        <f t="shared" si="67"/>
        <v>0</v>
      </c>
    </row>
    <row r="1088" spans="27:30" x14ac:dyDescent="0.3">
      <c r="AA1088">
        <f t="shared" si="64"/>
        <v>0</v>
      </c>
      <c r="AB1088">
        <f t="shared" si="65"/>
        <v>0</v>
      </c>
      <c r="AC1088">
        <f t="shared" si="66"/>
        <v>0</v>
      </c>
      <c r="AD1088">
        <f t="shared" si="67"/>
        <v>0</v>
      </c>
    </row>
    <row r="1089" spans="27:30" x14ac:dyDescent="0.3">
      <c r="AA1089">
        <f t="shared" si="64"/>
        <v>0</v>
      </c>
      <c r="AB1089">
        <f t="shared" si="65"/>
        <v>0</v>
      </c>
      <c r="AC1089">
        <f t="shared" si="66"/>
        <v>0</v>
      </c>
      <c r="AD1089">
        <f t="shared" si="67"/>
        <v>0</v>
      </c>
    </row>
    <row r="1090" spans="27:30" x14ac:dyDescent="0.3">
      <c r="AA1090">
        <f t="shared" si="64"/>
        <v>0</v>
      </c>
      <c r="AB1090">
        <f t="shared" si="65"/>
        <v>0</v>
      </c>
      <c r="AC1090">
        <f t="shared" si="66"/>
        <v>0</v>
      </c>
      <c r="AD1090">
        <f t="shared" si="67"/>
        <v>0</v>
      </c>
    </row>
    <row r="1091" spans="27:30" x14ac:dyDescent="0.3">
      <c r="AA1091">
        <f t="shared" si="64"/>
        <v>0</v>
      </c>
      <c r="AB1091">
        <f t="shared" si="65"/>
        <v>0</v>
      </c>
      <c r="AC1091">
        <f t="shared" si="66"/>
        <v>0</v>
      </c>
      <c r="AD1091">
        <f t="shared" si="67"/>
        <v>0</v>
      </c>
    </row>
    <row r="1092" spans="27:30" x14ac:dyDescent="0.3">
      <c r="AA1092">
        <f t="shared" si="64"/>
        <v>0</v>
      </c>
      <c r="AB1092">
        <f t="shared" si="65"/>
        <v>0</v>
      </c>
      <c r="AC1092">
        <f t="shared" si="66"/>
        <v>0</v>
      </c>
      <c r="AD1092">
        <f t="shared" si="67"/>
        <v>0</v>
      </c>
    </row>
    <row r="1093" spans="27:30" x14ac:dyDescent="0.3">
      <c r="AA1093">
        <f t="shared" ref="AA1093:AA1156" si="68">ROUND(Z1093,0)</f>
        <v>0</v>
      </c>
      <c r="AB1093">
        <f t="shared" ref="AB1093:AB1156" si="69">IF(AA1093=Y1093,0,1)</f>
        <v>0</v>
      </c>
      <c r="AC1093">
        <f t="shared" ref="AC1093:AC1156" si="70">IF(AA1093&lt;Y1093+5,IF(AA1093&gt;Y1093-5,0,1),1)</f>
        <v>0</v>
      </c>
      <c r="AD1093">
        <f t="shared" ref="AD1093:AD1156" si="71">IF(AA1093&lt;Y1093+10,IF(AA1093&gt;Y1093-10,0,1),1)</f>
        <v>0</v>
      </c>
    </row>
    <row r="1094" spans="27:30" x14ac:dyDescent="0.3">
      <c r="AA1094">
        <f t="shared" si="68"/>
        <v>0</v>
      </c>
      <c r="AB1094">
        <f t="shared" si="69"/>
        <v>0</v>
      </c>
      <c r="AC1094">
        <f t="shared" si="70"/>
        <v>0</v>
      </c>
      <c r="AD1094">
        <f t="shared" si="71"/>
        <v>0</v>
      </c>
    </row>
    <row r="1095" spans="27:30" x14ac:dyDescent="0.3">
      <c r="AA1095">
        <f t="shared" si="68"/>
        <v>0</v>
      </c>
      <c r="AB1095">
        <f t="shared" si="69"/>
        <v>0</v>
      </c>
      <c r="AC1095">
        <f t="shared" si="70"/>
        <v>0</v>
      </c>
      <c r="AD1095">
        <f t="shared" si="71"/>
        <v>0</v>
      </c>
    </row>
    <row r="1096" spans="27:30" x14ac:dyDescent="0.3">
      <c r="AA1096">
        <f t="shared" si="68"/>
        <v>0</v>
      </c>
      <c r="AB1096">
        <f t="shared" si="69"/>
        <v>0</v>
      </c>
      <c r="AC1096">
        <f t="shared" si="70"/>
        <v>0</v>
      </c>
      <c r="AD1096">
        <f t="shared" si="71"/>
        <v>0</v>
      </c>
    </row>
    <row r="1097" spans="27:30" x14ac:dyDescent="0.3">
      <c r="AA1097">
        <f t="shared" si="68"/>
        <v>0</v>
      </c>
      <c r="AB1097">
        <f t="shared" si="69"/>
        <v>0</v>
      </c>
      <c r="AC1097">
        <f t="shared" si="70"/>
        <v>0</v>
      </c>
      <c r="AD1097">
        <f t="shared" si="71"/>
        <v>0</v>
      </c>
    </row>
    <row r="1098" spans="27:30" x14ac:dyDescent="0.3">
      <c r="AA1098">
        <f t="shared" si="68"/>
        <v>0</v>
      </c>
      <c r="AB1098">
        <f t="shared" si="69"/>
        <v>0</v>
      </c>
      <c r="AC1098">
        <f t="shared" si="70"/>
        <v>0</v>
      </c>
      <c r="AD1098">
        <f t="shared" si="71"/>
        <v>0</v>
      </c>
    </row>
    <row r="1099" spans="27:30" x14ac:dyDescent="0.3">
      <c r="AA1099">
        <f t="shared" si="68"/>
        <v>0</v>
      </c>
      <c r="AB1099">
        <f t="shared" si="69"/>
        <v>0</v>
      </c>
      <c r="AC1099">
        <f t="shared" si="70"/>
        <v>0</v>
      </c>
      <c r="AD1099">
        <f t="shared" si="71"/>
        <v>0</v>
      </c>
    </row>
    <row r="1100" spans="27:30" x14ac:dyDescent="0.3">
      <c r="AA1100">
        <f t="shared" si="68"/>
        <v>0</v>
      </c>
      <c r="AB1100">
        <f t="shared" si="69"/>
        <v>0</v>
      </c>
      <c r="AC1100">
        <f t="shared" si="70"/>
        <v>0</v>
      </c>
      <c r="AD1100">
        <f t="shared" si="71"/>
        <v>0</v>
      </c>
    </row>
    <row r="1101" spans="27:30" x14ac:dyDescent="0.3">
      <c r="AA1101">
        <f t="shared" si="68"/>
        <v>0</v>
      </c>
      <c r="AB1101">
        <f t="shared" si="69"/>
        <v>0</v>
      </c>
      <c r="AC1101">
        <f t="shared" si="70"/>
        <v>0</v>
      </c>
      <c r="AD1101">
        <f t="shared" si="71"/>
        <v>0</v>
      </c>
    </row>
    <row r="1102" spans="27:30" x14ac:dyDescent="0.3">
      <c r="AA1102">
        <f t="shared" si="68"/>
        <v>0</v>
      </c>
      <c r="AB1102">
        <f t="shared" si="69"/>
        <v>0</v>
      </c>
      <c r="AC1102">
        <f t="shared" si="70"/>
        <v>0</v>
      </c>
      <c r="AD1102">
        <f t="shared" si="71"/>
        <v>0</v>
      </c>
    </row>
    <row r="1103" spans="27:30" x14ac:dyDescent="0.3">
      <c r="AA1103">
        <f t="shared" si="68"/>
        <v>0</v>
      </c>
      <c r="AB1103">
        <f t="shared" si="69"/>
        <v>0</v>
      </c>
      <c r="AC1103">
        <f t="shared" si="70"/>
        <v>0</v>
      </c>
      <c r="AD1103">
        <f t="shared" si="71"/>
        <v>0</v>
      </c>
    </row>
    <row r="1104" spans="27:30" x14ac:dyDescent="0.3">
      <c r="AA1104">
        <f t="shared" si="68"/>
        <v>0</v>
      </c>
      <c r="AB1104">
        <f t="shared" si="69"/>
        <v>0</v>
      </c>
      <c r="AC1104">
        <f t="shared" si="70"/>
        <v>0</v>
      </c>
      <c r="AD1104">
        <f t="shared" si="71"/>
        <v>0</v>
      </c>
    </row>
    <row r="1105" spans="27:30" x14ac:dyDescent="0.3">
      <c r="AA1105">
        <f t="shared" si="68"/>
        <v>0</v>
      </c>
      <c r="AB1105">
        <f t="shared" si="69"/>
        <v>0</v>
      </c>
      <c r="AC1105">
        <f t="shared" si="70"/>
        <v>0</v>
      </c>
      <c r="AD1105">
        <f t="shared" si="71"/>
        <v>0</v>
      </c>
    </row>
    <row r="1106" spans="27:30" x14ac:dyDescent="0.3">
      <c r="AA1106">
        <f t="shared" si="68"/>
        <v>0</v>
      </c>
      <c r="AB1106">
        <f t="shared" si="69"/>
        <v>0</v>
      </c>
      <c r="AC1106">
        <f t="shared" si="70"/>
        <v>0</v>
      </c>
      <c r="AD1106">
        <f t="shared" si="71"/>
        <v>0</v>
      </c>
    </row>
    <row r="1107" spans="27:30" x14ac:dyDescent="0.3">
      <c r="AA1107">
        <f t="shared" si="68"/>
        <v>0</v>
      </c>
      <c r="AB1107">
        <f t="shared" si="69"/>
        <v>0</v>
      </c>
      <c r="AC1107">
        <f t="shared" si="70"/>
        <v>0</v>
      </c>
      <c r="AD1107">
        <f t="shared" si="71"/>
        <v>0</v>
      </c>
    </row>
    <row r="1108" spans="27:30" x14ac:dyDescent="0.3">
      <c r="AA1108">
        <f t="shared" si="68"/>
        <v>0</v>
      </c>
      <c r="AB1108">
        <f t="shared" si="69"/>
        <v>0</v>
      </c>
      <c r="AC1108">
        <f t="shared" si="70"/>
        <v>0</v>
      </c>
      <c r="AD1108">
        <f t="shared" si="71"/>
        <v>0</v>
      </c>
    </row>
    <row r="1109" spans="27:30" x14ac:dyDescent="0.3">
      <c r="AA1109">
        <f t="shared" si="68"/>
        <v>0</v>
      </c>
      <c r="AB1109">
        <f t="shared" si="69"/>
        <v>0</v>
      </c>
      <c r="AC1109">
        <f t="shared" si="70"/>
        <v>0</v>
      </c>
      <c r="AD1109">
        <f t="shared" si="71"/>
        <v>0</v>
      </c>
    </row>
    <row r="1110" spans="27:30" x14ac:dyDescent="0.3">
      <c r="AA1110">
        <f t="shared" si="68"/>
        <v>0</v>
      </c>
      <c r="AB1110">
        <f t="shared" si="69"/>
        <v>0</v>
      </c>
      <c r="AC1110">
        <f t="shared" si="70"/>
        <v>0</v>
      </c>
      <c r="AD1110">
        <f t="shared" si="71"/>
        <v>0</v>
      </c>
    </row>
    <row r="1111" spans="27:30" x14ac:dyDescent="0.3">
      <c r="AA1111">
        <f t="shared" si="68"/>
        <v>0</v>
      </c>
      <c r="AB1111">
        <f t="shared" si="69"/>
        <v>0</v>
      </c>
      <c r="AC1111">
        <f t="shared" si="70"/>
        <v>0</v>
      </c>
      <c r="AD1111">
        <f t="shared" si="71"/>
        <v>0</v>
      </c>
    </row>
    <row r="1112" spans="27:30" x14ac:dyDescent="0.3">
      <c r="AA1112">
        <f t="shared" si="68"/>
        <v>0</v>
      </c>
      <c r="AB1112">
        <f t="shared" si="69"/>
        <v>0</v>
      </c>
      <c r="AC1112">
        <f t="shared" si="70"/>
        <v>0</v>
      </c>
      <c r="AD1112">
        <f t="shared" si="71"/>
        <v>0</v>
      </c>
    </row>
    <row r="1113" spans="27:30" x14ac:dyDescent="0.3">
      <c r="AA1113">
        <f t="shared" si="68"/>
        <v>0</v>
      </c>
      <c r="AB1113">
        <f t="shared" si="69"/>
        <v>0</v>
      </c>
      <c r="AC1113">
        <f t="shared" si="70"/>
        <v>0</v>
      </c>
      <c r="AD1113">
        <f t="shared" si="71"/>
        <v>0</v>
      </c>
    </row>
    <row r="1114" spans="27:30" x14ac:dyDescent="0.3">
      <c r="AA1114">
        <f t="shared" si="68"/>
        <v>0</v>
      </c>
      <c r="AB1114">
        <f t="shared" si="69"/>
        <v>0</v>
      </c>
      <c r="AC1114">
        <f t="shared" si="70"/>
        <v>0</v>
      </c>
      <c r="AD1114">
        <f t="shared" si="71"/>
        <v>0</v>
      </c>
    </row>
    <row r="1115" spans="27:30" x14ac:dyDescent="0.3">
      <c r="AA1115">
        <f t="shared" si="68"/>
        <v>0</v>
      </c>
      <c r="AB1115">
        <f t="shared" si="69"/>
        <v>0</v>
      </c>
      <c r="AC1115">
        <f t="shared" si="70"/>
        <v>0</v>
      </c>
      <c r="AD1115">
        <f t="shared" si="71"/>
        <v>0</v>
      </c>
    </row>
    <row r="1116" spans="27:30" x14ac:dyDescent="0.3">
      <c r="AA1116">
        <f t="shared" si="68"/>
        <v>0</v>
      </c>
      <c r="AB1116">
        <f t="shared" si="69"/>
        <v>0</v>
      </c>
      <c r="AC1116">
        <f t="shared" si="70"/>
        <v>0</v>
      </c>
      <c r="AD1116">
        <f t="shared" si="71"/>
        <v>0</v>
      </c>
    </row>
    <row r="1117" spans="27:30" x14ac:dyDescent="0.3">
      <c r="AA1117">
        <f t="shared" si="68"/>
        <v>0</v>
      </c>
      <c r="AB1117">
        <f t="shared" si="69"/>
        <v>0</v>
      </c>
      <c r="AC1117">
        <f t="shared" si="70"/>
        <v>0</v>
      </c>
      <c r="AD1117">
        <f t="shared" si="71"/>
        <v>0</v>
      </c>
    </row>
    <row r="1118" spans="27:30" x14ac:dyDescent="0.3">
      <c r="AA1118">
        <f t="shared" si="68"/>
        <v>0</v>
      </c>
      <c r="AB1118">
        <f t="shared" si="69"/>
        <v>0</v>
      </c>
      <c r="AC1118">
        <f t="shared" si="70"/>
        <v>0</v>
      </c>
      <c r="AD1118">
        <f t="shared" si="71"/>
        <v>0</v>
      </c>
    </row>
    <row r="1119" spans="27:30" x14ac:dyDescent="0.3">
      <c r="AA1119">
        <f t="shared" si="68"/>
        <v>0</v>
      </c>
      <c r="AB1119">
        <f t="shared" si="69"/>
        <v>0</v>
      </c>
      <c r="AC1119">
        <f t="shared" si="70"/>
        <v>0</v>
      </c>
      <c r="AD1119">
        <f t="shared" si="71"/>
        <v>0</v>
      </c>
    </row>
    <row r="1120" spans="27:30" x14ac:dyDescent="0.3">
      <c r="AA1120">
        <f t="shared" si="68"/>
        <v>0</v>
      </c>
      <c r="AB1120">
        <f t="shared" si="69"/>
        <v>0</v>
      </c>
      <c r="AC1120">
        <f t="shared" si="70"/>
        <v>0</v>
      </c>
      <c r="AD1120">
        <f t="shared" si="71"/>
        <v>0</v>
      </c>
    </row>
    <row r="1121" spans="27:30" x14ac:dyDescent="0.3">
      <c r="AA1121">
        <f t="shared" si="68"/>
        <v>0</v>
      </c>
      <c r="AB1121">
        <f t="shared" si="69"/>
        <v>0</v>
      </c>
      <c r="AC1121">
        <f t="shared" si="70"/>
        <v>0</v>
      </c>
      <c r="AD1121">
        <f t="shared" si="71"/>
        <v>0</v>
      </c>
    </row>
    <row r="1122" spans="27:30" x14ac:dyDescent="0.3">
      <c r="AA1122">
        <f t="shared" si="68"/>
        <v>0</v>
      </c>
      <c r="AB1122">
        <f t="shared" si="69"/>
        <v>0</v>
      </c>
      <c r="AC1122">
        <f t="shared" si="70"/>
        <v>0</v>
      </c>
      <c r="AD1122">
        <f t="shared" si="71"/>
        <v>0</v>
      </c>
    </row>
    <row r="1123" spans="27:30" x14ac:dyDescent="0.3">
      <c r="AA1123">
        <f t="shared" si="68"/>
        <v>0</v>
      </c>
      <c r="AB1123">
        <f t="shared" si="69"/>
        <v>0</v>
      </c>
      <c r="AC1123">
        <f t="shared" si="70"/>
        <v>0</v>
      </c>
      <c r="AD1123">
        <f t="shared" si="71"/>
        <v>0</v>
      </c>
    </row>
    <row r="1124" spans="27:30" x14ac:dyDescent="0.3">
      <c r="AA1124">
        <f t="shared" si="68"/>
        <v>0</v>
      </c>
      <c r="AB1124">
        <f t="shared" si="69"/>
        <v>0</v>
      </c>
      <c r="AC1124">
        <f t="shared" si="70"/>
        <v>0</v>
      </c>
      <c r="AD1124">
        <f t="shared" si="71"/>
        <v>0</v>
      </c>
    </row>
    <row r="1125" spans="27:30" x14ac:dyDescent="0.3">
      <c r="AA1125">
        <f t="shared" si="68"/>
        <v>0</v>
      </c>
      <c r="AB1125">
        <f t="shared" si="69"/>
        <v>0</v>
      </c>
      <c r="AC1125">
        <f t="shared" si="70"/>
        <v>0</v>
      </c>
      <c r="AD1125">
        <f t="shared" si="71"/>
        <v>0</v>
      </c>
    </row>
    <row r="1126" spans="27:30" x14ac:dyDescent="0.3">
      <c r="AA1126">
        <f t="shared" si="68"/>
        <v>0</v>
      </c>
      <c r="AB1126">
        <f t="shared" si="69"/>
        <v>0</v>
      </c>
      <c r="AC1126">
        <f t="shared" si="70"/>
        <v>0</v>
      </c>
      <c r="AD1126">
        <f t="shared" si="71"/>
        <v>0</v>
      </c>
    </row>
    <row r="1127" spans="27:30" x14ac:dyDescent="0.3">
      <c r="AA1127">
        <f t="shared" si="68"/>
        <v>0</v>
      </c>
      <c r="AB1127">
        <f t="shared" si="69"/>
        <v>0</v>
      </c>
      <c r="AC1127">
        <f t="shared" si="70"/>
        <v>0</v>
      </c>
      <c r="AD1127">
        <f t="shared" si="71"/>
        <v>0</v>
      </c>
    </row>
    <row r="1128" spans="27:30" x14ac:dyDescent="0.3">
      <c r="AA1128">
        <f t="shared" si="68"/>
        <v>0</v>
      </c>
      <c r="AB1128">
        <f t="shared" si="69"/>
        <v>0</v>
      </c>
      <c r="AC1128">
        <f t="shared" si="70"/>
        <v>0</v>
      </c>
      <c r="AD1128">
        <f t="shared" si="71"/>
        <v>0</v>
      </c>
    </row>
    <row r="1129" spans="27:30" x14ac:dyDescent="0.3">
      <c r="AA1129">
        <f t="shared" si="68"/>
        <v>0</v>
      </c>
      <c r="AB1129">
        <f t="shared" si="69"/>
        <v>0</v>
      </c>
      <c r="AC1129">
        <f t="shared" si="70"/>
        <v>0</v>
      </c>
      <c r="AD1129">
        <f t="shared" si="71"/>
        <v>0</v>
      </c>
    </row>
    <row r="1130" spans="27:30" x14ac:dyDescent="0.3">
      <c r="AA1130">
        <f t="shared" si="68"/>
        <v>0</v>
      </c>
      <c r="AB1130">
        <f t="shared" si="69"/>
        <v>0</v>
      </c>
      <c r="AC1130">
        <f t="shared" si="70"/>
        <v>0</v>
      </c>
      <c r="AD1130">
        <f t="shared" si="71"/>
        <v>0</v>
      </c>
    </row>
    <row r="1131" spans="27:30" x14ac:dyDescent="0.3">
      <c r="AA1131">
        <f t="shared" si="68"/>
        <v>0</v>
      </c>
      <c r="AB1131">
        <f t="shared" si="69"/>
        <v>0</v>
      </c>
      <c r="AC1131">
        <f t="shared" si="70"/>
        <v>0</v>
      </c>
      <c r="AD1131">
        <f t="shared" si="71"/>
        <v>0</v>
      </c>
    </row>
    <row r="1132" spans="27:30" x14ac:dyDescent="0.3">
      <c r="AA1132">
        <f t="shared" si="68"/>
        <v>0</v>
      </c>
      <c r="AB1132">
        <f t="shared" si="69"/>
        <v>0</v>
      </c>
      <c r="AC1132">
        <f t="shared" si="70"/>
        <v>0</v>
      </c>
      <c r="AD1132">
        <f t="shared" si="71"/>
        <v>0</v>
      </c>
    </row>
    <row r="1133" spans="27:30" x14ac:dyDescent="0.3">
      <c r="AA1133">
        <f t="shared" si="68"/>
        <v>0</v>
      </c>
      <c r="AB1133">
        <f t="shared" si="69"/>
        <v>0</v>
      </c>
      <c r="AC1133">
        <f t="shared" si="70"/>
        <v>0</v>
      </c>
      <c r="AD1133">
        <f t="shared" si="71"/>
        <v>0</v>
      </c>
    </row>
    <row r="1134" spans="27:30" x14ac:dyDescent="0.3">
      <c r="AA1134">
        <f t="shared" si="68"/>
        <v>0</v>
      </c>
      <c r="AB1134">
        <f t="shared" si="69"/>
        <v>0</v>
      </c>
      <c r="AC1134">
        <f t="shared" si="70"/>
        <v>0</v>
      </c>
      <c r="AD1134">
        <f t="shared" si="71"/>
        <v>0</v>
      </c>
    </row>
    <row r="1135" spans="27:30" x14ac:dyDescent="0.3">
      <c r="AA1135">
        <f t="shared" si="68"/>
        <v>0</v>
      </c>
      <c r="AB1135">
        <f t="shared" si="69"/>
        <v>0</v>
      </c>
      <c r="AC1135">
        <f t="shared" si="70"/>
        <v>0</v>
      </c>
      <c r="AD1135">
        <f t="shared" si="71"/>
        <v>0</v>
      </c>
    </row>
    <row r="1136" spans="27:30" x14ac:dyDescent="0.3">
      <c r="AA1136">
        <f t="shared" si="68"/>
        <v>0</v>
      </c>
      <c r="AB1136">
        <f t="shared" si="69"/>
        <v>0</v>
      </c>
      <c r="AC1136">
        <f t="shared" si="70"/>
        <v>0</v>
      </c>
      <c r="AD1136">
        <f t="shared" si="71"/>
        <v>0</v>
      </c>
    </row>
    <row r="1137" spans="27:30" x14ac:dyDescent="0.3">
      <c r="AA1137">
        <f t="shared" si="68"/>
        <v>0</v>
      </c>
      <c r="AB1137">
        <f t="shared" si="69"/>
        <v>0</v>
      </c>
      <c r="AC1137">
        <f t="shared" si="70"/>
        <v>0</v>
      </c>
      <c r="AD1137">
        <f t="shared" si="71"/>
        <v>0</v>
      </c>
    </row>
    <row r="1138" spans="27:30" x14ac:dyDescent="0.3">
      <c r="AA1138">
        <f t="shared" si="68"/>
        <v>0</v>
      </c>
      <c r="AB1138">
        <f t="shared" si="69"/>
        <v>0</v>
      </c>
      <c r="AC1138">
        <f t="shared" si="70"/>
        <v>0</v>
      </c>
      <c r="AD1138">
        <f t="shared" si="71"/>
        <v>0</v>
      </c>
    </row>
    <row r="1139" spans="27:30" x14ac:dyDescent="0.3">
      <c r="AA1139">
        <f t="shared" si="68"/>
        <v>0</v>
      </c>
      <c r="AB1139">
        <f t="shared" si="69"/>
        <v>0</v>
      </c>
      <c r="AC1139">
        <f t="shared" si="70"/>
        <v>0</v>
      </c>
      <c r="AD1139">
        <f t="shared" si="71"/>
        <v>0</v>
      </c>
    </row>
    <row r="1140" spans="27:30" x14ac:dyDescent="0.3">
      <c r="AA1140">
        <f t="shared" si="68"/>
        <v>0</v>
      </c>
      <c r="AB1140">
        <f t="shared" si="69"/>
        <v>0</v>
      </c>
      <c r="AC1140">
        <f t="shared" si="70"/>
        <v>0</v>
      </c>
      <c r="AD1140">
        <f t="shared" si="71"/>
        <v>0</v>
      </c>
    </row>
    <row r="1141" spans="27:30" x14ac:dyDescent="0.3">
      <c r="AA1141">
        <f t="shared" si="68"/>
        <v>0</v>
      </c>
      <c r="AB1141">
        <f t="shared" si="69"/>
        <v>0</v>
      </c>
      <c r="AC1141">
        <f t="shared" si="70"/>
        <v>0</v>
      </c>
      <c r="AD1141">
        <f t="shared" si="71"/>
        <v>0</v>
      </c>
    </row>
    <row r="1142" spans="27:30" x14ac:dyDescent="0.3">
      <c r="AA1142">
        <f t="shared" si="68"/>
        <v>0</v>
      </c>
      <c r="AB1142">
        <f t="shared" si="69"/>
        <v>0</v>
      </c>
      <c r="AC1142">
        <f t="shared" si="70"/>
        <v>0</v>
      </c>
      <c r="AD1142">
        <f t="shared" si="71"/>
        <v>0</v>
      </c>
    </row>
    <row r="1143" spans="27:30" x14ac:dyDescent="0.3">
      <c r="AA1143">
        <f t="shared" si="68"/>
        <v>0</v>
      </c>
      <c r="AB1143">
        <f t="shared" si="69"/>
        <v>0</v>
      </c>
      <c r="AC1143">
        <f t="shared" si="70"/>
        <v>0</v>
      </c>
      <c r="AD1143">
        <f t="shared" si="71"/>
        <v>0</v>
      </c>
    </row>
    <row r="1144" spans="27:30" x14ac:dyDescent="0.3">
      <c r="AA1144">
        <f t="shared" si="68"/>
        <v>0</v>
      </c>
      <c r="AB1144">
        <f t="shared" si="69"/>
        <v>0</v>
      </c>
      <c r="AC1144">
        <f t="shared" si="70"/>
        <v>0</v>
      </c>
      <c r="AD1144">
        <f t="shared" si="71"/>
        <v>0</v>
      </c>
    </row>
    <row r="1145" spans="27:30" x14ac:dyDescent="0.3">
      <c r="AA1145">
        <f t="shared" si="68"/>
        <v>0</v>
      </c>
      <c r="AB1145">
        <f t="shared" si="69"/>
        <v>0</v>
      </c>
      <c r="AC1145">
        <f t="shared" si="70"/>
        <v>0</v>
      </c>
      <c r="AD1145">
        <f t="shared" si="71"/>
        <v>0</v>
      </c>
    </row>
    <row r="1146" spans="27:30" x14ac:dyDescent="0.3">
      <c r="AA1146">
        <f t="shared" si="68"/>
        <v>0</v>
      </c>
      <c r="AB1146">
        <f t="shared" si="69"/>
        <v>0</v>
      </c>
      <c r="AC1146">
        <f t="shared" si="70"/>
        <v>0</v>
      </c>
      <c r="AD1146">
        <f t="shared" si="71"/>
        <v>0</v>
      </c>
    </row>
    <row r="1147" spans="27:30" x14ac:dyDescent="0.3">
      <c r="AA1147">
        <f t="shared" si="68"/>
        <v>0</v>
      </c>
      <c r="AB1147">
        <f t="shared" si="69"/>
        <v>0</v>
      </c>
      <c r="AC1147">
        <f t="shared" si="70"/>
        <v>0</v>
      </c>
      <c r="AD1147">
        <f t="shared" si="71"/>
        <v>0</v>
      </c>
    </row>
    <row r="1148" spans="27:30" x14ac:dyDescent="0.3">
      <c r="AA1148">
        <f t="shared" si="68"/>
        <v>0</v>
      </c>
      <c r="AB1148">
        <f t="shared" si="69"/>
        <v>0</v>
      </c>
      <c r="AC1148">
        <f t="shared" si="70"/>
        <v>0</v>
      </c>
      <c r="AD1148">
        <f t="shared" si="71"/>
        <v>0</v>
      </c>
    </row>
    <row r="1149" spans="27:30" x14ac:dyDescent="0.3">
      <c r="AA1149">
        <f t="shared" si="68"/>
        <v>0</v>
      </c>
      <c r="AB1149">
        <f t="shared" si="69"/>
        <v>0</v>
      </c>
      <c r="AC1149">
        <f t="shared" si="70"/>
        <v>0</v>
      </c>
      <c r="AD1149">
        <f t="shared" si="71"/>
        <v>0</v>
      </c>
    </row>
    <row r="1150" spans="27:30" x14ac:dyDescent="0.3">
      <c r="AA1150">
        <f t="shared" si="68"/>
        <v>0</v>
      </c>
      <c r="AB1150">
        <f t="shared" si="69"/>
        <v>0</v>
      </c>
      <c r="AC1150">
        <f t="shared" si="70"/>
        <v>0</v>
      </c>
      <c r="AD1150">
        <f t="shared" si="71"/>
        <v>0</v>
      </c>
    </row>
    <row r="1151" spans="27:30" x14ac:dyDescent="0.3">
      <c r="AA1151">
        <f t="shared" si="68"/>
        <v>0</v>
      </c>
      <c r="AB1151">
        <f t="shared" si="69"/>
        <v>0</v>
      </c>
      <c r="AC1151">
        <f t="shared" si="70"/>
        <v>0</v>
      </c>
      <c r="AD1151">
        <f t="shared" si="71"/>
        <v>0</v>
      </c>
    </row>
    <row r="1152" spans="27:30" x14ac:dyDescent="0.3">
      <c r="AA1152">
        <f t="shared" si="68"/>
        <v>0</v>
      </c>
      <c r="AB1152">
        <f t="shared" si="69"/>
        <v>0</v>
      </c>
      <c r="AC1152">
        <f t="shared" si="70"/>
        <v>0</v>
      </c>
      <c r="AD1152">
        <f t="shared" si="71"/>
        <v>0</v>
      </c>
    </row>
    <row r="1153" spans="27:30" x14ac:dyDescent="0.3">
      <c r="AA1153">
        <f t="shared" si="68"/>
        <v>0</v>
      </c>
      <c r="AB1153">
        <f t="shared" si="69"/>
        <v>0</v>
      </c>
      <c r="AC1153">
        <f t="shared" si="70"/>
        <v>0</v>
      </c>
      <c r="AD1153">
        <f t="shared" si="71"/>
        <v>0</v>
      </c>
    </row>
    <row r="1154" spans="27:30" x14ac:dyDescent="0.3">
      <c r="AA1154">
        <f t="shared" si="68"/>
        <v>0</v>
      </c>
      <c r="AB1154">
        <f t="shared" si="69"/>
        <v>0</v>
      </c>
      <c r="AC1154">
        <f t="shared" si="70"/>
        <v>0</v>
      </c>
      <c r="AD1154">
        <f t="shared" si="71"/>
        <v>0</v>
      </c>
    </row>
    <row r="1155" spans="27:30" x14ac:dyDescent="0.3">
      <c r="AA1155">
        <f t="shared" si="68"/>
        <v>0</v>
      </c>
      <c r="AB1155">
        <f t="shared" si="69"/>
        <v>0</v>
      </c>
      <c r="AC1155">
        <f t="shared" si="70"/>
        <v>0</v>
      </c>
      <c r="AD1155">
        <f t="shared" si="71"/>
        <v>0</v>
      </c>
    </row>
    <row r="1156" spans="27:30" x14ac:dyDescent="0.3">
      <c r="AA1156">
        <f t="shared" si="68"/>
        <v>0</v>
      </c>
      <c r="AB1156">
        <f t="shared" si="69"/>
        <v>0</v>
      </c>
      <c r="AC1156">
        <f t="shared" si="70"/>
        <v>0</v>
      </c>
      <c r="AD1156">
        <f t="shared" si="71"/>
        <v>0</v>
      </c>
    </row>
    <row r="1157" spans="27:30" x14ac:dyDescent="0.3">
      <c r="AA1157">
        <f t="shared" ref="AA1157:AA1220" si="72">ROUND(Z1157,0)</f>
        <v>0</v>
      </c>
      <c r="AB1157">
        <f t="shared" ref="AB1157:AB1220" si="73">IF(AA1157=Y1157,0,1)</f>
        <v>0</v>
      </c>
      <c r="AC1157">
        <f t="shared" ref="AC1157:AC1220" si="74">IF(AA1157&lt;Y1157+5,IF(AA1157&gt;Y1157-5,0,1),1)</f>
        <v>0</v>
      </c>
      <c r="AD1157">
        <f t="shared" ref="AD1157:AD1220" si="75">IF(AA1157&lt;Y1157+10,IF(AA1157&gt;Y1157-10,0,1),1)</f>
        <v>0</v>
      </c>
    </row>
    <row r="1158" spans="27:30" x14ac:dyDescent="0.3">
      <c r="AA1158">
        <f t="shared" si="72"/>
        <v>0</v>
      </c>
      <c r="AB1158">
        <f t="shared" si="73"/>
        <v>0</v>
      </c>
      <c r="AC1158">
        <f t="shared" si="74"/>
        <v>0</v>
      </c>
      <c r="AD1158">
        <f t="shared" si="75"/>
        <v>0</v>
      </c>
    </row>
    <row r="1159" spans="27:30" x14ac:dyDescent="0.3">
      <c r="AA1159">
        <f t="shared" si="72"/>
        <v>0</v>
      </c>
      <c r="AB1159">
        <f t="shared" si="73"/>
        <v>0</v>
      </c>
      <c r="AC1159">
        <f t="shared" si="74"/>
        <v>0</v>
      </c>
      <c r="AD1159">
        <f t="shared" si="75"/>
        <v>0</v>
      </c>
    </row>
    <row r="1160" spans="27:30" x14ac:dyDescent="0.3">
      <c r="AA1160">
        <f t="shared" si="72"/>
        <v>0</v>
      </c>
      <c r="AB1160">
        <f t="shared" si="73"/>
        <v>0</v>
      </c>
      <c r="AC1160">
        <f t="shared" si="74"/>
        <v>0</v>
      </c>
      <c r="AD1160">
        <f t="shared" si="75"/>
        <v>0</v>
      </c>
    </row>
    <row r="1161" spans="27:30" x14ac:dyDescent="0.3">
      <c r="AA1161">
        <f t="shared" si="72"/>
        <v>0</v>
      </c>
      <c r="AB1161">
        <f t="shared" si="73"/>
        <v>0</v>
      </c>
      <c r="AC1161">
        <f t="shared" si="74"/>
        <v>0</v>
      </c>
      <c r="AD1161">
        <f t="shared" si="75"/>
        <v>0</v>
      </c>
    </row>
    <row r="1162" spans="27:30" x14ac:dyDescent="0.3">
      <c r="AA1162">
        <f t="shared" si="72"/>
        <v>0</v>
      </c>
      <c r="AB1162">
        <f t="shared" si="73"/>
        <v>0</v>
      </c>
      <c r="AC1162">
        <f t="shared" si="74"/>
        <v>0</v>
      </c>
      <c r="AD1162">
        <f t="shared" si="75"/>
        <v>0</v>
      </c>
    </row>
    <row r="1163" spans="27:30" x14ac:dyDescent="0.3">
      <c r="AA1163">
        <f t="shared" si="72"/>
        <v>0</v>
      </c>
      <c r="AB1163">
        <f t="shared" si="73"/>
        <v>0</v>
      </c>
      <c r="AC1163">
        <f t="shared" si="74"/>
        <v>0</v>
      </c>
      <c r="AD1163">
        <f t="shared" si="75"/>
        <v>0</v>
      </c>
    </row>
    <row r="1164" spans="27:30" x14ac:dyDescent="0.3">
      <c r="AA1164">
        <f t="shared" si="72"/>
        <v>0</v>
      </c>
      <c r="AB1164">
        <f t="shared" si="73"/>
        <v>0</v>
      </c>
      <c r="AC1164">
        <f t="shared" si="74"/>
        <v>0</v>
      </c>
      <c r="AD1164">
        <f t="shared" si="75"/>
        <v>0</v>
      </c>
    </row>
    <row r="1165" spans="27:30" x14ac:dyDescent="0.3">
      <c r="AA1165">
        <f t="shared" si="72"/>
        <v>0</v>
      </c>
      <c r="AB1165">
        <f t="shared" si="73"/>
        <v>0</v>
      </c>
      <c r="AC1165">
        <f t="shared" si="74"/>
        <v>0</v>
      </c>
      <c r="AD1165">
        <f t="shared" si="75"/>
        <v>0</v>
      </c>
    </row>
    <row r="1166" spans="27:30" x14ac:dyDescent="0.3">
      <c r="AA1166">
        <f t="shared" si="72"/>
        <v>0</v>
      </c>
      <c r="AB1166">
        <f t="shared" si="73"/>
        <v>0</v>
      </c>
      <c r="AC1166">
        <f t="shared" si="74"/>
        <v>0</v>
      </c>
      <c r="AD1166">
        <f t="shared" si="75"/>
        <v>0</v>
      </c>
    </row>
    <row r="1167" spans="27:30" x14ac:dyDescent="0.3">
      <c r="AA1167">
        <f t="shared" si="72"/>
        <v>0</v>
      </c>
      <c r="AB1167">
        <f t="shared" si="73"/>
        <v>0</v>
      </c>
      <c r="AC1167">
        <f t="shared" si="74"/>
        <v>0</v>
      </c>
      <c r="AD1167">
        <f t="shared" si="75"/>
        <v>0</v>
      </c>
    </row>
    <row r="1168" spans="27:30" x14ac:dyDescent="0.3">
      <c r="AA1168">
        <f t="shared" si="72"/>
        <v>0</v>
      </c>
      <c r="AB1168">
        <f t="shared" si="73"/>
        <v>0</v>
      </c>
      <c r="AC1168">
        <f t="shared" si="74"/>
        <v>0</v>
      </c>
      <c r="AD1168">
        <f t="shared" si="75"/>
        <v>0</v>
      </c>
    </row>
    <row r="1169" spans="27:30" x14ac:dyDescent="0.3">
      <c r="AA1169">
        <f t="shared" si="72"/>
        <v>0</v>
      </c>
      <c r="AB1169">
        <f t="shared" si="73"/>
        <v>0</v>
      </c>
      <c r="AC1169">
        <f t="shared" si="74"/>
        <v>0</v>
      </c>
      <c r="AD1169">
        <f t="shared" si="75"/>
        <v>0</v>
      </c>
    </row>
    <row r="1170" spans="27:30" x14ac:dyDescent="0.3">
      <c r="AA1170">
        <f t="shared" si="72"/>
        <v>0</v>
      </c>
      <c r="AB1170">
        <f t="shared" si="73"/>
        <v>0</v>
      </c>
      <c r="AC1170">
        <f t="shared" si="74"/>
        <v>0</v>
      </c>
      <c r="AD1170">
        <f t="shared" si="75"/>
        <v>0</v>
      </c>
    </row>
    <row r="1171" spans="27:30" x14ac:dyDescent="0.3">
      <c r="AA1171">
        <f t="shared" si="72"/>
        <v>0</v>
      </c>
      <c r="AB1171">
        <f t="shared" si="73"/>
        <v>0</v>
      </c>
      <c r="AC1171">
        <f t="shared" si="74"/>
        <v>0</v>
      </c>
      <c r="AD1171">
        <f t="shared" si="75"/>
        <v>0</v>
      </c>
    </row>
    <row r="1172" spans="27:30" x14ac:dyDescent="0.3">
      <c r="AA1172">
        <f t="shared" si="72"/>
        <v>0</v>
      </c>
      <c r="AB1172">
        <f t="shared" si="73"/>
        <v>0</v>
      </c>
      <c r="AC1172">
        <f t="shared" si="74"/>
        <v>0</v>
      </c>
      <c r="AD1172">
        <f t="shared" si="75"/>
        <v>0</v>
      </c>
    </row>
    <row r="1173" spans="27:30" x14ac:dyDescent="0.3">
      <c r="AA1173">
        <f t="shared" si="72"/>
        <v>0</v>
      </c>
      <c r="AB1173">
        <f t="shared" si="73"/>
        <v>0</v>
      </c>
      <c r="AC1173">
        <f t="shared" si="74"/>
        <v>0</v>
      </c>
      <c r="AD1173">
        <f t="shared" si="75"/>
        <v>0</v>
      </c>
    </row>
    <row r="1174" spans="27:30" x14ac:dyDescent="0.3">
      <c r="AA1174">
        <f t="shared" si="72"/>
        <v>0</v>
      </c>
      <c r="AB1174">
        <f t="shared" si="73"/>
        <v>0</v>
      </c>
      <c r="AC1174">
        <f t="shared" si="74"/>
        <v>0</v>
      </c>
      <c r="AD1174">
        <f t="shared" si="75"/>
        <v>0</v>
      </c>
    </row>
    <row r="1175" spans="27:30" x14ac:dyDescent="0.3">
      <c r="AA1175">
        <f t="shared" si="72"/>
        <v>0</v>
      </c>
      <c r="AB1175">
        <f t="shared" si="73"/>
        <v>0</v>
      </c>
      <c r="AC1175">
        <f t="shared" si="74"/>
        <v>0</v>
      </c>
      <c r="AD1175">
        <f t="shared" si="75"/>
        <v>0</v>
      </c>
    </row>
    <row r="1176" spans="27:30" x14ac:dyDescent="0.3">
      <c r="AA1176">
        <f t="shared" si="72"/>
        <v>0</v>
      </c>
      <c r="AB1176">
        <f t="shared" si="73"/>
        <v>0</v>
      </c>
      <c r="AC1176">
        <f t="shared" si="74"/>
        <v>0</v>
      </c>
      <c r="AD1176">
        <f t="shared" si="75"/>
        <v>0</v>
      </c>
    </row>
    <row r="1177" spans="27:30" x14ac:dyDescent="0.3">
      <c r="AA1177">
        <f t="shared" si="72"/>
        <v>0</v>
      </c>
      <c r="AB1177">
        <f t="shared" si="73"/>
        <v>0</v>
      </c>
      <c r="AC1177">
        <f t="shared" si="74"/>
        <v>0</v>
      </c>
      <c r="AD1177">
        <f t="shared" si="75"/>
        <v>0</v>
      </c>
    </row>
    <row r="1178" spans="27:30" x14ac:dyDescent="0.3">
      <c r="AA1178">
        <f t="shared" si="72"/>
        <v>0</v>
      </c>
      <c r="AB1178">
        <f t="shared" si="73"/>
        <v>0</v>
      </c>
      <c r="AC1178">
        <f t="shared" si="74"/>
        <v>0</v>
      </c>
      <c r="AD1178">
        <f t="shared" si="75"/>
        <v>0</v>
      </c>
    </row>
    <row r="1179" spans="27:30" x14ac:dyDescent="0.3">
      <c r="AA1179">
        <f t="shared" si="72"/>
        <v>0</v>
      </c>
      <c r="AB1179">
        <f t="shared" si="73"/>
        <v>0</v>
      </c>
      <c r="AC1179">
        <f t="shared" si="74"/>
        <v>0</v>
      </c>
      <c r="AD1179">
        <f t="shared" si="75"/>
        <v>0</v>
      </c>
    </row>
    <row r="1180" spans="27:30" x14ac:dyDescent="0.3">
      <c r="AA1180">
        <f t="shared" si="72"/>
        <v>0</v>
      </c>
      <c r="AB1180">
        <f t="shared" si="73"/>
        <v>0</v>
      </c>
      <c r="AC1180">
        <f t="shared" si="74"/>
        <v>0</v>
      </c>
      <c r="AD1180">
        <f t="shared" si="75"/>
        <v>0</v>
      </c>
    </row>
    <row r="1181" spans="27:30" x14ac:dyDescent="0.3">
      <c r="AA1181">
        <f t="shared" si="72"/>
        <v>0</v>
      </c>
      <c r="AB1181">
        <f t="shared" si="73"/>
        <v>0</v>
      </c>
      <c r="AC1181">
        <f t="shared" si="74"/>
        <v>0</v>
      </c>
      <c r="AD1181">
        <f t="shared" si="75"/>
        <v>0</v>
      </c>
    </row>
    <row r="1182" spans="27:30" x14ac:dyDescent="0.3">
      <c r="AA1182">
        <f t="shared" si="72"/>
        <v>0</v>
      </c>
      <c r="AB1182">
        <f t="shared" si="73"/>
        <v>0</v>
      </c>
      <c r="AC1182">
        <f t="shared" si="74"/>
        <v>0</v>
      </c>
      <c r="AD1182">
        <f t="shared" si="75"/>
        <v>0</v>
      </c>
    </row>
    <row r="1183" spans="27:30" x14ac:dyDescent="0.3">
      <c r="AA1183">
        <f t="shared" si="72"/>
        <v>0</v>
      </c>
      <c r="AB1183">
        <f t="shared" si="73"/>
        <v>0</v>
      </c>
      <c r="AC1183">
        <f t="shared" si="74"/>
        <v>0</v>
      </c>
      <c r="AD1183">
        <f t="shared" si="75"/>
        <v>0</v>
      </c>
    </row>
    <row r="1184" spans="27:30" x14ac:dyDescent="0.3">
      <c r="AA1184">
        <f t="shared" si="72"/>
        <v>0</v>
      </c>
      <c r="AB1184">
        <f t="shared" si="73"/>
        <v>0</v>
      </c>
      <c r="AC1184">
        <f t="shared" si="74"/>
        <v>0</v>
      </c>
      <c r="AD1184">
        <f t="shared" si="75"/>
        <v>0</v>
      </c>
    </row>
    <row r="1185" spans="27:30" x14ac:dyDescent="0.3">
      <c r="AA1185">
        <f t="shared" si="72"/>
        <v>0</v>
      </c>
      <c r="AB1185">
        <f t="shared" si="73"/>
        <v>0</v>
      </c>
      <c r="AC1185">
        <f t="shared" si="74"/>
        <v>0</v>
      </c>
      <c r="AD1185">
        <f t="shared" si="75"/>
        <v>0</v>
      </c>
    </row>
    <row r="1186" spans="27:30" x14ac:dyDescent="0.3">
      <c r="AA1186">
        <f t="shared" si="72"/>
        <v>0</v>
      </c>
      <c r="AB1186">
        <f t="shared" si="73"/>
        <v>0</v>
      </c>
      <c r="AC1186">
        <f t="shared" si="74"/>
        <v>0</v>
      </c>
      <c r="AD1186">
        <f t="shared" si="75"/>
        <v>0</v>
      </c>
    </row>
    <row r="1187" spans="27:30" x14ac:dyDescent="0.3">
      <c r="AA1187">
        <f t="shared" si="72"/>
        <v>0</v>
      </c>
      <c r="AB1187">
        <f t="shared" si="73"/>
        <v>0</v>
      </c>
      <c r="AC1187">
        <f t="shared" si="74"/>
        <v>0</v>
      </c>
      <c r="AD1187">
        <f t="shared" si="75"/>
        <v>0</v>
      </c>
    </row>
    <row r="1188" spans="27:30" x14ac:dyDescent="0.3">
      <c r="AA1188">
        <f t="shared" si="72"/>
        <v>0</v>
      </c>
      <c r="AB1188">
        <f t="shared" si="73"/>
        <v>0</v>
      </c>
      <c r="AC1188">
        <f t="shared" si="74"/>
        <v>0</v>
      </c>
      <c r="AD1188">
        <f t="shared" si="75"/>
        <v>0</v>
      </c>
    </row>
    <row r="1189" spans="27:30" x14ac:dyDescent="0.3">
      <c r="AA1189">
        <f t="shared" si="72"/>
        <v>0</v>
      </c>
      <c r="AB1189">
        <f t="shared" si="73"/>
        <v>0</v>
      </c>
      <c r="AC1189">
        <f t="shared" si="74"/>
        <v>0</v>
      </c>
      <c r="AD1189">
        <f t="shared" si="75"/>
        <v>0</v>
      </c>
    </row>
    <row r="1190" spans="27:30" x14ac:dyDescent="0.3">
      <c r="AA1190">
        <f t="shared" si="72"/>
        <v>0</v>
      </c>
      <c r="AB1190">
        <f t="shared" si="73"/>
        <v>0</v>
      </c>
      <c r="AC1190">
        <f t="shared" si="74"/>
        <v>0</v>
      </c>
      <c r="AD1190">
        <f t="shared" si="75"/>
        <v>0</v>
      </c>
    </row>
    <row r="1191" spans="27:30" x14ac:dyDescent="0.3">
      <c r="AA1191">
        <f t="shared" si="72"/>
        <v>0</v>
      </c>
      <c r="AB1191">
        <f t="shared" si="73"/>
        <v>0</v>
      </c>
      <c r="AC1191">
        <f t="shared" si="74"/>
        <v>0</v>
      </c>
      <c r="AD1191">
        <f t="shared" si="75"/>
        <v>0</v>
      </c>
    </row>
    <row r="1192" spans="27:30" x14ac:dyDescent="0.3">
      <c r="AA1192">
        <f t="shared" si="72"/>
        <v>0</v>
      </c>
      <c r="AB1192">
        <f t="shared" si="73"/>
        <v>0</v>
      </c>
      <c r="AC1192">
        <f t="shared" si="74"/>
        <v>0</v>
      </c>
      <c r="AD1192">
        <f t="shared" si="75"/>
        <v>0</v>
      </c>
    </row>
    <row r="1193" spans="27:30" x14ac:dyDescent="0.3">
      <c r="AA1193">
        <f t="shared" si="72"/>
        <v>0</v>
      </c>
      <c r="AB1193">
        <f t="shared" si="73"/>
        <v>0</v>
      </c>
      <c r="AC1193">
        <f t="shared" si="74"/>
        <v>0</v>
      </c>
      <c r="AD1193">
        <f t="shared" si="75"/>
        <v>0</v>
      </c>
    </row>
    <row r="1194" spans="27:30" x14ac:dyDescent="0.3">
      <c r="AA1194">
        <f t="shared" si="72"/>
        <v>0</v>
      </c>
      <c r="AB1194">
        <f t="shared" si="73"/>
        <v>0</v>
      </c>
      <c r="AC1194">
        <f t="shared" si="74"/>
        <v>0</v>
      </c>
      <c r="AD1194">
        <f t="shared" si="75"/>
        <v>0</v>
      </c>
    </row>
    <row r="1195" spans="27:30" x14ac:dyDescent="0.3">
      <c r="AA1195">
        <f t="shared" si="72"/>
        <v>0</v>
      </c>
      <c r="AB1195">
        <f t="shared" si="73"/>
        <v>0</v>
      </c>
      <c r="AC1195">
        <f t="shared" si="74"/>
        <v>0</v>
      </c>
      <c r="AD1195">
        <f t="shared" si="75"/>
        <v>0</v>
      </c>
    </row>
    <row r="1196" spans="27:30" x14ac:dyDescent="0.3">
      <c r="AA1196">
        <f t="shared" si="72"/>
        <v>0</v>
      </c>
      <c r="AB1196">
        <f t="shared" si="73"/>
        <v>0</v>
      </c>
      <c r="AC1196">
        <f t="shared" si="74"/>
        <v>0</v>
      </c>
      <c r="AD1196">
        <f t="shared" si="75"/>
        <v>0</v>
      </c>
    </row>
    <row r="1197" spans="27:30" x14ac:dyDescent="0.3">
      <c r="AA1197">
        <f t="shared" si="72"/>
        <v>0</v>
      </c>
      <c r="AB1197">
        <f t="shared" si="73"/>
        <v>0</v>
      </c>
      <c r="AC1197">
        <f t="shared" si="74"/>
        <v>0</v>
      </c>
      <c r="AD1197">
        <f t="shared" si="75"/>
        <v>0</v>
      </c>
    </row>
    <row r="1198" spans="27:30" x14ac:dyDescent="0.3">
      <c r="AA1198">
        <f t="shared" si="72"/>
        <v>0</v>
      </c>
      <c r="AB1198">
        <f t="shared" si="73"/>
        <v>0</v>
      </c>
      <c r="AC1198">
        <f t="shared" si="74"/>
        <v>0</v>
      </c>
      <c r="AD1198">
        <f t="shared" si="75"/>
        <v>0</v>
      </c>
    </row>
    <row r="1199" spans="27:30" x14ac:dyDescent="0.3">
      <c r="AA1199">
        <f t="shared" si="72"/>
        <v>0</v>
      </c>
      <c r="AB1199">
        <f t="shared" si="73"/>
        <v>0</v>
      </c>
      <c r="AC1199">
        <f t="shared" si="74"/>
        <v>0</v>
      </c>
      <c r="AD1199">
        <f t="shared" si="75"/>
        <v>0</v>
      </c>
    </row>
    <row r="1200" spans="27:30" x14ac:dyDescent="0.3">
      <c r="AA1200">
        <f t="shared" si="72"/>
        <v>0</v>
      </c>
      <c r="AB1200">
        <f t="shared" si="73"/>
        <v>0</v>
      </c>
      <c r="AC1200">
        <f t="shared" si="74"/>
        <v>0</v>
      </c>
      <c r="AD1200">
        <f t="shared" si="75"/>
        <v>0</v>
      </c>
    </row>
    <row r="1201" spans="27:30" x14ac:dyDescent="0.3">
      <c r="AA1201">
        <f t="shared" si="72"/>
        <v>0</v>
      </c>
      <c r="AB1201">
        <f t="shared" si="73"/>
        <v>0</v>
      </c>
      <c r="AC1201">
        <f t="shared" si="74"/>
        <v>0</v>
      </c>
      <c r="AD1201">
        <f t="shared" si="75"/>
        <v>0</v>
      </c>
    </row>
    <row r="1202" spans="27:30" x14ac:dyDescent="0.3">
      <c r="AA1202">
        <f t="shared" si="72"/>
        <v>0</v>
      </c>
      <c r="AB1202">
        <f t="shared" si="73"/>
        <v>0</v>
      </c>
      <c r="AC1202">
        <f t="shared" si="74"/>
        <v>0</v>
      </c>
      <c r="AD1202">
        <f t="shared" si="75"/>
        <v>0</v>
      </c>
    </row>
    <row r="1203" spans="27:30" x14ac:dyDescent="0.3">
      <c r="AA1203">
        <f t="shared" si="72"/>
        <v>0</v>
      </c>
      <c r="AB1203">
        <f t="shared" si="73"/>
        <v>0</v>
      </c>
      <c r="AC1203">
        <f t="shared" si="74"/>
        <v>0</v>
      </c>
      <c r="AD1203">
        <f t="shared" si="75"/>
        <v>0</v>
      </c>
    </row>
    <row r="1204" spans="27:30" x14ac:dyDescent="0.3">
      <c r="AA1204">
        <f t="shared" si="72"/>
        <v>0</v>
      </c>
      <c r="AB1204">
        <f t="shared" si="73"/>
        <v>0</v>
      </c>
      <c r="AC1204">
        <f t="shared" si="74"/>
        <v>0</v>
      </c>
      <c r="AD1204">
        <f t="shared" si="75"/>
        <v>0</v>
      </c>
    </row>
    <row r="1205" spans="27:30" x14ac:dyDescent="0.3">
      <c r="AA1205">
        <f t="shared" si="72"/>
        <v>0</v>
      </c>
      <c r="AB1205">
        <f t="shared" si="73"/>
        <v>0</v>
      </c>
      <c r="AC1205">
        <f t="shared" si="74"/>
        <v>0</v>
      </c>
      <c r="AD1205">
        <f t="shared" si="75"/>
        <v>0</v>
      </c>
    </row>
    <row r="1206" spans="27:30" x14ac:dyDescent="0.3">
      <c r="AA1206">
        <f t="shared" si="72"/>
        <v>0</v>
      </c>
      <c r="AB1206">
        <f t="shared" si="73"/>
        <v>0</v>
      </c>
      <c r="AC1206">
        <f t="shared" si="74"/>
        <v>0</v>
      </c>
      <c r="AD1206">
        <f t="shared" si="75"/>
        <v>0</v>
      </c>
    </row>
    <row r="1207" spans="27:30" x14ac:dyDescent="0.3">
      <c r="AA1207">
        <f t="shared" si="72"/>
        <v>0</v>
      </c>
      <c r="AB1207">
        <f t="shared" si="73"/>
        <v>0</v>
      </c>
      <c r="AC1207">
        <f t="shared" si="74"/>
        <v>0</v>
      </c>
      <c r="AD1207">
        <f t="shared" si="75"/>
        <v>0</v>
      </c>
    </row>
    <row r="1208" spans="27:30" x14ac:dyDescent="0.3">
      <c r="AA1208">
        <f t="shared" si="72"/>
        <v>0</v>
      </c>
      <c r="AB1208">
        <f t="shared" si="73"/>
        <v>0</v>
      </c>
      <c r="AC1208">
        <f t="shared" si="74"/>
        <v>0</v>
      </c>
      <c r="AD1208">
        <f t="shared" si="75"/>
        <v>0</v>
      </c>
    </row>
    <row r="1209" spans="27:30" x14ac:dyDescent="0.3">
      <c r="AA1209">
        <f t="shared" si="72"/>
        <v>0</v>
      </c>
      <c r="AB1209">
        <f t="shared" si="73"/>
        <v>0</v>
      </c>
      <c r="AC1209">
        <f t="shared" si="74"/>
        <v>0</v>
      </c>
      <c r="AD1209">
        <f t="shared" si="75"/>
        <v>0</v>
      </c>
    </row>
    <row r="1210" spans="27:30" x14ac:dyDescent="0.3">
      <c r="AA1210">
        <f t="shared" si="72"/>
        <v>0</v>
      </c>
      <c r="AB1210">
        <f t="shared" si="73"/>
        <v>0</v>
      </c>
      <c r="AC1210">
        <f t="shared" si="74"/>
        <v>0</v>
      </c>
      <c r="AD1210">
        <f t="shared" si="75"/>
        <v>0</v>
      </c>
    </row>
    <row r="1211" spans="27:30" x14ac:dyDescent="0.3">
      <c r="AA1211">
        <f t="shared" si="72"/>
        <v>0</v>
      </c>
      <c r="AB1211">
        <f t="shared" si="73"/>
        <v>0</v>
      </c>
      <c r="AC1211">
        <f t="shared" si="74"/>
        <v>0</v>
      </c>
      <c r="AD1211">
        <f t="shared" si="75"/>
        <v>0</v>
      </c>
    </row>
    <row r="1212" spans="27:30" x14ac:dyDescent="0.3">
      <c r="AA1212">
        <f t="shared" si="72"/>
        <v>0</v>
      </c>
      <c r="AB1212">
        <f t="shared" si="73"/>
        <v>0</v>
      </c>
      <c r="AC1212">
        <f t="shared" si="74"/>
        <v>0</v>
      </c>
      <c r="AD1212">
        <f t="shared" si="75"/>
        <v>0</v>
      </c>
    </row>
    <row r="1213" spans="27:30" x14ac:dyDescent="0.3">
      <c r="AA1213">
        <f t="shared" si="72"/>
        <v>0</v>
      </c>
      <c r="AB1213">
        <f t="shared" si="73"/>
        <v>0</v>
      </c>
      <c r="AC1213">
        <f t="shared" si="74"/>
        <v>0</v>
      </c>
      <c r="AD1213">
        <f t="shared" si="75"/>
        <v>0</v>
      </c>
    </row>
    <row r="1214" spans="27:30" x14ac:dyDescent="0.3">
      <c r="AA1214">
        <f t="shared" si="72"/>
        <v>0</v>
      </c>
      <c r="AB1214">
        <f t="shared" si="73"/>
        <v>0</v>
      </c>
      <c r="AC1214">
        <f t="shared" si="74"/>
        <v>0</v>
      </c>
      <c r="AD1214">
        <f t="shared" si="75"/>
        <v>0</v>
      </c>
    </row>
    <row r="1215" spans="27:30" x14ac:dyDescent="0.3">
      <c r="AA1215">
        <f t="shared" si="72"/>
        <v>0</v>
      </c>
      <c r="AB1215">
        <f t="shared" si="73"/>
        <v>0</v>
      </c>
      <c r="AC1215">
        <f t="shared" si="74"/>
        <v>0</v>
      </c>
      <c r="AD1215">
        <f t="shared" si="75"/>
        <v>0</v>
      </c>
    </row>
    <row r="1216" spans="27:30" x14ac:dyDescent="0.3">
      <c r="AA1216">
        <f t="shared" si="72"/>
        <v>0</v>
      </c>
      <c r="AB1216">
        <f t="shared" si="73"/>
        <v>0</v>
      </c>
      <c r="AC1216">
        <f t="shared" si="74"/>
        <v>0</v>
      </c>
      <c r="AD1216">
        <f t="shared" si="75"/>
        <v>0</v>
      </c>
    </row>
    <row r="1217" spans="27:30" x14ac:dyDescent="0.3">
      <c r="AA1217">
        <f t="shared" si="72"/>
        <v>0</v>
      </c>
      <c r="AB1217">
        <f t="shared" si="73"/>
        <v>0</v>
      </c>
      <c r="AC1217">
        <f t="shared" si="74"/>
        <v>0</v>
      </c>
      <c r="AD1217">
        <f t="shared" si="75"/>
        <v>0</v>
      </c>
    </row>
    <row r="1218" spans="27:30" x14ac:dyDescent="0.3">
      <c r="AA1218">
        <f t="shared" si="72"/>
        <v>0</v>
      </c>
      <c r="AB1218">
        <f t="shared" si="73"/>
        <v>0</v>
      </c>
      <c r="AC1218">
        <f t="shared" si="74"/>
        <v>0</v>
      </c>
      <c r="AD1218">
        <f t="shared" si="75"/>
        <v>0</v>
      </c>
    </row>
    <row r="1219" spans="27:30" x14ac:dyDescent="0.3">
      <c r="AA1219">
        <f t="shared" si="72"/>
        <v>0</v>
      </c>
      <c r="AB1219">
        <f t="shared" si="73"/>
        <v>0</v>
      </c>
      <c r="AC1219">
        <f t="shared" si="74"/>
        <v>0</v>
      </c>
      <c r="AD1219">
        <f t="shared" si="75"/>
        <v>0</v>
      </c>
    </row>
    <row r="1220" spans="27:30" x14ac:dyDescent="0.3">
      <c r="AA1220">
        <f t="shared" si="72"/>
        <v>0</v>
      </c>
      <c r="AB1220">
        <f t="shared" si="73"/>
        <v>0</v>
      </c>
      <c r="AC1220">
        <f t="shared" si="74"/>
        <v>0</v>
      </c>
      <c r="AD1220">
        <f t="shared" si="75"/>
        <v>0</v>
      </c>
    </row>
    <row r="1221" spans="27:30" x14ac:dyDescent="0.3">
      <c r="AA1221">
        <f t="shared" ref="AA1221:AA1284" si="76">ROUND(Z1221,0)</f>
        <v>0</v>
      </c>
      <c r="AB1221">
        <f t="shared" ref="AB1221:AB1284" si="77">IF(AA1221=Y1221,0,1)</f>
        <v>0</v>
      </c>
      <c r="AC1221">
        <f t="shared" ref="AC1221:AC1284" si="78">IF(AA1221&lt;Y1221+5,IF(AA1221&gt;Y1221-5,0,1),1)</f>
        <v>0</v>
      </c>
      <c r="AD1221">
        <f t="shared" ref="AD1221:AD1284" si="79">IF(AA1221&lt;Y1221+10,IF(AA1221&gt;Y1221-10,0,1),1)</f>
        <v>0</v>
      </c>
    </row>
    <row r="1222" spans="27:30" x14ac:dyDescent="0.3">
      <c r="AA1222">
        <f t="shared" si="76"/>
        <v>0</v>
      </c>
      <c r="AB1222">
        <f t="shared" si="77"/>
        <v>0</v>
      </c>
      <c r="AC1222">
        <f t="shared" si="78"/>
        <v>0</v>
      </c>
      <c r="AD1222">
        <f t="shared" si="79"/>
        <v>0</v>
      </c>
    </row>
    <row r="1223" spans="27:30" x14ac:dyDescent="0.3">
      <c r="AA1223">
        <f t="shared" si="76"/>
        <v>0</v>
      </c>
      <c r="AB1223">
        <f t="shared" si="77"/>
        <v>0</v>
      </c>
      <c r="AC1223">
        <f t="shared" si="78"/>
        <v>0</v>
      </c>
      <c r="AD1223">
        <f t="shared" si="79"/>
        <v>0</v>
      </c>
    </row>
    <row r="1224" spans="27:30" x14ac:dyDescent="0.3">
      <c r="AA1224">
        <f t="shared" si="76"/>
        <v>0</v>
      </c>
      <c r="AB1224">
        <f t="shared" si="77"/>
        <v>0</v>
      </c>
      <c r="AC1224">
        <f t="shared" si="78"/>
        <v>0</v>
      </c>
      <c r="AD1224">
        <f t="shared" si="79"/>
        <v>0</v>
      </c>
    </row>
    <row r="1225" spans="27:30" x14ac:dyDescent="0.3">
      <c r="AA1225">
        <f t="shared" si="76"/>
        <v>0</v>
      </c>
      <c r="AB1225">
        <f t="shared" si="77"/>
        <v>0</v>
      </c>
      <c r="AC1225">
        <f t="shared" si="78"/>
        <v>0</v>
      </c>
      <c r="AD1225">
        <f t="shared" si="79"/>
        <v>0</v>
      </c>
    </row>
    <row r="1226" spans="27:30" x14ac:dyDescent="0.3">
      <c r="AA1226">
        <f t="shared" si="76"/>
        <v>0</v>
      </c>
      <c r="AB1226">
        <f t="shared" si="77"/>
        <v>0</v>
      </c>
      <c r="AC1226">
        <f t="shared" si="78"/>
        <v>0</v>
      </c>
      <c r="AD1226">
        <f t="shared" si="79"/>
        <v>0</v>
      </c>
    </row>
    <row r="1227" spans="27:30" x14ac:dyDescent="0.3">
      <c r="AA1227">
        <f t="shared" si="76"/>
        <v>0</v>
      </c>
      <c r="AB1227">
        <f t="shared" si="77"/>
        <v>0</v>
      </c>
      <c r="AC1227">
        <f t="shared" si="78"/>
        <v>0</v>
      </c>
      <c r="AD1227">
        <f t="shared" si="79"/>
        <v>0</v>
      </c>
    </row>
    <row r="1228" spans="27:30" x14ac:dyDescent="0.3">
      <c r="AA1228">
        <f t="shared" si="76"/>
        <v>0</v>
      </c>
      <c r="AB1228">
        <f t="shared" si="77"/>
        <v>0</v>
      </c>
      <c r="AC1228">
        <f t="shared" si="78"/>
        <v>0</v>
      </c>
      <c r="AD1228">
        <f t="shared" si="79"/>
        <v>0</v>
      </c>
    </row>
    <row r="1229" spans="27:30" x14ac:dyDescent="0.3">
      <c r="AA1229">
        <f t="shared" si="76"/>
        <v>0</v>
      </c>
      <c r="AB1229">
        <f t="shared" si="77"/>
        <v>0</v>
      </c>
      <c r="AC1229">
        <f t="shared" si="78"/>
        <v>0</v>
      </c>
      <c r="AD1229">
        <f t="shared" si="79"/>
        <v>0</v>
      </c>
    </row>
    <row r="1230" spans="27:30" x14ac:dyDescent="0.3">
      <c r="AA1230">
        <f t="shared" si="76"/>
        <v>0</v>
      </c>
      <c r="AB1230">
        <f t="shared" si="77"/>
        <v>0</v>
      </c>
      <c r="AC1230">
        <f t="shared" si="78"/>
        <v>0</v>
      </c>
      <c r="AD1230">
        <f t="shared" si="79"/>
        <v>0</v>
      </c>
    </row>
    <row r="1231" spans="27:30" x14ac:dyDescent="0.3">
      <c r="AA1231">
        <f t="shared" si="76"/>
        <v>0</v>
      </c>
      <c r="AB1231">
        <f t="shared" si="77"/>
        <v>0</v>
      </c>
      <c r="AC1231">
        <f t="shared" si="78"/>
        <v>0</v>
      </c>
      <c r="AD1231">
        <f t="shared" si="79"/>
        <v>0</v>
      </c>
    </row>
    <row r="1232" spans="27:30" x14ac:dyDescent="0.3">
      <c r="AA1232">
        <f t="shared" si="76"/>
        <v>0</v>
      </c>
      <c r="AB1232">
        <f t="shared" si="77"/>
        <v>0</v>
      </c>
      <c r="AC1232">
        <f t="shared" si="78"/>
        <v>0</v>
      </c>
      <c r="AD1232">
        <f t="shared" si="79"/>
        <v>0</v>
      </c>
    </row>
    <row r="1233" spans="27:30" x14ac:dyDescent="0.3">
      <c r="AA1233">
        <f t="shared" si="76"/>
        <v>0</v>
      </c>
      <c r="AB1233">
        <f t="shared" si="77"/>
        <v>0</v>
      </c>
      <c r="AC1233">
        <f t="shared" si="78"/>
        <v>0</v>
      </c>
      <c r="AD1233">
        <f t="shared" si="79"/>
        <v>0</v>
      </c>
    </row>
    <row r="1234" spans="27:30" x14ac:dyDescent="0.3">
      <c r="AA1234">
        <f t="shared" si="76"/>
        <v>0</v>
      </c>
      <c r="AB1234">
        <f t="shared" si="77"/>
        <v>0</v>
      </c>
      <c r="AC1234">
        <f t="shared" si="78"/>
        <v>0</v>
      </c>
      <c r="AD1234">
        <f t="shared" si="79"/>
        <v>0</v>
      </c>
    </row>
    <row r="1235" spans="27:30" x14ac:dyDescent="0.3">
      <c r="AA1235">
        <f t="shared" si="76"/>
        <v>0</v>
      </c>
      <c r="AB1235">
        <f t="shared" si="77"/>
        <v>0</v>
      </c>
      <c r="AC1235">
        <f t="shared" si="78"/>
        <v>0</v>
      </c>
      <c r="AD1235">
        <f t="shared" si="79"/>
        <v>0</v>
      </c>
    </row>
    <row r="1236" spans="27:30" x14ac:dyDescent="0.3">
      <c r="AA1236">
        <f t="shared" si="76"/>
        <v>0</v>
      </c>
      <c r="AB1236">
        <f t="shared" si="77"/>
        <v>0</v>
      </c>
      <c r="AC1236">
        <f t="shared" si="78"/>
        <v>0</v>
      </c>
      <c r="AD1236">
        <f t="shared" si="79"/>
        <v>0</v>
      </c>
    </row>
    <row r="1237" spans="27:30" x14ac:dyDescent="0.3">
      <c r="AA1237">
        <f t="shared" si="76"/>
        <v>0</v>
      </c>
      <c r="AB1237">
        <f t="shared" si="77"/>
        <v>0</v>
      </c>
      <c r="AC1237">
        <f t="shared" si="78"/>
        <v>0</v>
      </c>
      <c r="AD1237">
        <f t="shared" si="79"/>
        <v>0</v>
      </c>
    </row>
    <row r="1238" spans="27:30" x14ac:dyDescent="0.3">
      <c r="AA1238">
        <f t="shared" si="76"/>
        <v>0</v>
      </c>
      <c r="AB1238">
        <f t="shared" si="77"/>
        <v>0</v>
      </c>
      <c r="AC1238">
        <f t="shared" si="78"/>
        <v>0</v>
      </c>
      <c r="AD1238">
        <f t="shared" si="79"/>
        <v>0</v>
      </c>
    </row>
    <row r="1239" spans="27:30" x14ac:dyDescent="0.3">
      <c r="AA1239">
        <f t="shared" si="76"/>
        <v>0</v>
      </c>
      <c r="AB1239">
        <f t="shared" si="77"/>
        <v>0</v>
      </c>
      <c r="AC1239">
        <f t="shared" si="78"/>
        <v>0</v>
      </c>
      <c r="AD1239">
        <f t="shared" si="79"/>
        <v>0</v>
      </c>
    </row>
    <row r="1240" spans="27:30" x14ac:dyDescent="0.3">
      <c r="AA1240">
        <f t="shared" si="76"/>
        <v>0</v>
      </c>
      <c r="AB1240">
        <f t="shared" si="77"/>
        <v>0</v>
      </c>
      <c r="AC1240">
        <f t="shared" si="78"/>
        <v>0</v>
      </c>
      <c r="AD1240">
        <f t="shared" si="79"/>
        <v>0</v>
      </c>
    </row>
    <row r="1241" spans="27:30" x14ac:dyDescent="0.3">
      <c r="AA1241">
        <f t="shared" si="76"/>
        <v>0</v>
      </c>
      <c r="AB1241">
        <f t="shared" si="77"/>
        <v>0</v>
      </c>
      <c r="AC1241">
        <f t="shared" si="78"/>
        <v>0</v>
      </c>
      <c r="AD1241">
        <f t="shared" si="79"/>
        <v>0</v>
      </c>
    </row>
    <row r="1242" spans="27:30" x14ac:dyDescent="0.3">
      <c r="AA1242">
        <f t="shared" si="76"/>
        <v>0</v>
      </c>
      <c r="AB1242">
        <f t="shared" si="77"/>
        <v>0</v>
      </c>
      <c r="AC1242">
        <f t="shared" si="78"/>
        <v>0</v>
      </c>
      <c r="AD1242">
        <f t="shared" si="79"/>
        <v>0</v>
      </c>
    </row>
    <row r="1243" spans="27:30" x14ac:dyDescent="0.3">
      <c r="AA1243">
        <f t="shared" si="76"/>
        <v>0</v>
      </c>
      <c r="AB1243">
        <f t="shared" si="77"/>
        <v>0</v>
      </c>
      <c r="AC1243">
        <f t="shared" si="78"/>
        <v>0</v>
      </c>
      <c r="AD1243">
        <f t="shared" si="79"/>
        <v>0</v>
      </c>
    </row>
    <row r="1244" spans="27:30" x14ac:dyDescent="0.3">
      <c r="AA1244">
        <f t="shared" si="76"/>
        <v>0</v>
      </c>
      <c r="AB1244">
        <f t="shared" si="77"/>
        <v>0</v>
      </c>
      <c r="AC1244">
        <f t="shared" si="78"/>
        <v>0</v>
      </c>
      <c r="AD1244">
        <f t="shared" si="79"/>
        <v>0</v>
      </c>
    </row>
    <row r="1245" spans="27:30" x14ac:dyDescent="0.3">
      <c r="AA1245">
        <f t="shared" si="76"/>
        <v>0</v>
      </c>
      <c r="AB1245">
        <f t="shared" si="77"/>
        <v>0</v>
      </c>
      <c r="AC1245">
        <f t="shared" si="78"/>
        <v>0</v>
      </c>
      <c r="AD1245">
        <f t="shared" si="79"/>
        <v>0</v>
      </c>
    </row>
    <row r="1246" spans="27:30" x14ac:dyDescent="0.3">
      <c r="AA1246">
        <f t="shared" si="76"/>
        <v>0</v>
      </c>
      <c r="AB1246">
        <f t="shared" si="77"/>
        <v>0</v>
      </c>
      <c r="AC1246">
        <f t="shared" si="78"/>
        <v>0</v>
      </c>
      <c r="AD1246">
        <f t="shared" si="79"/>
        <v>0</v>
      </c>
    </row>
    <row r="1247" spans="27:30" x14ac:dyDescent="0.3">
      <c r="AA1247">
        <f t="shared" si="76"/>
        <v>0</v>
      </c>
      <c r="AB1247">
        <f t="shared" si="77"/>
        <v>0</v>
      </c>
      <c r="AC1247">
        <f t="shared" si="78"/>
        <v>0</v>
      </c>
      <c r="AD1247">
        <f t="shared" si="79"/>
        <v>0</v>
      </c>
    </row>
    <row r="1248" spans="27:30" x14ac:dyDescent="0.3">
      <c r="AA1248">
        <f t="shared" si="76"/>
        <v>0</v>
      </c>
      <c r="AB1248">
        <f t="shared" si="77"/>
        <v>0</v>
      </c>
      <c r="AC1248">
        <f t="shared" si="78"/>
        <v>0</v>
      </c>
      <c r="AD1248">
        <f t="shared" si="79"/>
        <v>0</v>
      </c>
    </row>
    <row r="1249" spans="27:30" x14ac:dyDescent="0.3">
      <c r="AA1249">
        <f t="shared" si="76"/>
        <v>0</v>
      </c>
      <c r="AB1249">
        <f t="shared" si="77"/>
        <v>0</v>
      </c>
      <c r="AC1249">
        <f t="shared" si="78"/>
        <v>0</v>
      </c>
      <c r="AD1249">
        <f t="shared" si="79"/>
        <v>0</v>
      </c>
    </row>
    <row r="1250" spans="27:30" x14ac:dyDescent="0.3">
      <c r="AA1250">
        <f t="shared" si="76"/>
        <v>0</v>
      </c>
      <c r="AB1250">
        <f t="shared" si="77"/>
        <v>0</v>
      </c>
      <c r="AC1250">
        <f t="shared" si="78"/>
        <v>0</v>
      </c>
      <c r="AD1250">
        <f t="shared" si="79"/>
        <v>0</v>
      </c>
    </row>
    <row r="1251" spans="27:30" x14ac:dyDescent="0.3">
      <c r="AA1251">
        <f t="shared" si="76"/>
        <v>0</v>
      </c>
      <c r="AB1251">
        <f t="shared" si="77"/>
        <v>0</v>
      </c>
      <c r="AC1251">
        <f t="shared" si="78"/>
        <v>0</v>
      </c>
      <c r="AD1251">
        <f t="shared" si="79"/>
        <v>0</v>
      </c>
    </row>
    <row r="1252" spans="27:30" x14ac:dyDescent="0.3">
      <c r="AA1252">
        <f t="shared" si="76"/>
        <v>0</v>
      </c>
      <c r="AB1252">
        <f t="shared" si="77"/>
        <v>0</v>
      </c>
      <c r="AC1252">
        <f t="shared" si="78"/>
        <v>0</v>
      </c>
      <c r="AD1252">
        <f t="shared" si="79"/>
        <v>0</v>
      </c>
    </row>
    <row r="1253" spans="27:30" x14ac:dyDescent="0.3">
      <c r="AA1253">
        <f t="shared" si="76"/>
        <v>0</v>
      </c>
      <c r="AB1253">
        <f t="shared" si="77"/>
        <v>0</v>
      </c>
      <c r="AC1253">
        <f t="shared" si="78"/>
        <v>0</v>
      </c>
      <c r="AD1253">
        <f t="shared" si="79"/>
        <v>0</v>
      </c>
    </row>
    <row r="1254" spans="27:30" x14ac:dyDescent="0.3">
      <c r="AA1254">
        <f t="shared" si="76"/>
        <v>0</v>
      </c>
      <c r="AB1254">
        <f t="shared" si="77"/>
        <v>0</v>
      </c>
      <c r="AC1254">
        <f t="shared" si="78"/>
        <v>0</v>
      </c>
      <c r="AD1254">
        <f t="shared" si="79"/>
        <v>0</v>
      </c>
    </row>
    <row r="1255" spans="27:30" x14ac:dyDescent="0.3">
      <c r="AA1255">
        <f t="shared" si="76"/>
        <v>0</v>
      </c>
      <c r="AB1255">
        <f t="shared" si="77"/>
        <v>0</v>
      </c>
      <c r="AC1255">
        <f t="shared" si="78"/>
        <v>0</v>
      </c>
      <c r="AD1255">
        <f t="shared" si="79"/>
        <v>0</v>
      </c>
    </row>
    <row r="1256" spans="27:30" x14ac:dyDescent="0.3">
      <c r="AA1256">
        <f t="shared" si="76"/>
        <v>0</v>
      </c>
      <c r="AB1256">
        <f t="shared" si="77"/>
        <v>0</v>
      </c>
      <c r="AC1256">
        <f t="shared" si="78"/>
        <v>0</v>
      </c>
      <c r="AD1256">
        <f t="shared" si="79"/>
        <v>0</v>
      </c>
    </row>
    <row r="1257" spans="27:30" x14ac:dyDescent="0.3">
      <c r="AA1257">
        <f t="shared" si="76"/>
        <v>0</v>
      </c>
      <c r="AB1257">
        <f t="shared" si="77"/>
        <v>0</v>
      </c>
      <c r="AC1257">
        <f t="shared" si="78"/>
        <v>0</v>
      </c>
      <c r="AD1257">
        <f t="shared" si="79"/>
        <v>0</v>
      </c>
    </row>
    <row r="1258" spans="27:30" x14ac:dyDescent="0.3">
      <c r="AA1258">
        <f t="shared" si="76"/>
        <v>0</v>
      </c>
      <c r="AB1258">
        <f t="shared" si="77"/>
        <v>0</v>
      </c>
      <c r="AC1258">
        <f t="shared" si="78"/>
        <v>0</v>
      </c>
      <c r="AD1258">
        <f t="shared" si="79"/>
        <v>0</v>
      </c>
    </row>
    <row r="1259" spans="27:30" x14ac:dyDescent="0.3">
      <c r="AA1259">
        <f t="shared" si="76"/>
        <v>0</v>
      </c>
      <c r="AB1259">
        <f t="shared" si="77"/>
        <v>0</v>
      </c>
      <c r="AC1259">
        <f t="shared" si="78"/>
        <v>0</v>
      </c>
      <c r="AD1259">
        <f t="shared" si="79"/>
        <v>0</v>
      </c>
    </row>
    <row r="1260" spans="27:30" x14ac:dyDescent="0.3">
      <c r="AA1260">
        <f t="shared" si="76"/>
        <v>0</v>
      </c>
      <c r="AB1260">
        <f t="shared" si="77"/>
        <v>0</v>
      </c>
      <c r="AC1260">
        <f t="shared" si="78"/>
        <v>0</v>
      </c>
      <c r="AD1260">
        <f t="shared" si="79"/>
        <v>0</v>
      </c>
    </row>
    <row r="1261" spans="27:30" x14ac:dyDescent="0.3">
      <c r="AA1261">
        <f t="shared" si="76"/>
        <v>0</v>
      </c>
      <c r="AB1261">
        <f t="shared" si="77"/>
        <v>0</v>
      </c>
      <c r="AC1261">
        <f t="shared" si="78"/>
        <v>0</v>
      </c>
      <c r="AD1261">
        <f t="shared" si="79"/>
        <v>0</v>
      </c>
    </row>
    <row r="1262" spans="27:30" x14ac:dyDescent="0.3">
      <c r="AA1262">
        <f t="shared" si="76"/>
        <v>0</v>
      </c>
      <c r="AB1262">
        <f t="shared" si="77"/>
        <v>0</v>
      </c>
      <c r="AC1262">
        <f t="shared" si="78"/>
        <v>0</v>
      </c>
      <c r="AD1262">
        <f t="shared" si="79"/>
        <v>0</v>
      </c>
    </row>
    <row r="1263" spans="27:30" x14ac:dyDescent="0.3">
      <c r="AA1263">
        <f t="shared" si="76"/>
        <v>0</v>
      </c>
      <c r="AB1263">
        <f t="shared" si="77"/>
        <v>0</v>
      </c>
      <c r="AC1263">
        <f t="shared" si="78"/>
        <v>0</v>
      </c>
      <c r="AD1263">
        <f t="shared" si="79"/>
        <v>0</v>
      </c>
    </row>
    <row r="1264" spans="27:30" x14ac:dyDescent="0.3">
      <c r="AA1264">
        <f t="shared" si="76"/>
        <v>0</v>
      </c>
      <c r="AB1264">
        <f t="shared" si="77"/>
        <v>0</v>
      </c>
      <c r="AC1264">
        <f t="shared" si="78"/>
        <v>0</v>
      </c>
      <c r="AD1264">
        <f t="shared" si="79"/>
        <v>0</v>
      </c>
    </row>
    <row r="1265" spans="27:30" x14ac:dyDescent="0.3">
      <c r="AA1265">
        <f t="shared" si="76"/>
        <v>0</v>
      </c>
      <c r="AB1265">
        <f t="shared" si="77"/>
        <v>0</v>
      </c>
      <c r="AC1265">
        <f t="shared" si="78"/>
        <v>0</v>
      </c>
      <c r="AD1265">
        <f t="shared" si="79"/>
        <v>0</v>
      </c>
    </row>
    <row r="1266" spans="27:30" x14ac:dyDescent="0.3">
      <c r="AA1266">
        <f t="shared" si="76"/>
        <v>0</v>
      </c>
      <c r="AB1266">
        <f t="shared" si="77"/>
        <v>0</v>
      </c>
      <c r="AC1266">
        <f t="shared" si="78"/>
        <v>0</v>
      </c>
      <c r="AD1266">
        <f t="shared" si="79"/>
        <v>0</v>
      </c>
    </row>
    <row r="1267" spans="27:30" x14ac:dyDescent="0.3">
      <c r="AA1267">
        <f t="shared" si="76"/>
        <v>0</v>
      </c>
      <c r="AB1267">
        <f t="shared" si="77"/>
        <v>0</v>
      </c>
      <c r="AC1267">
        <f t="shared" si="78"/>
        <v>0</v>
      </c>
      <c r="AD1267">
        <f t="shared" si="79"/>
        <v>0</v>
      </c>
    </row>
    <row r="1268" spans="27:30" x14ac:dyDescent="0.3">
      <c r="AA1268">
        <f t="shared" si="76"/>
        <v>0</v>
      </c>
      <c r="AB1268">
        <f t="shared" si="77"/>
        <v>0</v>
      </c>
      <c r="AC1268">
        <f t="shared" si="78"/>
        <v>0</v>
      </c>
      <c r="AD1268">
        <f t="shared" si="79"/>
        <v>0</v>
      </c>
    </row>
    <row r="1269" spans="27:30" x14ac:dyDescent="0.3">
      <c r="AA1269">
        <f t="shared" si="76"/>
        <v>0</v>
      </c>
      <c r="AB1269">
        <f t="shared" si="77"/>
        <v>0</v>
      </c>
      <c r="AC1269">
        <f t="shared" si="78"/>
        <v>0</v>
      </c>
      <c r="AD1269">
        <f t="shared" si="79"/>
        <v>0</v>
      </c>
    </row>
    <row r="1270" spans="27:30" x14ac:dyDescent="0.3">
      <c r="AA1270">
        <f t="shared" si="76"/>
        <v>0</v>
      </c>
      <c r="AB1270">
        <f t="shared" si="77"/>
        <v>0</v>
      </c>
      <c r="AC1270">
        <f t="shared" si="78"/>
        <v>0</v>
      </c>
      <c r="AD1270">
        <f t="shared" si="79"/>
        <v>0</v>
      </c>
    </row>
    <row r="1271" spans="27:30" x14ac:dyDescent="0.3">
      <c r="AA1271">
        <f t="shared" si="76"/>
        <v>0</v>
      </c>
      <c r="AB1271">
        <f t="shared" si="77"/>
        <v>0</v>
      </c>
      <c r="AC1271">
        <f t="shared" si="78"/>
        <v>0</v>
      </c>
      <c r="AD1271">
        <f t="shared" si="79"/>
        <v>0</v>
      </c>
    </row>
    <row r="1272" spans="27:30" x14ac:dyDescent="0.3">
      <c r="AA1272">
        <f t="shared" si="76"/>
        <v>0</v>
      </c>
      <c r="AB1272">
        <f t="shared" si="77"/>
        <v>0</v>
      </c>
      <c r="AC1272">
        <f t="shared" si="78"/>
        <v>0</v>
      </c>
      <c r="AD1272">
        <f t="shared" si="79"/>
        <v>0</v>
      </c>
    </row>
    <row r="1273" spans="27:30" x14ac:dyDescent="0.3">
      <c r="AA1273">
        <f t="shared" si="76"/>
        <v>0</v>
      </c>
      <c r="AB1273">
        <f t="shared" si="77"/>
        <v>0</v>
      </c>
      <c r="AC1273">
        <f t="shared" si="78"/>
        <v>0</v>
      </c>
      <c r="AD1273">
        <f t="shared" si="79"/>
        <v>0</v>
      </c>
    </row>
    <row r="1274" spans="27:30" x14ac:dyDescent="0.3">
      <c r="AA1274">
        <f t="shared" si="76"/>
        <v>0</v>
      </c>
      <c r="AB1274">
        <f t="shared" si="77"/>
        <v>0</v>
      </c>
      <c r="AC1274">
        <f t="shared" si="78"/>
        <v>0</v>
      </c>
      <c r="AD1274">
        <f t="shared" si="79"/>
        <v>0</v>
      </c>
    </row>
    <row r="1275" spans="27:30" x14ac:dyDescent="0.3">
      <c r="AA1275">
        <f t="shared" si="76"/>
        <v>0</v>
      </c>
      <c r="AB1275">
        <f t="shared" si="77"/>
        <v>0</v>
      </c>
      <c r="AC1275">
        <f t="shared" si="78"/>
        <v>0</v>
      </c>
      <c r="AD1275">
        <f t="shared" si="79"/>
        <v>0</v>
      </c>
    </row>
    <row r="1276" spans="27:30" x14ac:dyDescent="0.3">
      <c r="AA1276">
        <f t="shared" si="76"/>
        <v>0</v>
      </c>
      <c r="AB1276">
        <f t="shared" si="77"/>
        <v>0</v>
      </c>
      <c r="AC1276">
        <f t="shared" si="78"/>
        <v>0</v>
      </c>
      <c r="AD1276">
        <f t="shared" si="79"/>
        <v>0</v>
      </c>
    </row>
    <row r="1277" spans="27:30" x14ac:dyDescent="0.3">
      <c r="AA1277">
        <f t="shared" si="76"/>
        <v>0</v>
      </c>
      <c r="AB1277">
        <f t="shared" si="77"/>
        <v>0</v>
      </c>
      <c r="AC1277">
        <f t="shared" si="78"/>
        <v>0</v>
      </c>
      <c r="AD1277">
        <f t="shared" si="79"/>
        <v>0</v>
      </c>
    </row>
    <row r="1278" spans="27:30" x14ac:dyDescent="0.3">
      <c r="AA1278">
        <f t="shared" si="76"/>
        <v>0</v>
      </c>
      <c r="AB1278">
        <f t="shared" si="77"/>
        <v>0</v>
      </c>
      <c r="AC1278">
        <f t="shared" si="78"/>
        <v>0</v>
      </c>
      <c r="AD1278">
        <f t="shared" si="79"/>
        <v>0</v>
      </c>
    </row>
    <row r="1279" spans="27:30" x14ac:dyDescent="0.3">
      <c r="AA1279">
        <f t="shared" si="76"/>
        <v>0</v>
      </c>
      <c r="AB1279">
        <f t="shared" si="77"/>
        <v>0</v>
      </c>
      <c r="AC1279">
        <f t="shared" si="78"/>
        <v>0</v>
      </c>
      <c r="AD1279">
        <f t="shared" si="79"/>
        <v>0</v>
      </c>
    </row>
    <row r="1280" spans="27:30" x14ac:dyDescent="0.3">
      <c r="AA1280">
        <f t="shared" si="76"/>
        <v>0</v>
      </c>
      <c r="AB1280">
        <f t="shared" si="77"/>
        <v>0</v>
      </c>
      <c r="AC1280">
        <f t="shared" si="78"/>
        <v>0</v>
      </c>
      <c r="AD1280">
        <f t="shared" si="79"/>
        <v>0</v>
      </c>
    </row>
    <row r="1281" spans="27:30" x14ac:dyDescent="0.3">
      <c r="AA1281">
        <f t="shared" si="76"/>
        <v>0</v>
      </c>
      <c r="AB1281">
        <f t="shared" si="77"/>
        <v>0</v>
      </c>
      <c r="AC1281">
        <f t="shared" si="78"/>
        <v>0</v>
      </c>
      <c r="AD1281">
        <f t="shared" si="79"/>
        <v>0</v>
      </c>
    </row>
    <row r="1282" spans="27:30" x14ac:dyDescent="0.3">
      <c r="AA1282">
        <f t="shared" si="76"/>
        <v>0</v>
      </c>
      <c r="AB1282">
        <f t="shared" si="77"/>
        <v>0</v>
      </c>
      <c r="AC1282">
        <f t="shared" si="78"/>
        <v>0</v>
      </c>
      <c r="AD1282">
        <f t="shared" si="79"/>
        <v>0</v>
      </c>
    </row>
    <row r="1283" spans="27:30" x14ac:dyDescent="0.3">
      <c r="AA1283">
        <f t="shared" si="76"/>
        <v>0</v>
      </c>
      <c r="AB1283">
        <f t="shared" si="77"/>
        <v>0</v>
      </c>
      <c r="AC1283">
        <f t="shared" si="78"/>
        <v>0</v>
      </c>
      <c r="AD1283">
        <f t="shared" si="79"/>
        <v>0</v>
      </c>
    </row>
    <row r="1284" spans="27:30" x14ac:dyDescent="0.3">
      <c r="AA1284">
        <f t="shared" si="76"/>
        <v>0</v>
      </c>
      <c r="AB1284">
        <f t="shared" si="77"/>
        <v>0</v>
      </c>
      <c r="AC1284">
        <f t="shared" si="78"/>
        <v>0</v>
      </c>
      <c r="AD1284">
        <f t="shared" si="79"/>
        <v>0</v>
      </c>
    </row>
    <row r="1285" spans="27:30" x14ac:dyDescent="0.3">
      <c r="AA1285">
        <f t="shared" ref="AA1285:AA1348" si="80">ROUND(Z1285,0)</f>
        <v>0</v>
      </c>
      <c r="AB1285">
        <f t="shared" ref="AB1285:AB1348" si="81">IF(AA1285=Y1285,0,1)</f>
        <v>0</v>
      </c>
      <c r="AC1285">
        <f t="shared" ref="AC1285:AC1348" si="82">IF(AA1285&lt;Y1285+5,IF(AA1285&gt;Y1285-5,0,1),1)</f>
        <v>0</v>
      </c>
      <c r="AD1285">
        <f t="shared" ref="AD1285:AD1348" si="83">IF(AA1285&lt;Y1285+10,IF(AA1285&gt;Y1285-10,0,1),1)</f>
        <v>0</v>
      </c>
    </row>
    <row r="1286" spans="27:30" x14ac:dyDescent="0.3">
      <c r="AA1286">
        <f t="shared" si="80"/>
        <v>0</v>
      </c>
      <c r="AB1286">
        <f t="shared" si="81"/>
        <v>0</v>
      </c>
      <c r="AC1286">
        <f t="shared" si="82"/>
        <v>0</v>
      </c>
      <c r="AD1286">
        <f t="shared" si="83"/>
        <v>0</v>
      </c>
    </row>
    <row r="1287" spans="27:30" x14ac:dyDescent="0.3">
      <c r="AA1287">
        <f t="shared" si="80"/>
        <v>0</v>
      </c>
      <c r="AB1287">
        <f t="shared" si="81"/>
        <v>0</v>
      </c>
      <c r="AC1287">
        <f t="shared" si="82"/>
        <v>0</v>
      </c>
      <c r="AD1287">
        <f t="shared" si="83"/>
        <v>0</v>
      </c>
    </row>
    <row r="1288" spans="27:30" x14ac:dyDescent="0.3">
      <c r="AA1288">
        <f t="shared" si="80"/>
        <v>0</v>
      </c>
      <c r="AB1288">
        <f t="shared" si="81"/>
        <v>0</v>
      </c>
      <c r="AC1288">
        <f t="shared" si="82"/>
        <v>0</v>
      </c>
      <c r="AD1288">
        <f t="shared" si="83"/>
        <v>0</v>
      </c>
    </row>
    <row r="1289" spans="27:30" x14ac:dyDescent="0.3">
      <c r="AA1289">
        <f t="shared" si="80"/>
        <v>0</v>
      </c>
      <c r="AB1289">
        <f t="shared" si="81"/>
        <v>0</v>
      </c>
      <c r="AC1289">
        <f t="shared" si="82"/>
        <v>0</v>
      </c>
      <c r="AD1289">
        <f t="shared" si="83"/>
        <v>0</v>
      </c>
    </row>
    <row r="1290" spans="27:30" x14ac:dyDescent="0.3">
      <c r="AA1290">
        <f t="shared" si="80"/>
        <v>0</v>
      </c>
      <c r="AB1290">
        <f t="shared" si="81"/>
        <v>0</v>
      </c>
      <c r="AC1290">
        <f t="shared" si="82"/>
        <v>0</v>
      </c>
      <c r="AD1290">
        <f t="shared" si="83"/>
        <v>0</v>
      </c>
    </row>
    <row r="1291" spans="27:30" x14ac:dyDescent="0.3">
      <c r="AA1291">
        <f t="shared" si="80"/>
        <v>0</v>
      </c>
      <c r="AB1291">
        <f t="shared" si="81"/>
        <v>0</v>
      </c>
      <c r="AC1291">
        <f t="shared" si="82"/>
        <v>0</v>
      </c>
      <c r="AD1291">
        <f t="shared" si="83"/>
        <v>0</v>
      </c>
    </row>
    <row r="1292" spans="27:30" x14ac:dyDescent="0.3">
      <c r="AA1292">
        <f t="shared" si="80"/>
        <v>0</v>
      </c>
      <c r="AB1292">
        <f t="shared" si="81"/>
        <v>0</v>
      </c>
      <c r="AC1292">
        <f t="shared" si="82"/>
        <v>0</v>
      </c>
      <c r="AD1292">
        <f t="shared" si="83"/>
        <v>0</v>
      </c>
    </row>
    <row r="1293" spans="27:30" x14ac:dyDescent="0.3">
      <c r="AA1293">
        <f t="shared" si="80"/>
        <v>0</v>
      </c>
      <c r="AB1293">
        <f t="shared" si="81"/>
        <v>0</v>
      </c>
      <c r="AC1293">
        <f t="shared" si="82"/>
        <v>0</v>
      </c>
      <c r="AD1293">
        <f t="shared" si="83"/>
        <v>0</v>
      </c>
    </row>
    <row r="1294" spans="27:30" x14ac:dyDescent="0.3">
      <c r="AA1294">
        <f t="shared" si="80"/>
        <v>0</v>
      </c>
      <c r="AB1294">
        <f t="shared" si="81"/>
        <v>0</v>
      </c>
      <c r="AC1294">
        <f t="shared" si="82"/>
        <v>0</v>
      </c>
      <c r="AD1294">
        <f t="shared" si="83"/>
        <v>0</v>
      </c>
    </row>
    <row r="1295" spans="27:30" x14ac:dyDescent="0.3">
      <c r="AA1295">
        <f t="shared" si="80"/>
        <v>0</v>
      </c>
      <c r="AB1295">
        <f t="shared" si="81"/>
        <v>0</v>
      </c>
      <c r="AC1295">
        <f t="shared" si="82"/>
        <v>0</v>
      </c>
      <c r="AD1295">
        <f t="shared" si="83"/>
        <v>0</v>
      </c>
    </row>
    <row r="1296" spans="27:30" x14ac:dyDescent="0.3">
      <c r="AA1296">
        <f t="shared" si="80"/>
        <v>0</v>
      </c>
      <c r="AB1296">
        <f t="shared" si="81"/>
        <v>0</v>
      </c>
      <c r="AC1296">
        <f t="shared" si="82"/>
        <v>0</v>
      </c>
      <c r="AD1296">
        <f t="shared" si="83"/>
        <v>0</v>
      </c>
    </row>
    <row r="1297" spans="27:30" x14ac:dyDescent="0.3">
      <c r="AA1297">
        <f t="shared" si="80"/>
        <v>0</v>
      </c>
      <c r="AB1297">
        <f t="shared" si="81"/>
        <v>0</v>
      </c>
      <c r="AC1297">
        <f t="shared" si="82"/>
        <v>0</v>
      </c>
      <c r="AD1297">
        <f t="shared" si="83"/>
        <v>0</v>
      </c>
    </row>
    <row r="1298" spans="27:30" x14ac:dyDescent="0.3">
      <c r="AA1298">
        <f t="shared" si="80"/>
        <v>0</v>
      </c>
      <c r="AB1298">
        <f t="shared" si="81"/>
        <v>0</v>
      </c>
      <c r="AC1298">
        <f t="shared" si="82"/>
        <v>0</v>
      </c>
      <c r="AD1298">
        <f t="shared" si="83"/>
        <v>0</v>
      </c>
    </row>
    <row r="1299" spans="27:30" x14ac:dyDescent="0.3">
      <c r="AA1299">
        <f t="shared" si="80"/>
        <v>0</v>
      </c>
      <c r="AB1299">
        <f t="shared" si="81"/>
        <v>0</v>
      </c>
      <c r="AC1299">
        <f t="shared" si="82"/>
        <v>0</v>
      </c>
      <c r="AD1299">
        <f t="shared" si="83"/>
        <v>0</v>
      </c>
    </row>
    <row r="1300" spans="27:30" x14ac:dyDescent="0.3">
      <c r="AA1300">
        <f t="shared" si="80"/>
        <v>0</v>
      </c>
      <c r="AB1300">
        <f t="shared" si="81"/>
        <v>0</v>
      </c>
      <c r="AC1300">
        <f t="shared" si="82"/>
        <v>0</v>
      </c>
      <c r="AD1300">
        <f t="shared" si="83"/>
        <v>0</v>
      </c>
    </row>
    <row r="1301" spans="27:30" x14ac:dyDescent="0.3">
      <c r="AA1301">
        <f t="shared" si="80"/>
        <v>0</v>
      </c>
      <c r="AB1301">
        <f t="shared" si="81"/>
        <v>0</v>
      </c>
      <c r="AC1301">
        <f t="shared" si="82"/>
        <v>0</v>
      </c>
      <c r="AD1301">
        <f t="shared" si="83"/>
        <v>0</v>
      </c>
    </row>
    <row r="1302" spans="27:30" x14ac:dyDescent="0.3">
      <c r="AA1302">
        <f t="shared" si="80"/>
        <v>0</v>
      </c>
      <c r="AB1302">
        <f t="shared" si="81"/>
        <v>0</v>
      </c>
      <c r="AC1302">
        <f t="shared" si="82"/>
        <v>0</v>
      </c>
      <c r="AD1302">
        <f t="shared" si="83"/>
        <v>0</v>
      </c>
    </row>
    <row r="1303" spans="27:30" x14ac:dyDescent="0.3">
      <c r="AA1303">
        <f t="shared" si="80"/>
        <v>0</v>
      </c>
      <c r="AB1303">
        <f t="shared" si="81"/>
        <v>0</v>
      </c>
      <c r="AC1303">
        <f t="shared" si="82"/>
        <v>0</v>
      </c>
      <c r="AD1303">
        <f t="shared" si="83"/>
        <v>0</v>
      </c>
    </row>
    <row r="1304" spans="27:30" x14ac:dyDescent="0.3">
      <c r="AA1304">
        <f t="shared" si="80"/>
        <v>0</v>
      </c>
      <c r="AB1304">
        <f t="shared" si="81"/>
        <v>0</v>
      </c>
      <c r="AC1304">
        <f t="shared" si="82"/>
        <v>0</v>
      </c>
      <c r="AD1304">
        <f t="shared" si="83"/>
        <v>0</v>
      </c>
    </row>
    <row r="1305" spans="27:30" x14ac:dyDescent="0.3">
      <c r="AA1305">
        <f t="shared" si="80"/>
        <v>0</v>
      </c>
      <c r="AB1305">
        <f t="shared" si="81"/>
        <v>0</v>
      </c>
      <c r="AC1305">
        <f t="shared" si="82"/>
        <v>0</v>
      </c>
      <c r="AD1305">
        <f t="shared" si="83"/>
        <v>0</v>
      </c>
    </row>
    <row r="1306" spans="27:30" x14ac:dyDescent="0.3">
      <c r="AA1306">
        <f t="shared" si="80"/>
        <v>0</v>
      </c>
      <c r="AB1306">
        <f t="shared" si="81"/>
        <v>0</v>
      </c>
      <c r="AC1306">
        <f t="shared" si="82"/>
        <v>0</v>
      </c>
      <c r="AD1306">
        <f t="shared" si="83"/>
        <v>0</v>
      </c>
    </row>
    <row r="1307" spans="27:30" x14ac:dyDescent="0.3">
      <c r="AA1307">
        <f t="shared" si="80"/>
        <v>0</v>
      </c>
      <c r="AB1307">
        <f t="shared" si="81"/>
        <v>0</v>
      </c>
      <c r="AC1307">
        <f t="shared" si="82"/>
        <v>0</v>
      </c>
      <c r="AD1307">
        <f t="shared" si="83"/>
        <v>0</v>
      </c>
    </row>
    <row r="1308" spans="27:30" x14ac:dyDescent="0.3">
      <c r="AA1308">
        <f t="shared" si="80"/>
        <v>0</v>
      </c>
      <c r="AB1308">
        <f t="shared" si="81"/>
        <v>0</v>
      </c>
      <c r="AC1308">
        <f t="shared" si="82"/>
        <v>0</v>
      </c>
      <c r="AD1308">
        <f t="shared" si="83"/>
        <v>0</v>
      </c>
    </row>
    <row r="1309" spans="27:30" x14ac:dyDescent="0.3">
      <c r="AA1309">
        <f t="shared" si="80"/>
        <v>0</v>
      </c>
      <c r="AB1309">
        <f t="shared" si="81"/>
        <v>0</v>
      </c>
      <c r="AC1309">
        <f t="shared" si="82"/>
        <v>0</v>
      </c>
      <c r="AD1309">
        <f t="shared" si="83"/>
        <v>0</v>
      </c>
    </row>
    <row r="1310" spans="27:30" x14ac:dyDescent="0.3">
      <c r="AA1310">
        <f t="shared" si="80"/>
        <v>0</v>
      </c>
      <c r="AB1310">
        <f t="shared" si="81"/>
        <v>0</v>
      </c>
      <c r="AC1310">
        <f t="shared" si="82"/>
        <v>0</v>
      </c>
      <c r="AD1310">
        <f t="shared" si="83"/>
        <v>0</v>
      </c>
    </row>
    <row r="1311" spans="27:30" x14ac:dyDescent="0.3">
      <c r="AA1311">
        <f t="shared" si="80"/>
        <v>0</v>
      </c>
      <c r="AB1311">
        <f t="shared" si="81"/>
        <v>0</v>
      </c>
      <c r="AC1311">
        <f t="shared" si="82"/>
        <v>0</v>
      </c>
      <c r="AD1311">
        <f t="shared" si="83"/>
        <v>0</v>
      </c>
    </row>
    <row r="1312" spans="27:30" x14ac:dyDescent="0.3">
      <c r="AA1312">
        <f t="shared" si="80"/>
        <v>0</v>
      </c>
      <c r="AB1312">
        <f t="shared" si="81"/>
        <v>0</v>
      </c>
      <c r="AC1312">
        <f t="shared" si="82"/>
        <v>0</v>
      </c>
      <c r="AD1312">
        <f t="shared" si="83"/>
        <v>0</v>
      </c>
    </row>
    <row r="1313" spans="27:30" x14ac:dyDescent="0.3">
      <c r="AA1313">
        <f t="shared" si="80"/>
        <v>0</v>
      </c>
      <c r="AB1313">
        <f t="shared" si="81"/>
        <v>0</v>
      </c>
      <c r="AC1313">
        <f t="shared" si="82"/>
        <v>0</v>
      </c>
      <c r="AD1313">
        <f t="shared" si="83"/>
        <v>0</v>
      </c>
    </row>
    <row r="1314" spans="27:30" x14ac:dyDescent="0.3">
      <c r="AA1314">
        <f t="shared" si="80"/>
        <v>0</v>
      </c>
      <c r="AB1314">
        <f t="shared" si="81"/>
        <v>0</v>
      </c>
      <c r="AC1314">
        <f t="shared" si="82"/>
        <v>0</v>
      </c>
      <c r="AD1314">
        <f t="shared" si="83"/>
        <v>0</v>
      </c>
    </row>
    <row r="1315" spans="27:30" x14ac:dyDescent="0.3">
      <c r="AA1315">
        <f t="shared" si="80"/>
        <v>0</v>
      </c>
      <c r="AB1315">
        <f t="shared" si="81"/>
        <v>0</v>
      </c>
      <c r="AC1315">
        <f t="shared" si="82"/>
        <v>0</v>
      </c>
      <c r="AD1315">
        <f t="shared" si="83"/>
        <v>0</v>
      </c>
    </row>
    <row r="1316" spans="27:30" x14ac:dyDescent="0.3">
      <c r="AA1316">
        <f t="shared" si="80"/>
        <v>0</v>
      </c>
      <c r="AB1316">
        <f t="shared" si="81"/>
        <v>0</v>
      </c>
      <c r="AC1316">
        <f t="shared" si="82"/>
        <v>0</v>
      </c>
      <c r="AD1316">
        <f t="shared" si="83"/>
        <v>0</v>
      </c>
    </row>
    <row r="1317" spans="27:30" x14ac:dyDescent="0.3">
      <c r="AA1317">
        <f t="shared" si="80"/>
        <v>0</v>
      </c>
      <c r="AB1317">
        <f t="shared" si="81"/>
        <v>0</v>
      </c>
      <c r="AC1317">
        <f t="shared" si="82"/>
        <v>0</v>
      </c>
      <c r="AD1317">
        <f t="shared" si="83"/>
        <v>0</v>
      </c>
    </row>
    <row r="1318" spans="27:30" x14ac:dyDescent="0.3">
      <c r="AA1318">
        <f t="shared" si="80"/>
        <v>0</v>
      </c>
      <c r="AB1318">
        <f t="shared" si="81"/>
        <v>0</v>
      </c>
      <c r="AC1318">
        <f t="shared" si="82"/>
        <v>0</v>
      </c>
      <c r="AD1318">
        <f t="shared" si="83"/>
        <v>0</v>
      </c>
    </row>
    <row r="1319" spans="27:30" x14ac:dyDescent="0.3">
      <c r="AA1319">
        <f t="shared" si="80"/>
        <v>0</v>
      </c>
      <c r="AB1319">
        <f t="shared" si="81"/>
        <v>0</v>
      </c>
      <c r="AC1319">
        <f t="shared" si="82"/>
        <v>0</v>
      </c>
      <c r="AD1319">
        <f t="shared" si="83"/>
        <v>0</v>
      </c>
    </row>
    <row r="1320" spans="27:30" x14ac:dyDescent="0.3">
      <c r="AA1320">
        <f t="shared" si="80"/>
        <v>0</v>
      </c>
      <c r="AB1320">
        <f t="shared" si="81"/>
        <v>0</v>
      </c>
      <c r="AC1320">
        <f t="shared" si="82"/>
        <v>0</v>
      </c>
      <c r="AD1320">
        <f t="shared" si="83"/>
        <v>0</v>
      </c>
    </row>
    <row r="1321" spans="27:30" x14ac:dyDescent="0.3">
      <c r="AA1321">
        <f t="shared" si="80"/>
        <v>0</v>
      </c>
      <c r="AB1321">
        <f t="shared" si="81"/>
        <v>0</v>
      </c>
      <c r="AC1321">
        <f t="shared" si="82"/>
        <v>0</v>
      </c>
      <c r="AD1321">
        <f t="shared" si="83"/>
        <v>0</v>
      </c>
    </row>
    <row r="1322" spans="27:30" x14ac:dyDescent="0.3">
      <c r="AA1322">
        <f t="shared" si="80"/>
        <v>0</v>
      </c>
      <c r="AB1322">
        <f t="shared" si="81"/>
        <v>0</v>
      </c>
      <c r="AC1322">
        <f t="shared" si="82"/>
        <v>0</v>
      </c>
      <c r="AD1322">
        <f t="shared" si="83"/>
        <v>0</v>
      </c>
    </row>
    <row r="1323" spans="27:30" x14ac:dyDescent="0.3">
      <c r="AA1323">
        <f t="shared" si="80"/>
        <v>0</v>
      </c>
      <c r="AB1323">
        <f t="shared" si="81"/>
        <v>0</v>
      </c>
      <c r="AC1323">
        <f t="shared" si="82"/>
        <v>0</v>
      </c>
      <c r="AD1323">
        <f t="shared" si="83"/>
        <v>0</v>
      </c>
    </row>
    <row r="1324" spans="27:30" x14ac:dyDescent="0.3">
      <c r="AA1324">
        <f t="shared" si="80"/>
        <v>0</v>
      </c>
      <c r="AB1324">
        <f t="shared" si="81"/>
        <v>0</v>
      </c>
      <c r="AC1324">
        <f t="shared" si="82"/>
        <v>0</v>
      </c>
      <c r="AD1324">
        <f t="shared" si="83"/>
        <v>0</v>
      </c>
    </row>
    <row r="1325" spans="27:30" x14ac:dyDescent="0.3">
      <c r="AA1325">
        <f t="shared" si="80"/>
        <v>0</v>
      </c>
      <c r="AB1325">
        <f t="shared" si="81"/>
        <v>0</v>
      </c>
      <c r="AC1325">
        <f t="shared" si="82"/>
        <v>0</v>
      </c>
      <c r="AD1325">
        <f t="shared" si="83"/>
        <v>0</v>
      </c>
    </row>
    <row r="1326" spans="27:30" x14ac:dyDescent="0.3">
      <c r="AA1326">
        <f t="shared" si="80"/>
        <v>0</v>
      </c>
      <c r="AB1326">
        <f t="shared" si="81"/>
        <v>0</v>
      </c>
      <c r="AC1326">
        <f t="shared" si="82"/>
        <v>0</v>
      </c>
      <c r="AD1326">
        <f t="shared" si="83"/>
        <v>0</v>
      </c>
    </row>
    <row r="1327" spans="27:30" x14ac:dyDescent="0.3">
      <c r="AA1327">
        <f t="shared" si="80"/>
        <v>0</v>
      </c>
      <c r="AB1327">
        <f t="shared" si="81"/>
        <v>0</v>
      </c>
      <c r="AC1327">
        <f t="shared" si="82"/>
        <v>0</v>
      </c>
      <c r="AD1327">
        <f t="shared" si="83"/>
        <v>0</v>
      </c>
    </row>
    <row r="1328" spans="27:30" x14ac:dyDescent="0.3">
      <c r="AA1328">
        <f t="shared" si="80"/>
        <v>0</v>
      </c>
      <c r="AB1328">
        <f t="shared" si="81"/>
        <v>0</v>
      </c>
      <c r="AC1328">
        <f t="shared" si="82"/>
        <v>0</v>
      </c>
      <c r="AD1328">
        <f t="shared" si="83"/>
        <v>0</v>
      </c>
    </row>
    <row r="1329" spans="27:30" x14ac:dyDescent="0.3">
      <c r="AA1329">
        <f t="shared" si="80"/>
        <v>0</v>
      </c>
      <c r="AB1329">
        <f t="shared" si="81"/>
        <v>0</v>
      </c>
      <c r="AC1329">
        <f t="shared" si="82"/>
        <v>0</v>
      </c>
      <c r="AD1329">
        <f t="shared" si="83"/>
        <v>0</v>
      </c>
    </row>
    <row r="1330" spans="27:30" x14ac:dyDescent="0.3">
      <c r="AA1330">
        <f t="shared" si="80"/>
        <v>0</v>
      </c>
      <c r="AB1330">
        <f t="shared" si="81"/>
        <v>0</v>
      </c>
      <c r="AC1330">
        <f t="shared" si="82"/>
        <v>0</v>
      </c>
      <c r="AD1330">
        <f t="shared" si="83"/>
        <v>0</v>
      </c>
    </row>
    <row r="1331" spans="27:30" x14ac:dyDescent="0.3">
      <c r="AA1331">
        <f t="shared" si="80"/>
        <v>0</v>
      </c>
      <c r="AB1331">
        <f t="shared" si="81"/>
        <v>0</v>
      </c>
      <c r="AC1331">
        <f t="shared" si="82"/>
        <v>0</v>
      </c>
      <c r="AD1331">
        <f t="shared" si="83"/>
        <v>0</v>
      </c>
    </row>
    <row r="1332" spans="27:30" x14ac:dyDescent="0.3">
      <c r="AA1332">
        <f t="shared" si="80"/>
        <v>0</v>
      </c>
      <c r="AB1332">
        <f t="shared" si="81"/>
        <v>0</v>
      </c>
      <c r="AC1332">
        <f t="shared" si="82"/>
        <v>0</v>
      </c>
      <c r="AD1332">
        <f t="shared" si="83"/>
        <v>0</v>
      </c>
    </row>
    <row r="1333" spans="27:30" x14ac:dyDescent="0.3">
      <c r="AA1333">
        <f t="shared" si="80"/>
        <v>0</v>
      </c>
      <c r="AB1333">
        <f t="shared" si="81"/>
        <v>0</v>
      </c>
      <c r="AC1333">
        <f t="shared" si="82"/>
        <v>0</v>
      </c>
      <c r="AD1333">
        <f t="shared" si="83"/>
        <v>0</v>
      </c>
    </row>
    <row r="1334" spans="27:30" x14ac:dyDescent="0.3">
      <c r="AA1334">
        <f t="shared" si="80"/>
        <v>0</v>
      </c>
      <c r="AB1334">
        <f t="shared" si="81"/>
        <v>0</v>
      </c>
      <c r="AC1334">
        <f t="shared" si="82"/>
        <v>0</v>
      </c>
      <c r="AD1334">
        <f t="shared" si="83"/>
        <v>0</v>
      </c>
    </row>
    <row r="1335" spans="27:30" x14ac:dyDescent="0.3">
      <c r="AA1335">
        <f t="shared" si="80"/>
        <v>0</v>
      </c>
      <c r="AB1335">
        <f t="shared" si="81"/>
        <v>0</v>
      </c>
      <c r="AC1335">
        <f t="shared" si="82"/>
        <v>0</v>
      </c>
      <c r="AD1335">
        <f t="shared" si="83"/>
        <v>0</v>
      </c>
    </row>
    <row r="1336" spans="27:30" x14ac:dyDescent="0.3">
      <c r="AA1336">
        <f t="shared" si="80"/>
        <v>0</v>
      </c>
      <c r="AB1336">
        <f t="shared" si="81"/>
        <v>0</v>
      </c>
      <c r="AC1336">
        <f t="shared" si="82"/>
        <v>0</v>
      </c>
      <c r="AD1336">
        <f t="shared" si="83"/>
        <v>0</v>
      </c>
    </row>
    <row r="1337" spans="27:30" x14ac:dyDescent="0.3">
      <c r="AA1337">
        <f t="shared" si="80"/>
        <v>0</v>
      </c>
      <c r="AB1337">
        <f t="shared" si="81"/>
        <v>0</v>
      </c>
      <c r="AC1337">
        <f t="shared" si="82"/>
        <v>0</v>
      </c>
      <c r="AD1337">
        <f t="shared" si="83"/>
        <v>0</v>
      </c>
    </row>
    <row r="1338" spans="27:30" x14ac:dyDescent="0.3">
      <c r="AA1338">
        <f t="shared" si="80"/>
        <v>0</v>
      </c>
      <c r="AB1338">
        <f t="shared" si="81"/>
        <v>0</v>
      </c>
      <c r="AC1338">
        <f t="shared" si="82"/>
        <v>0</v>
      </c>
      <c r="AD1338">
        <f t="shared" si="83"/>
        <v>0</v>
      </c>
    </row>
    <row r="1339" spans="27:30" x14ac:dyDescent="0.3">
      <c r="AA1339">
        <f t="shared" si="80"/>
        <v>0</v>
      </c>
      <c r="AB1339">
        <f t="shared" si="81"/>
        <v>0</v>
      </c>
      <c r="AC1339">
        <f t="shared" si="82"/>
        <v>0</v>
      </c>
      <c r="AD1339">
        <f t="shared" si="83"/>
        <v>0</v>
      </c>
    </row>
    <row r="1340" spans="27:30" x14ac:dyDescent="0.3">
      <c r="AA1340">
        <f t="shared" si="80"/>
        <v>0</v>
      </c>
      <c r="AB1340">
        <f t="shared" si="81"/>
        <v>0</v>
      </c>
      <c r="AC1340">
        <f t="shared" si="82"/>
        <v>0</v>
      </c>
      <c r="AD1340">
        <f t="shared" si="83"/>
        <v>0</v>
      </c>
    </row>
    <row r="1341" spans="27:30" x14ac:dyDescent="0.3">
      <c r="AA1341">
        <f t="shared" si="80"/>
        <v>0</v>
      </c>
      <c r="AB1341">
        <f t="shared" si="81"/>
        <v>0</v>
      </c>
      <c r="AC1341">
        <f t="shared" si="82"/>
        <v>0</v>
      </c>
      <c r="AD1341">
        <f t="shared" si="83"/>
        <v>0</v>
      </c>
    </row>
    <row r="1342" spans="27:30" x14ac:dyDescent="0.3">
      <c r="AA1342">
        <f t="shared" si="80"/>
        <v>0</v>
      </c>
      <c r="AB1342">
        <f t="shared" si="81"/>
        <v>0</v>
      </c>
      <c r="AC1342">
        <f t="shared" si="82"/>
        <v>0</v>
      </c>
      <c r="AD1342">
        <f t="shared" si="83"/>
        <v>0</v>
      </c>
    </row>
    <row r="1343" spans="27:30" x14ac:dyDescent="0.3">
      <c r="AA1343">
        <f t="shared" si="80"/>
        <v>0</v>
      </c>
      <c r="AB1343">
        <f t="shared" si="81"/>
        <v>0</v>
      </c>
      <c r="AC1343">
        <f t="shared" si="82"/>
        <v>0</v>
      </c>
      <c r="AD1343">
        <f t="shared" si="83"/>
        <v>0</v>
      </c>
    </row>
    <row r="1344" spans="27:30" x14ac:dyDescent="0.3">
      <c r="AA1344">
        <f t="shared" si="80"/>
        <v>0</v>
      </c>
      <c r="AB1344">
        <f t="shared" si="81"/>
        <v>0</v>
      </c>
      <c r="AC1344">
        <f t="shared" si="82"/>
        <v>0</v>
      </c>
      <c r="AD1344">
        <f t="shared" si="83"/>
        <v>0</v>
      </c>
    </row>
    <row r="1345" spans="27:30" x14ac:dyDescent="0.3">
      <c r="AA1345">
        <f t="shared" si="80"/>
        <v>0</v>
      </c>
      <c r="AB1345">
        <f t="shared" si="81"/>
        <v>0</v>
      </c>
      <c r="AC1345">
        <f t="shared" si="82"/>
        <v>0</v>
      </c>
      <c r="AD1345">
        <f t="shared" si="83"/>
        <v>0</v>
      </c>
    </row>
    <row r="1346" spans="27:30" x14ac:dyDescent="0.3">
      <c r="AA1346">
        <f t="shared" si="80"/>
        <v>0</v>
      </c>
      <c r="AB1346">
        <f t="shared" si="81"/>
        <v>0</v>
      </c>
      <c r="AC1346">
        <f t="shared" si="82"/>
        <v>0</v>
      </c>
      <c r="AD1346">
        <f t="shared" si="83"/>
        <v>0</v>
      </c>
    </row>
    <row r="1347" spans="27:30" x14ac:dyDescent="0.3">
      <c r="AA1347">
        <f t="shared" si="80"/>
        <v>0</v>
      </c>
      <c r="AB1347">
        <f t="shared" si="81"/>
        <v>0</v>
      </c>
      <c r="AC1347">
        <f t="shared" si="82"/>
        <v>0</v>
      </c>
      <c r="AD1347">
        <f t="shared" si="83"/>
        <v>0</v>
      </c>
    </row>
    <row r="1348" spans="27:30" x14ac:dyDescent="0.3">
      <c r="AA1348">
        <f t="shared" si="80"/>
        <v>0</v>
      </c>
      <c r="AB1348">
        <f t="shared" si="81"/>
        <v>0</v>
      </c>
      <c r="AC1348">
        <f t="shared" si="82"/>
        <v>0</v>
      </c>
      <c r="AD1348">
        <f t="shared" si="83"/>
        <v>0</v>
      </c>
    </row>
    <row r="1349" spans="27:30" x14ac:dyDescent="0.3">
      <c r="AA1349">
        <f t="shared" ref="AA1349:AA1412" si="84">ROUND(Z1349,0)</f>
        <v>0</v>
      </c>
      <c r="AB1349">
        <f t="shared" ref="AB1349:AB1412" si="85">IF(AA1349=Y1349,0,1)</f>
        <v>0</v>
      </c>
      <c r="AC1349">
        <f t="shared" ref="AC1349:AC1412" si="86">IF(AA1349&lt;Y1349+5,IF(AA1349&gt;Y1349-5,0,1),1)</f>
        <v>0</v>
      </c>
      <c r="AD1349">
        <f t="shared" ref="AD1349:AD1412" si="87">IF(AA1349&lt;Y1349+10,IF(AA1349&gt;Y1349-10,0,1),1)</f>
        <v>0</v>
      </c>
    </row>
    <row r="1350" spans="27:30" x14ac:dyDescent="0.3">
      <c r="AA1350">
        <f t="shared" si="84"/>
        <v>0</v>
      </c>
      <c r="AB1350">
        <f t="shared" si="85"/>
        <v>0</v>
      </c>
      <c r="AC1350">
        <f t="shared" si="86"/>
        <v>0</v>
      </c>
      <c r="AD1350">
        <f t="shared" si="87"/>
        <v>0</v>
      </c>
    </row>
    <row r="1351" spans="27:30" x14ac:dyDescent="0.3">
      <c r="AA1351">
        <f t="shared" si="84"/>
        <v>0</v>
      </c>
      <c r="AB1351">
        <f t="shared" si="85"/>
        <v>0</v>
      </c>
      <c r="AC1351">
        <f t="shared" si="86"/>
        <v>0</v>
      </c>
      <c r="AD1351">
        <f t="shared" si="87"/>
        <v>0</v>
      </c>
    </row>
    <row r="1352" spans="27:30" x14ac:dyDescent="0.3">
      <c r="AA1352">
        <f t="shared" si="84"/>
        <v>0</v>
      </c>
      <c r="AB1352">
        <f t="shared" si="85"/>
        <v>0</v>
      </c>
      <c r="AC1352">
        <f t="shared" si="86"/>
        <v>0</v>
      </c>
      <c r="AD1352">
        <f t="shared" si="87"/>
        <v>0</v>
      </c>
    </row>
    <row r="1353" spans="27:30" x14ac:dyDescent="0.3">
      <c r="AA1353">
        <f t="shared" si="84"/>
        <v>0</v>
      </c>
      <c r="AB1353">
        <f t="shared" si="85"/>
        <v>0</v>
      </c>
      <c r="AC1353">
        <f t="shared" si="86"/>
        <v>0</v>
      </c>
      <c r="AD1353">
        <f t="shared" si="87"/>
        <v>0</v>
      </c>
    </row>
    <row r="1354" spans="27:30" x14ac:dyDescent="0.3">
      <c r="AA1354">
        <f t="shared" si="84"/>
        <v>0</v>
      </c>
      <c r="AB1354">
        <f t="shared" si="85"/>
        <v>0</v>
      </c>
      <c r="AC1354">
        <f t="shared" si="86"/>
        <v>0</v>
      </c>
      <c r="AD1354">
        <f t="shared" si="87"/>
        <v>0</v>
      </c>
    </row>
    <row r="1355" spans="27:30" x14ac:dyDescent="0.3">
      <c r="AA1355">
        <f t="shared" si="84"/>
        <v>0</v>
      </c>
      <c r="AB1355">
        <f t="shared" si="85"/>
        <v>0</v>
      </c>
      <c r="AC1355">
        <f t="shared" si="86"/>
        <v>0</v>
      </c>
      <c r="AD1355">
        <f t="shared" si="87"/>
        <v>0</v>
      </c>
    </row>
    <row r="1356" spans="27:30" x14ac:dyDescent="0.3">
      <c r="AA1356">
        <f t="shared" si="84"/>
        <v>0</v>
      </c>
      <c r="AB1356">
        <f t="shared" si="85"/>
        <v>0</v>
      </c>
      <c r="AC1356">
        <f t="shared" si="86"/>
        <v>0</v>
      </c>
      <c r="AD1356">
        <f t="shared" si="87"/>
        <v>0</v>
      </c>
    </row>
    <row r="1357" spans="27:30" x14ac:dyDescent="0.3">
      <c r="AA1357">
        <f t="shared" si="84"/>
        <v>0</v>
      </c>
      <c r="AB1357">
        <f t="shared" si="85"/>
        <v>0</v>
      </c>
      <c r="AC1357">
        <f t="shared" si="86"/>
        <v>0</v>
      </c>
      <c r="AD1357">
        <f t="shared" si="87"/>
        <v>0</v>
      </c>
    </row>
    <row r="1358" spans="27:30" x14ac:dyDescent="0.3">
      <c r="AA1358">
        <f t="shared" si="84"/>
        <v>0</v>
      </c>
      <c r="AB1358">
        <f t="shared" si="85"/>
        <v>0</v>
      </c>
      <c r="AC1358">
        <f t="shared" si="86"/>
        <v>0</v>
      </c>
      <c r="AD1358">
        <f t="shared" si="87"/>
        <v>0</v>
      </c>
    </row>
    <row r="1359" spans="27:30" x14ac:dyDescent="0.3">
      <c r="AA1359">
        <f t="shared" si="84"/>
        <v>0</v>
      </c>
      <c r="AB1359">
        <f t="shared" si="85"/>
        <v>0</v>
      </c>
      <c r="AC1359">
        <f t="shared" si="86"/>
        <v>0</v>
      </c>
      <c r="AD1359">
        <f t="shared" si="87"/>
        <v>0</v>
      </c>
    </row>
    <row r="1360" spans="27:30" x14ac:dyDescent="0.3">
      <c r="AA1360">
        <f t="shared" si="84"/>
        <v>0</v>
      </c>
      <c r="AB1360">
        <f t="shared" si="85"/>
        <v>0</v>
      </c>
      <c r="AC1360">
        <f t="shared" si="86"/>
        <v>0</v>
      </c>
      <c r="AD1360">
        <f t="shared" si="87"/>
        <v>0</v>
      </c>
    </row>
    <row r="1361" spans="27:30" x14ac:dyDescent="0.3">
      <c r="AA1361">
        <f t="shared" si="84"/>
        <v>0</v>
      </c>
      <c r="AB1361">
        <f t="shared" si="85"/>
        <v>0</v>
      </c>
      <c r="AC1361">
        <f t="shared" si="86"/>
        <v>0</v>
      </c>
      <c r="AD1361">
        <f t="shared" si="87"/>
        <v>0</v>
      </c>
    </row>
    <row r="1362" spans="27:30" x14ac:dyDescent="0.3">
      <c r="AA1362">
        <f t="shared" si="84"/>
        <v>0</v>
      </c>
      <c r="AB1362">
        <f t="shared" si="85"/>
        <v>0</v>
      </c>
      <c r="AC1362">
        <f t="shared" si="86"/>
        <v>0</v>
      </c>
      <c r="AD1362">
        <f t="shared" si="87"/>
        <v>0</v>
      </c>
    </row>
    <row r="1363" spans="27:30" x14ac:dyDescent="0.3">
      <c r="AA1363">
        <f t="shared" si="84"/>
        <v>0</v>
      </c>
      <c r="AB1363">
        <f t="shared" si="85"/>
        <v>0</v>
      </c>
      <c r="AC1363">
        <f t="shared" si="86"/>
        <v>0</v>
      </c>
      <c r="AD1363">
        <f t="shared" si="87"/>
        <v>0</v>
      </c>
    </row>
    <row r="1364" spans="27:30" x14ac:dyDescent="0.3">
      <c r="AA1364">
        <f t="shared" si="84"/>
        <v>0</v>
      </c>
      <c r="AB1364">
        <f t="shared" si="85"/>
        <v>0</v>
      </c>
      <c r="AC1364">
        <f t="shared" si="86"/>
        <v>0</v>
      </c>
      <c r="AD1364">
        <f t="shared" si="87"/>
        <v>0</v>
      </c>
    </row>
    <row r="1365" spans="27:30" x14ac:dyDescent="0.3">
      <c r="AA1365">
        <f t="shared" si="84"/>
        <v>0</v>
      </c>
      <c r="AB1365">
        <f t="shared" si="85"/>
        <v>0</v>
      </c>
      <c r="AC1365">
        <f t="shared" si="86"/>
        <v>0</v>
      </c>
      <c r="AD1365">
        <f t="shared" si="87"/>
        <v>0</v>
      </c>
    </row>
    <row r="1366" spans="27:30" x14ac:dyDescent="0.3">
      <c r="AA1366">
        <f t="shared" si="84"/>
        <v>0</v>
      </c>
      <c r="AB1366">
        <f t="shared" si="85"/>
        <v>0</v>
      </c>
      <c r="AC1366">
        <f t="shared" si="86"/>
        <v>0</v>
      </c>
      <c r="AD1366">
        <f t="shared" si="87"/>
        <v>0</v>
      </c>
    </row>
    <row r="1367" spans="27:30" x14ac:dyDescent="0.3">
      <c r="AA1367">
        <f t="shared" si="84"/>
        <v>0</v>
      </c>
      <c r="AB1367">
        <f t="shared" si="85"/>
        <v>0</v>
      </c>
      <c r="AC1367">
        <f t="shared" si="86"/>
        <v>0</v>
      </c>
      <c r="AD1367">
        <f t="shared" si="87"/>
        <v>0</v>
      </c>
    </row>
    <row r="1368" spans="27:30" x14ac:dyDescent="0.3">
      <c r="AA1368">
        <f t="shared" si="84"/>
        <v>0</v>
      </c>
      <c r="AB1368">
        <f t="shared" si="85"/>
        <v>0</v>
      </c>
      <c r="AC1368">
        <f t="shared" si="86"/>
        <v>0</v>
      </c>
      <c r="AD1368">
        <f t="shared" si="87"/>
        <v>0</v>
      </c>
    </row>
    <row r="1369" spans="27:30" x14ac:dyDescent="0.3">
      <c r="AA1369">
        <f t="shared" si="84"/>
        <v>0</v>
      </c>
      <c r="AB1369">
        <f t="shared" si="85"/>
        <v>0</v>
      </c>
      <c r="AC1369">
        <f t="shared" si="86"/>
        <v>0</v>
      </c>
      <c r="AD1369">
        <f t="shared" si="87"/>
        <v>0</v>
      </c>
    </row>
    <row r="1370" spans="27:30" x14ac:dyDescent="0.3">
      <c r="AA1370">
        <f t="shared" si="84"/>
        <v>0</v>
      </c>
      <c r="AB1370">
        <f t="shared" si="85"/>
        <v>0</v>
      </c>
      <c r="AC1370">
        <f t="shared" si="86"/>
        <v>0</v>
      </c>
      <c r="AD1370">
        <f t="shared" si="87"/>
        <v>0</v>
      </c>
    </row>
    <row r="1371" spans="27:30" x14ac:dyDescent="0.3">
      <c r="AA1371">
        <f t="shared" si="84"/>
        <v>0</v>
      </c>
      <c r="AB1371">
        <f t="shared" si="85"/>
        <v>0</v>
      </c>
      <c r="AC1371">
        <f t="shared" si="86"/>
        <v>0</v>
      </c>
      <c r="AD1371">
        <f t="shared" si="87"/>
        <v>0</v>
      </c>
    </row>
    <row r="1372" spans="27:30" x14ac:dyDescent="0.3">
      <c r="AA1372">
        <f t="shared" si="84"/>
        <v>0</v>
      </c>
      <c r="AB1372">
        <f t="shared" si="85"/>
        <v>0</v>
      </c>
      <c r="AC1372">
        <f t="shared" si="86"/>
        <v>0</v>
      </c>
      <c r="AD1372">
        <f t="shared" si="87"/>
        <v>0</v>
      </c>
    </row>
    <row r="1373" spans="27:30" x14ac:dyDescent="0.3">
      <c r="AA1373">
        <f t="shared" si="84"/>
        <v>0</v>
      </c>
      <c r="AB1373">
        <f t="shared" si="85"/>
        <v>0</v>
      </c>
      <c r="AC1373">
        <f t="shared" si="86"/>
        <v>0</v>
      </c>
      <c r="AD1373">
        <f t="shared" si="87"/>
        <v>0</v>
      </c>
    </row>
    <row r="1374" spans="27:30" x14ac:dyDescent="0.3">
      <c r="AA1374">
        <f t="shared" si="84"/>
        <v>0</v>
      </c>
      <c r="AB1374">
        <f t="shared" si="85"/>
        <v>0</v>
      </c>
      <c r="AC1374">
        <f t="shared" si="86"/>
        <v>0</v>
      </c>
      <c r="AD1374">
        <f t="shared" si="87"/>
        <v>0</v>
      </c>
    </row>
    <row r="1375" spans="27:30" x14ac:dyDescent="0.3">
      <c r="AA1375">
        <f t="shared" si="84"/>
        <v>0</v>
      </c>
      <c r="AB1375">
        <f t="shared" si="85"/>
        <v>0</v>
      </c>
      <c r="AC1375">
        <f t="shared" si="86"/>
        <v>0</v>
      </c>
      <c r="AD1375">
        <f t="shared" si="87"/>
        <v>0</v>
      </c>
    </row>
    <row r="1376" spans="27:30" x14ac:dyDescent="0.3">
      <c r="AA1376">
        <f t="shared" si="84"/>
        <v>0</v>
      </c>
      <c r="AB1376">
        <f t="shared" si="85"/>
        <v>0</v>
      </c>
      <c r="AC1376">
        <f t="shared" si="86"/>
        <v>0</v>
      </c>
      <c r="AD1376">
        <f t="shared" si="87"/>
        <v>0</v>
      </c>
    </row>
    <row r="1377" spans="27:30" x14ac:dyDescent="0.3">
      <c r="AA1377">
        <f t="shared" si="84"/>
        <v>0</v>
      </c>
      <c r="AB1377">
        <f t="shared" si="85"/>
        <v>0</v>
      </c>
      <c r="AC1377">
        <f t="shared" si="86"/>
        <v>0</v>
      </c>
      <c r="AD1377">
        <f t="shared" si="87"/>
        <v>0</v>
      </c>
    </row>
    <row r="1378" spans="27:30" x14ac:dyDescent="0.3">
      <c r="AA1378">
        <f t="shared" si="84"/>
        <v>0</v>
      </c>
      <c r="AB1378">
        <f t="shared" si="85"/>
        <v>0</v>
      </c>
      <c r="AC1378">
        <f t="shared" si="86"/>
        <v>0</v>
      </c>
      <c r="AD1378">
        <f t="shared" si="87"/>
        <v>0</v>
      </c>
    </row>
    <row r="1379" spans="27:30" x14ac:dyDescent="0.3">
      <c r="AA1379">
        <f t="shared" si="84"/>
        <v>0</v>
      </c>
      <c r="AB1379">
        <f t="shared" si="85"/>
        <v>0</v>
      </c>
      <c r="AC1379">
        <f t="shared" si="86"/>
        <v>0</v>
      </c>
      <c r="AD1379">
        <f t="shared" si="87"/>
        <v>0</v>
      </c>
    </row>
    <row r="1380" spans="27:30" x14ac:dyDescent="0.3">
      <c r="AA1380">
        <f t="shared" si="84"/>
        <v>0</v>
      </c>
      <c r="AB1380">
        <f t="shared" si="85"/>
        <v>0</v>
      </c>
      <c r="AC1380">
        <f t="shared" si="86"/>
        <v>0</v>
      </c>
      <c r="AD1380">
        <f t="shared" si="87"/>
        <v>0</v>
      </c>
    </row>
    <row r="1381" spans="27:30" x14ac:dyDescent="0.3">
      <c r="AA1381">
        <f t="shared" si="84"/>
        <v>0</v>
      </c>
      <c r="AB1381">
        <f t="shared" si="85"/>
        <v>0</v>
      </c>
      <c r="AC1381">
        <f t="shared" si="86"/>
        <v>0</v>
      </c>
      <c r="AD1381">
        <f t="shared" si="87"/>
        <v>0</v>
      </c>
    </row>
    <row r="1382" spans="27:30" x14ac:dyDescent="0.3">
      <c r="AA1382">
        <f t="shared" si="84"/>
        <v>0</v>
      </c>
      <c r="AB1382">
        <f t="shared" si="85"/>
        <v>0</v>
      </c>
      <c r="AC1382">
        <f t="shared" si="86"/>
        <v>0</v>
      </c>
      <c r="AD1382">
        <f t="shared" si="87"/>
        <v>0</v>
      </c>
    </row>
    <row r="1383" spans="27:30" x14ac:dyDescent="0.3">
      <c r="AA1383">
        <f t="shared" si="84"/>
        <v>0</v>
      </c>
      <c r="AB1383">
        <f t="shared" si="85"/>
        <v>0</v>
      </c>
      <c r="AC1383">
        <f t="shared" si="86"/>
        <v>0</v>
      </c>
      <c r="AD1383">
        <f t="shared" si="87"/>
        <v>0</v>
      </c>
    </row>
    <row r="1384" spans="27:30" x14ac:dyDescent="0.3">
      <c r="AA1384">
        <f t="shared" si="84"/>
        <v>0</v>
      </c>
      <c r="AB1384">
        <f t="shared" si="85"/>
        <v>0</v>
      </c>
      <c r="AC1384">
        <f t="shared" si="86"/>
        <v>0</v>
      </c>
      <c r="AD1384">
        <f t="shared" si="87"/>
        <v>0</v>
      </c>
    </row>
    <row r="1385" spans="27:30" x14ac:dyDescent="0.3">
      <c r="AA1385">
        <f t="shared" si="84"/>
        <v>0</v>
      </c>
      <c r="AB1385">
        <f t="shared" si="85"/>
        <v>0</v>
      </c>
      <c r="AC1385">
        <f t="shared" si="86"/>
        <v>0</v>
      </c>
      <c r="AD1385">
        <f t="shared" si="87"/>
        <v>0</v>
      </c>
    </row>
    <row r="1386" spans="27:30" x14ac:dyDescent="0.3">
      <c r="AA1386">
        <f t="shared" si="84"/>
        <v>0</v>
      </c>
      <c r="AB1386">
        <f t="shared" si="85"/>
        <v>0</v>
      </c>
      <c r="AC1386">
        <f t="shared" si="86"/>
        <v>0</v>
      </c>
      <c r="AD1386">
        <f t="shared" si="87"/>
        <v>0</v>
      </c>
    </row>
    <row r="1387" spans="27:30" x14ac:dyDescent="0.3">
      <c r="AA1387">
        <f t="shared" si="84"/>
        <v>0</v>
      </c>
      <c r="AB1387">
        <f t="shared" si="85"/>
        <v>0</v>
      </c>
      <c r="AC1387">
        <f t="shared" si="86"/>
        <v>0</v>
      </c>
      <c r="AD1387">
        <f t="shared" si="87"/>
        <v>0</v>
      </c>
    </row>
    <row r="1388" spans="27:30" x14ac:dyDescent="0.3">
      <c r="AA1388">
        <f t="shared" si="84"/>
        <v>0</v>
      </c>
      <c r="AB1388">
        <f t="shared" si="85"/>
        <v>0</v>
      </c>
      <c r="AC1388">
        <f t="shared" si="86"/>
        <v>0</v>
      </c>
      <c r="AD1388">
        <f t="shared" si="87"/>
        <v>0</v>
      </c>
    </row>
    <row r="1389" spans="27:30" x14ac:dyDescent="0.3">
      <c r="AA1389">
        <f t="shared" si="84"/>
        <v>0</v>
      </c>
      <c r="AB1389">
        <f t="shared" si="85"/>
        <v>0</v>
      </c>
      <c r="AC1389">
        <f t="shared" si="86"/>
        <v>0</v>
      </c>
      <c r="AD1389">
        <f t="shared" si="87"/>
        <v>0</v>
      </c>
    </row>
    <row r="1390" spans="27:30" x14ac:dyDescent="0.3">
      <c r="AA1390">
        <f t="shared" si="84"/>
        <v>0</v>
      </c>
      <c r="AB1390">
        <f t="shared" si="85"/>
        <v>0</v>
      </c>
      <c r="AC1390">
        <f t="shared" si="86"/>
        <v>0</v>
      </c>
      <c r="AD1390">
        <f t="shared" si="87"/>
        <v>0</v>
      </c>
    </row>
    <row r="1391" spans="27:30" x14ac:dyDescent="0.3">
      <c r="AA1391">
        <f t="shared" si="84"/>
        <v>0</v>
      </c>
      <c r="AB1391">
        <f t="shared" si="85"/>
        <v>0</v>
      </c>
      <c r="AC1391">
        <f t="shared" si="86"/>
        <v>0</v>
      </c>
      <c r="AD1391">
        <f t="shared" si="87"/>
        <v>0</v>
      </c>
    </row>
    <row r="1392" spans="27:30" x14ac:dyDescent="0.3">
      <c r="AA1392">
        <f t="shared" si="84"/>
        <v>0</v>
      </c>
      <c r="AB1392">
        <f t="shared" si="85"/>
        <v>0</v>
      </c>
      <c r="AC1392">
        <f t="shared" si="86"/>
        <v>0</v>
      </c>
      <c r="AD1392">
        <f t="shared" si="87"/>
        <v>0</v>
      </c>
    </row>
    <row r="1393" spans="27:30" x14ac:dyDescent="0.3">
      <c r="AA1393">
        <f t="shared" si="84"/>
        <v>0</v>
      </c>
      <c r="AB1393">
        <f t="shared" si="85"/>
        <v>0</v>
      </c>
      <c r="AC1393">
        <f t="shared" si="86"/>
        <v>0</v>
      </c>
      <c r="AD1393">
        <f t="shared" si="87"/>
        <v>0</v>
      </c>
    </row>
    <row r="1394" spans="27:30" x14ac:dyDescent="0.3">
      <c r="AA1394">
        <f t="shared" si="84"/>
        <v>0</v>
      </c>
      <c r="AB1394">
        <f t="shared" si="85"/>
        <v>0</v>
      </c>
      <c r="AC1394">
        <f t="shared" si="86"/>
        <v>0</v>
      </c>
      <c r="AD1394">
        <f t="shared" si="87"/>
        <v>0</v>
      </c>
    </row>
    <row r="1395" spans="27:30" x14ac:dyDescent="0.3">
      <c r="AA1395">
        <f t="shared" si="84"/>
        <v>0</v>
      </c>
      <c r="AB1395">
        <f t="shared" si="85"/>
        <v>0</v>
      </c>
      <c r="AC1395">
        <f t="shared" si="86"/>
        <v>0</v>
      </c>
      <c r="AD1395">
        <f t="shared" si="87"/>
        <v>0</v>
      </c>
    </row>
    <row r="1396" spans="27:30" x14ac:dyDescent="0.3">
      <c r="AA1396">
        <f t="shared" si="84"/>
        <v>0</v>
      </c>
      <c r="AB1396">
        <f t="shared" si="85"/>
        <v>0</v>
      </c>
      <c r="AC1396">
        <f t="shared" si="86"/>
        <v>0</v>
      </c>
      <c r="AD1396">
        <f t="shared" si="87"/>
        <v>0</v>
      </c>
    </row>
    <row r="1397" spans="27:30" x14ac:dyDescent="0.3">
      <c r="AA1397">
        <f t="shared" si="84"/>
        <v>0</v>
      </c>
      <c r="AB1397">
        <f t="shared" si="85"/>
        <v>0</v>
      </c>
      <c r="AC1397">
        <f t="shared" si="86"/>
        <v>0</v>
      </c>
      <c r="AD1397">
        <f t="shared" si="87"/>
        <v>0</v>
      </c>
    </row>
    <row r="1398" spans="27:30" x14ac:dyDescent="0.3">
      <c r="AA1398">
        <f t="shared" si="84"/>
        <v>0</v>
      </c>
      <c r="AB1398">
        <f t="shared" si="85"/>
        <v>0</v>
      </c>
      <c r="AC1398">
        <f t="shared" si="86"/>
        <v>0</v>
      </c>
      <c r="AD1398">
        <f t="shared" si="87"/>
        <v>0</v>
      </c>
    </row>
    <row r="1399" spans="27:30" x14ac:dyDescent="0.3">
      <c r="AA1399">
        <f t="shared" si="84"/>
        <v>0</v>
      </c>
      <c r="AB1399">
        <f t="shared" si="85"/>
        <v>0</v>
      </c>
      <c r="AC1399">
        <f t="shared" si="86"/>
        <v>0</v>
      </c>
      <c r="AD1399">
        <f t="shared" si="87"/>
        <v>0</v>
      </c>
    </row>
    <row r="1400" spans="27:30" x14ac:dyDescent="0.3">
      <c r="AA1400">
        <f t="shared" si="84"/>
        <v>0</v>
      </c>
      <c r="AB1400">
        <f t="shared" si="85"/>
        <v>0</v>
      </c>
      <c r="AC1400">
        <f t="shared" si="86"/>
        <v>0</v>
      </c>
      <c r="AD1400">
        <f t="shared" si="87"/>
        <v>0</v>
      </c>
    </row>
    <row r="1401" spans="27:30" x14ac:dyDescent="0.3">
      <c r="AA1401">
        <f t="shared" si="84"/>
        <v>0</v>
      </c>
      <c r="AB1401">
        <f t="shared" si="85"/>
        <v>0</v>
      </c>
      <c r="AC1401">
        <f t="shared" si="86"/>
        <v>0</v>
      </c>
      <c r="AD1401">
        <f t="shared" si="87"/>
        <v>0</v>
      </c>
    </row>
    <row r="1402" spans="27:30" x14ac:dyDescent="0.3">
      <c r="AA1402">
        <f t="shared" si="84"/>
        <v>0</v>
      </c>
      <c r="AB1402">
        <f t="shared" si="85"/>
        <v>0</v>
      </c>
      <c r="AC1402">
        <f t="shared" si="86"/>
        <v>0</v>
      </c>
      <c r="AD1402">
        <f t="shared" si="87"/>
        <v>0</v>
      </c>
    </row>
    <row r="1403" spans="27:30" x14ac:dyDescent="0.3">
      <c r="AA1403">
        <f t="shared" si="84"/>
        <v>0</v>
      </c>
      <c r="AB1403">
        <f t="shared" si="85"/>
        <v>0</v>
      </c>
      <c r="AC1403">
        <f t="shared" si="86"/>
        <v>0</v>
      </c>
      <c r="AD1403">
        <f t="shared" si="87"/>
        <v>0</v>
      </c>
    </row>
    <row r="1404" spans="27:30" x14ac:dyDescent="0.3">
      <c r="AA1404">
        <f t="shared" si="84"/>
        <v>0</v>
      </c>
      <c r="AB1404">
        <f t="shared" si="85"/>
        <v>0</v>
      </c>
      <c r="AC1404">
        <f t="shared" si="86"/>
        <v>0</v>
      </c>
      <c r="AD1404">
        <f t="shared" si="87"/>
        <v>0</v>
      </c>
    </row>
    <row r="1405" spans="27:30" x14ac:dyDescent="0.3">
      <c r="AA1405">
        <f t="shared" si="84"/>
        <v>0</v>
      </c>
      <c r="AB1405">
        <f t="shared" si="85"/>
        <v>0</v>
      </c>
      <c r="AC1405">
        <f t="shared" si="86"/>
        <v>0</v>
      </c>
      <c r="AD1405">
        <f t="shared" si="87"/>
        <v>0</v>
      </c>
    </row>
    <row r="1406" spans="27:30" x14ac:dyDescent="0.3">
      <c r="AA1406">
        <f t="shared" si="84"/>
        <v>0</v>
      </c>
      <c r="AB1406">
        <f t="shared" si="85"/>
        <v>0</v>
      </c>
      <c r="AC1406">
        <f t="shared" si="86"/>
        <v>0</v>
      </c>
      <c r="AD1406">
        <f t="shared" si="87"/>
        <v>0</v>
      </c>
    </row>
    <row r="1407" spans="27:30" x14ac:dyDescent="0.3">
      <c r="AA1407">
        <f t="shared" si="84"/>
        <v>0</v>
      </c>
      <c r="AB1407">
        <f t="shared" si="85"/>
        <v>0</v>
      </c>
      <c r="AC1407">
        <f t="shared" si="86"/>
        <v>0</v>
      </c>
      <c r="AD1407">
        <f t="shared" si="87"/>
        <v>0</v>
      </c>
    </row>
    <row r="1408" spans="27:30" x14ac:dyDescent="0.3">
      <c r="AA1408">
        <f t="shared" si="84"/>
        <v>0</v>
      </c>
      <c r="AB1408">
        <f t="shared" si="85"/>
        <v>0</v>
      </c>
      <c r="AC1408">
        <f t="shared" si="86"/>
        <v>0</v>
      </c>
      <c r="AD1408">
        <f t="shared" si="87"/>
        <v>0</v>
      </c>
    </row>
    <row r="1409" spans="27:30" x14ac:dyDescent="0.3">
      <c r="AA1409">
        <f t="shared" si="84"/>
        <v>0</v>
      </c>
      <c r="AB1409">
        <f t="shared" si="85"/>
        <v>0</v>
      </c>
      <c r="AC1409">
        <f t="shared" si="86"/>
        <v>0</v>
      </c>
      <c r="AD1409">
        <f t="shared" si="87"/>
        <v>0</v>
      </c>
    </row>
    <row r="1410" spans="27:30" x14ac:dyDescent="0.3">
      <c r="AA1410">
        <f t="shared" si="84"/>
        <v>0</v>
      </c>
      <c r="AB1410">
        <f t="shared" si="85"/>
        <v>0</v>
      </c>
      <c r="AC1410">
        <f t="shared" si="86"/>
        <v>0</v>
      </c>
      <c r="AD1410">
        <f t="shared" si="87"/>
        <v>0</v>
      </c>
    </row>
    <row r="1411" spans="27:30" x14ac:dyDescent="0.3">
      <c r="AA1411">
        <f t="shared" si="84"/>
        <v>0</v>
      </c>
      <c r="AB1411">
        <f t="shared" si="85"/>
        <v>0</v>
      </c>
      <c r="AC1411">
        <f t="shared" si="86"/>
        <v>0</v>
      </c>
      <c r="AD1411">
        <f t="shared" si="87"/>
        <v>0</v>
      </c>
    </row>
    <row r="1412" spans="27:30" x14ac:dyDescent="0.3">
      <c r="AA1412">
        <f t="shared" si="84"/>
        <v>0</v>
      </c>
      <c r="AB1412">
        <f t="shared" si="85"/>
        <v>0</v>
      </c>
      <c r="AC1412">
        <f t="shared" si="86"/>
        <v>0</v>
      </c>
      <c r="AD1412">
        <f t="shared" si="87"/>
        <v>0</v>
      </c>
    </row>
    <row r="1413" spans="27:30" x14ac:dyDescent="0.3">
      <c r="AA1413">
        <f t="shared" ref="AA1413:AA1476" si="88">ROUND(Z1413,0)</f>
        <v>0</v>
      </c>
      <c r="AB1413">
        <f t="shared" ref="AB1413:AB1476" si="89">IF(AA1413=Y1413,0,1)</f>
        <v>0</v>
      </c>
      <c r="AC1413">
        <f t="shared" ref="AC1413:AC1476" si="90">IF(AA1413&lt;Y1413+5,IF(AA1413&gt;Y1413-5,0,1),1)</f>
        <v>0</v>
      </c>
      <c r="AD1413">
        <f t="shared" ref="AD1413:AD1476" si="91">IF(AA1413&lt;Y1413+10,IF(AA1413&gt;Y1413-10,0,1),1)</f>
        <v>0</v>
      </c>
    </row>
    <row r="1414" spans="27:30" x14ac:dyDescent="0.3">
      <c r="AA1414">
        <f t="shared" si="88"/>
        <v>0</v>
      </c>
      <c r="AB1414">
        <f t="shared" si="89"/>
        <v>0</v>
      </c>
      <c r="AC1414">
        <f t="shared" si="90"/>
        <v>0</v>
      </c>
      <c r="AD1414">
        <f t="shared" si="91"/>
        <v>0</v>
      </c>
    </row>
    <row r="1415" spans="27:30" x14ac:dyDescent="0.3">
      <c r="AA1415">
        <f t="shared" si="88"/>
        <v>0</v>
      </c>
      <c r="AB1415">
        <f t="shared" si="89"/>
        <v>0</v>
      </c>
      <c r="AC1415">
        <f t="shared" si="90"/>
        <v>0</v>
      </c>
      <c r="AD1415">
        <f t="shared" si="91"/>
        <v>0</v>
      </c>
    </row>
    <row r="1416" spans="27:30" x14ac:dyDescent="0.3">
      <c r="AA1416">
        <f t="shared" si="88"/>
        <v>0</v>
      </c>
      <c r="AB1416">
        <f t="shared" si="89"/>
        <v>0</v>
      </c>
      <c r="AC1416">
        <f t="shared" si="90"/>
        <v>0</v>
      </c>
      <c r="AD1416">
        <f t="shared" si="91"/>
        <v>0</v>
      </c>
    </row>
    <row r="1417" spans="27:30" x14ac:dyDescent="0.3">
      <c r="AA1417">
        <f t="shared" si="88"/>
        <v>0</v>
      </c>
      <c r="AB1417">
        <f t="shared" si="89"/>
        <v>0</v>
      </c>
      <c r="AC1417">
        <f t="shared" si="90"/>
        <v>0</v>
      </c>
      <c r="AD1417">
        <f t="shared" si="91"/>
        <v>0</v>
      </c>
    </row>
    <row r="1418" spans="27:30" x14ac:dyDescent="0.3">
      <c r="AA1418">
        <f t="shared" si="88"/>
        <v>0</v>
      </c>
      <c r="AB1418">
        <f t="shared" si="89"/>
        <v>0</v>
      </c>
      <c r="AC1418">
        <f t="shared" si="90"/>
        <v>0</v>
      </c>
      <c r="AD1418">
        <f t="shared" si="91"/>
        <v>0</v>
      </c>
    </row>
    <row r="1419" spans="27:30" x14ac:dyDescent="0.3">
      <c r="AA1419">
        <f t="shared" si="88"/>
        <v>0</v>
      </c>
      <c r="AB1419">
        <f t="shared" si="89"/>
        <v>0</v>
      </c>
      <c r="AC1419">
        <f t="shared" si="90"/>
        <v>0</v>
      </c>
      <c r="AD1419">
        <f t="shared" si="91"/>
        <v>0</v>
      </c>
    </row>
    <row r="1420" spans="27:30" x14ac:dyDescent="0.3">
      <c r="AA1420">
        <f t="shared" si="88"/>
        <v>0</v>
      </c>
      <c r="AB1420">
        <f t="shared" si="89"/>
        <v>0</v>
      </c>
      <c r="AC1420">
        <f t="shared" si="90"/>
        <v>0</v>
      </c>
      <c r="AD1420">
        <f t="shared" si="91"/>
        <v>0</v>
      </c>
    </row>
    <row r="1421" spans="27:30" x14ac:dyDescent="0.3">
      <c r="AA1421">
        <f t="shared" si="88"/>
        <v>0</v>
      </c>
      <c r="AB1421">
        <f t="shared" si="89"/>
        <v>0</v>
      </c>
      <c r="AC1421">
        <f t="shared" si="90"/>
        <v>0</v>
      </c>
      <c r="AD1421">
        <f t="shared" si="91"/>
        <v>0</v>
      </c>
    </row>
    <row r="1422" spans="27:30" x14ac:dyDescent="0.3">
      <c r="AA1422">
        <f t="shared" si="88"/>
        <v>0</v>
      </c>
      <c r="AB1422">
        <f t="shared" si="89"/>
        <v>0</v>
      </c>
      <c r="AC1422">
        <f t="shared" si="90"/>
        <v>0</v>
      </c>
      <c r="AD1422">
        <f t="shared" si="91"/>
        <v>0</v>
      </c>
    </row>
    <row r="1423" spans="27:30" x14ac:dyDescent="0.3">
      <c r="AA1423">
        <f t="shared" si="88"/>
        <v>0</v>
      </c>
      <c r="AB1423">
        <f t="shared" si="89"/>
        <v>0</v>
      </c>
      <c r="AC1423">
        <f t="shared" si="90"/>
        <v>0</v>
      </c>
      <c r="AD1423">
        <f t="shared" si="91"/>
        <v>0</v>
      </c>
    </row>
    <row r="1424" spans="27:30" x14ac:dyDescent="0.3">
      <c r="AA1424">
        <f t="shared" si="88"/>
        <v>0</v>
      </c>
      <c r="AB1424">
        <f t="shared" si="89"/>
        <v>0</v>
      </c>
      <c r="AC1424">
        <f t="shared" si="90"/>
        <v>0</v>
      </c>
      <c r="AD1424">
        <f t="shared" si="91"/>
        <v>0</v>
      </c>
    </row>
    <row r="1425" spans="27:30" x14ac:dyDescent="0.3">
      <c r="AA1425">
        <f t="shared" si="88"/>
        <v>0</v>
      </c>
      <c r="AB1425">
        <f t="shared" si="89"/>
        <v>0</v>
      </c>
      <c r="AC1425">
        <f t="shared" si="90"/>
        <v>0</v>
      </c>
      <c r="AD1425">
        <f t="shared" si="91"/>
        <v>0</v>
      </c>
    </row>
    <row r="1426" spans="27:30" x14ac:dyDescent="0.3">
      <c r="AA1426">
        <f t="shared" si="88"/>
        <v>0</v>
      </c>
      <c r="AB1426">
        <f t="shared" si="89"/>
        <v>0</v>
      </c>
      <c r="AC1426">
        <f t="shared" si="90"/>
        <v>0</v>
      </c>
      <c r="AD1426">
        <f t="shared" si="91"/>
        <v>0</v>
      </c>
    </row>
    <row r="1427" spans="27:30" x14ac:dyDescent="0.3">
      <c r="AA1427">
        <f t="shared" si="88"/>
        <v>0</v>
      </c>
      <c r="AB1427">
        <f t="shared" si="89"/>
        <v>0</v>
      </c>
      <c r="AC1427">
        <f t="shared" si="90"/>
        <v>0</v>
      </c>
      <c r="AD1427">
        <f t="shared" si="91"/>
        <v>0</v>
      </c>
    </row>
    <row r="1428" spans="27:30" x14ac:dyDescent="0.3">
      <c r="AA1428">
        <f t="shared" si="88"/>
        <v>0</v>
      </c>
      <c r="AB1428">
        <f t="shared" si="89"/>
        <v>0</v>
      </c>
      <c r="AC1428">
        <f t="shared" si="90"/>
        <v>0</v>
      </c>
      <c r="AD1428">
        <f t="shared" si="91"/>
        <v>0</v>
      </c>
    </row>
    <row r="1429" spans="27:30" x14ac:dyDescent="0.3">
      <c r="AA1429">
        <f t="shared" si="88"/>
        <v>0</v>
      </c>
      <c r="AB1429">
        <f t="shared" si="89"/>
        <v>0</v>
      </c>
      <c r="AC1429">
        <f t="shared" si="90"/>
        <v>0</v>
      </c>
      <c r="AD1429">
        <f t="shared" si="91"/>
        <v>0</v>
      </c>
    </row>
    <row r="1430" spans="27:30" x14ac:dyDescent="0.3">
      <c r="AA1430">
        <f t="shared" si="88"/>
        <v>0</v>
      </c>
      <c r="AB1430">
        <f t="shared" si="89"/>
        <v>0</v>
      </c>
      <c r="AC1430">
        <f t="shared" si="90"/>
        <v>0</v>
      </c>
      <c r="AD1430">
        <f t="shared" si="91"/>
        <v>0</v>
      </c>
    </row>
    <row r="1431" spans="27:30" x14ac:dyDescent="0.3">
      <c r="AA1431">
        <f t="shared" si="88"/>
        <v>0</v>
      </c>
      <c r="AB1431">
        <f t="shared" si="89"/>
        <v>0</v>
      </c>
      <c r="AC1431">
        <f t="shared" si="90"/>
        <v>0</v>
      </c>
      <c r="AD1431">
        <f t="shared" si="91"/>
        <v>0</v>
      </c>
    </row>
    <row r="1432" spans="27:30" x14ac:dyDescent="0.3">
      <c r="AA1432">
        <f t="shared" si="88"/>
        <v>0</v>
      </c>
      <c r="AB1432">
        <f t="shared" si="89"/>
        <v>0</v>
      </c>
      <c r="AC1432">
        <f t="shared" si="90"/>
        <v>0</v>
      </c>
      <c r="AD1432">
        <f t="shared" si="91"/>
        <v>0</v>
      </c>
    </row>
    <row r="1433" spans="27:30" x14ac:dyDescent="0.3">
      <c r="AA1433">
        <f t="shared" si="88"/>
        <v>0</v>
      </c>
      <c r="AB1433">
        <f t="shared" si="89"/>
        <v>0</v>
      </c>
      <c r="AC1433">
        <f t="shared" si="90"/>
        <v>0</v>
      </c>
      <c r="AD1433">
        <f t="shared" si="91"/>
        <v>0</v>
      </c>
    </row>
    <row r="1434" spans="27:30" x14ac:dyDescent="0.3">
      <c r="AA1434">
        <f t="shared" si="88"/>
        <v>0</v>
      </c>
      <c r="AB1434">
        <f t="shared" si="89"/>
        <v>0</v>
      </c>
      <c r="AC1434">
        <f t="shared" si="90"/>
        <v>0</v>
      </c>
      <c r="AD1434">
        <f t="shared" si="91"/>
        <v>0</v>
      </c>
    </row>
    <row r="1435" spans="27:30" x14ac:dyDescent="0.3">
      <c r="AA1435">
        <f t="shared" si="88"/>
        <v>0</v>
      </c>
      <c r="AB1435">
        <f t="shared" si="89"/>
        <v>0</v>
      </c>
      <c r="AC1435">
        <f t="shared" si="90"/>
        <v>0</v>
      </c>
      <c r="AD1435">
        <f t="shared" si="91"/>
        <v>0</v>
      </c>
    </row>
    <row r="1436" spans="27:30" x14ac:dyDescent="0.3">
      <c r="AA1436">
        <f t="shared" si="88"/>
        <v>0</v>
      </c>
      <c r="AB1436">
        <f t="shared" si="89"/>
        <v>0</v>
      </c>
      <c r="AC1436">
        <f t="shared" si="90"/>
        <v>0</v>
      </c>
      <c r="AD1436">
        <f t="shared" si="91"/>
        <v>0</v>
      </c>
    </row>
    <row r="1437" spans="27:30" x14ac:dyDescent="0.3">
      <c r="AA1437">
        <f t="shared" si="88"/>
        <v>0</v>
      </c>
      <c r="AB1437">
        <f t="shared" si="89"/>
        <v>0</v>
      </c>
      <c r="AC1437">
        <f t="shared" si="90"/>
        <v>0</v>
      </c>
      <c r="AD1437">
        <f t="shared" si="91"/>
        <v>0</v>
      </c>
    </row>
    <row r="1438" spans="27:30" x14ac:dyDescent="0.3">
      <c r="AA1438">
        <f t="shared" si="88"/>
        <v>0</v>
      </c>
      <c r="AB1438">
        <f t="shared" si="89"/>
        <v>0</v>
      </c>
      <c r="AC1438">
        <f t="shared" si="90"/>
        <v>0</v>
      </c>
      <c r="AD1438">
        <f t="shared" si="91"/>
        <v>0</v>
      </c>
    </row>
    <row r="1439" spans="27:30" x14ac:dyDescent="0.3">
      <c r="AA1439">
        <f t="shared" si="88"/>
        <v>0</v>
      </c>
      <c r="AB1439">
        <f t="shared" si="89"/>
        <v>0</v>
      </c>
      <c r="AC1439">
        <f t="shared" si="90"/>
        <v>0</v>
      </c>
      <c r="AD1439">
        <f t="shared" si="91"/>
        <v>0</v>
      </c>
    </row>
    <row r="1440" spans="27:30" x14ac:dyDescent="0.3">
      <c r="AA1440">
        <f t="shared" si="88"/>
        <v>0</v>
      </c>
      <c r="AB1440">
        <f t="shared" si="89"/>
        <v>0</v>
      </c>
      <c r="AC1440">
        <f t="shared" si="90"/>
        <v>0</v>
      </c>
      <c r="AD1440">
        <f t="shared" si="91"/>
        <v>0</v>
      </c>
    </row>
    <row r="1441" spans="27:30" x14ac:dyDescent="0.3">
      <c r="AA1441">
        <f t="shared" si="88"/>
        <v>0</v>
      </c>
      <c r="AB1441">
        <f t="shared" si="89"/>
        <v>0</v>
      </c>
      <c r="AC1441">
        <f t="shared" si="90"/>
        <v>0</v>
      </c>
      <c r="AD1441">
        <f t="shared" si="91"/>
        <v>0</v>
      </c>
    </row>
    <row r="1442" spans="27:30" x14ac:dyDescent="0.3">
      <c r="AA1442">
        <f t="shared" si="88"/>
        <v>0</v>
      </c>
      <c r="AB1442">
        <f t="shared" si="89"/>
        <v>0</v>
      </c>
      <c r="AC1442">
        <f t="shared" si="90"/>
        <v>0</v>
      </c>
      <c r="AD1442">
        <f t="shared" si="91"/>
        <v>0</v>
      </c>
    </row>
    <row r="1443" spans="27:30" x14ac:dyDescent="0.3">
      <c r="AA1443">
        <f t="shared" si="88"/>
        <v>0</v>
      </c>
      <c r="AB1443">
        <f t="shared" si="89"/>
        <v>0</v>
      </c>
      <c r="AC1443">
        <f t="shared" si="90"/>
        <v>0</v>
      </c>
      <c r="AD1443">
        <f t="shared" si="91"/>
        <v>0</v>
      </c>
    </row>
    <row r="1444" spans="27:30" x14ac:dyDescent="0.3">
      <c r="AA1444">
        <f t="shared" si="88"/>
        <v>0</v>
      </c>
      <c r="AB1444">
        <f t="shared" si="89"/>
        <v>0</v>
      </c>
      <c r="AC1444">
        <f t="shared" si="90"/>
        <v>0</v>
      </c>
      <c r="AD1444">
        <f t="shared" si="91"/>
        <v>0</v>
      </c>
    </row>
    <row r="1445" spans="27:30" x14ac:dyDescent="0.3">
      <c r="AA1445">
        <f t="shared" si="88"/>
        <v>0</v>
      </c>
      <c r="AB1445">
        <f t="shared" si="89"/>
        <v>0</v>
      </c>
      <c r="AC1445">
        <f t="shared" si="90"/>
        <v>0</v>
      </c>
      <c r="AD1445">
        <f t="shared" si="91"/>
        <v>0</v>
      </c>
    </row>
    <row r="1446" spans="27:30" x14ac:dyDescent="0.3">
      <c r="AA1446">
        <f t="shared" si="88"/>
        <v>0</v>
      </c>
      <c r="AB1446">
        <f t="shared" si="89"/>
        <v>0</v>
      </c>
      <c r="AC1446">
        <f t="shared" si="90"/>
        <v>0</v>
      </c>
      <c r="AD1446">
        <f t="shared" si="91"/>
        <v>0</v>
      </c>
    </row>
    <row r="1447" spans="27:30" x14ac:dyDescent="0.3">
      <c r="AA1447">
        <f t="shared" si="88"/>
        <v>0</v>
      </c>
      <c r="AB1447">
        <f t="shared" si="89"/>
        <v>0</v>
      </c>
      <c r="AC1447">
        <f t="shared" si="90"/>
        <v>0</v>
      </c>
      <c r="AD1447">
        <f t="shared" si="91"/>
        <v>0</v>
      </c>
    </row>
    <row r="1448" spans="27:30" x14ac:dyDescent="0.3">
      <c r="AA1448">
        <f t="shared" si="88"/>
        <v>0</v>
      </c>
      <c r="AB1448">
        <f t="shared" si="89"/>
        <v>0</v>
      </c>
      <c r="AC1448">
        <f t="shared" si="90"/>
        <v>0</v>
      </c>
      <c r="AD1448">
        <f t="shared" si="91"/>
        <v>0</v>
      </c>
    </row>
    <row r="1449" spans="27:30" x14ac:dyDescent="0.3">
      <c r="AA1449">
        <f t="shared" si="88"/>
        <v>0</v>
      </c>
      <c r="AB1449">
        <f t="shared" si="89"/>
        <v>0</v>
      </c>
      <c r="AC1449">
        <f t="shared" si="90"/>
        <v>0</v>
      </c>
      <c r="AD1449">
        <f t="shared" si="91"/>
        <v>0</v>
      </c>
    </row>
    <row r="1450" spans="27:30" x14ac:dyDescent="0.3">
      <c r="AA1450">
        <f t="shared" si="88"/>
        <v>0</v>
      </c>
      <c r="AB1450">
        <f t="shared" si="89"/>
        <v>0</v>
      </c>
      <c r="AC1450">
        <f t="shared" si="90"/>
        <v>0</v>
      </c>
      <c r="AD1450">
        <f t="shared" si="91"/>
        <v>0</v>
      </c>
    </row>
    <row r="1451" spans="27:30" x14ac:dyDescent="0.3">
      <c r="AA1451">
        <f t="shared" si="88"/>
        <v>0</v>
      </c>
      <c r="AB1451">
        <f t="shared" si="89"/>
        <v>0</v>
      </c>
      <c r="AC1451">
        <f t="shared" si="90"/>
        <v>0</v>
      </c>
      <c r="AD1451">
        <f t="shared" si="91"/>
        <v>0</v>
      </c>
    </row>
    <row r="1452" spans="27:30" x14ac:dyDescent="0.3">
      <c r="AA1452">
        <f t="shared" si="88"/>
        <v>0</v>
      </c>
      <c r="AB1452">
        <f t="shared" si="89"/>
        <v>0</v>
      </c>
      <c r="AC1452">
        <f t="shared" si="90"/>
        <v>0</v>
      </c>
      <c r="AD1452">
        <f t="shared" si="91"/>
        <v>0</v>
      </c>
    </row>
    <row r="1453" spans="27:30" x14ac:dyDescent="0.3">
      <c r="AA1453">
        <f t="shared" si="88"/>
        <v>0</v>
      </c>
      <c r="AB1453">
        <f t="shared" si="89"/>
        <v>0</v>
      </c>
      <c r="AC1453">
        <f t="shared" si="90"/>
        <v>0</v>
      </c>
      <c r="AD1453">
        <f t="shared" si="91"/>
        <v>0</v>
      </c>
    </row>
    <row r="1454" spans="27:30" x14ac:dyDescent="0.3">
      <c r="AA1454">
        <f t="shared" si="88"/>
        <v>0</v>
      </c>
      <c r="AB1454">
        <f t="shared" si="89"/>
        <v>0</v>
      </c>
      <c r="AC1454">
        <f t="shared" si="90"/>
        <v>0</v>
      </c>
      <c r="AD1454">
        <f t="shared" si="91"/>
        <v>0</v>
      </c>
    </row>
    <row r="1455" spans="27:30" x14ac:dyDescent="0.3">
      <c r="AA1455">
        <f t="shared" si="88"/>
        <v>0</v>
      </c>
      <c r="AB1455">
        <f t="shared" si="89"/>
        <v>0</v>
      </c>
      <c r="AC1455">
        <f t="shared" si="90"/>
        <v>0</v>
      </c>
      <c r="AD1455">
        <f t="shared" si="91"/>
        <v>0</v>
      </c>
    </row>
    <row r="1456" spans="27:30" x14ac:dyDescent="0.3">
      <c r="AA1456">
        <f t="shared" si="88"/>
        <v>0</v>
      </c>
      <c r="AB1456">
        <f t="shared" si="89"/>
        <v>0</v>
      </c>
      <c r="AC1456">
        <f t="shared" si="90"/>
        <v>0</v>
      </c>
      <c r="AD1456">
        <f t="shared" si="91"/>
        <v>0</v>
      </c>
    </row>
    <row r="1457" spans="27:30" x14ac:dyDescent="0.3">
      <c r="AA1457">
        <f t="shared" si="88"/>
        <v>0</v>
      </c>
      <c r="AB1457">
        <f t="shared" si="89"/>
        <v>0</v>
      </c>
      <c r="AC1457">
        <f t="shared" si="90"/>
        <v>0</v>
      </c>
      <c r="AD1457">
        <f t="shared" si="91"/>
        <v>0</v>
      </c>
    </row>
    <row r="1458" spans="27:30" x14ac:dyDescent="0.3">
      <c r="AA1458">
        <f t="shared" si="88"/>
        <v>0</v>
      </c>
      <c r="AB1458">
        <f t="shared" si="89"/>
        <v>0</v>
      </c>
      <c r="AC1458">
        <f t="shared" si="90"/>
        <v>0</v>
      </c>
      <c r="AD1458">
        <f t="shared" si="91"/>
        <v>0</v>
      </c>
    </row>
    <row r="1459" spans="27:30" x14ac:dyDescent="0.3">
      <c r="AA1459">
        <f t="shared" si="88"/>
        <v>0</v>
      </c>
      <c r="AB1459">
        <f t="shared" si="89"/>
        <v>0</v>
      </c>
      <c r="AC1459">
        <f t="shared" si="90"/>
        <v>0</v>
      </c>
      <c r="AD1459">
        <f t="shared" si="91"/>
        <v>0</v>
      </c>
    </row>
    <row r="1460" spans="27:30" x14ac:dyDescent="0.3">
      <c r="AA1460">
        <f t="shared" si="88"/>
        <v>0</v>
      </c>
      <c r="AB1460">
        <f t="shared" si="89"/>
        <v>0</v>
      </c>
      <c r="AC1460">
        <f t="shared" si="90"/>
        <v>0</v>
      </c>
      <c r="AD1460">
        <f t="shared" si="91"/>
        <v>0</v>
      </c>
    </row>
    <row r="1461" spans="27:30" x14ac:dyDescent="0.3">
      <c r="AA1461">
        <f t="shared" si="88"/>
        <v>0</v>
      </c>
      <c r="AB1461">
        <f t="shared" si="89"/>
        <v>0</v>
      </c>
      <c r="AC1461">
        <f t="shared" si="90"/>
        <v>0</v>
      </c>
      <c r="AD1461">
        <f t="shared" si="91"/>
        <v>0</v>
      </c>
    </row>
    <row r="1462" spans="27:30" x14ac:dyDescent="0.3">
      <c r="AA1462">
        <f t="shared" si="88"/>
        <v>0</v>
      </c>
      <c r="AB1462">
        <f t="shared" si="89"/>
        <v>0</v>
      </c>
      <c r="AC1462">
        <f t="shared" si="90"/>
        <v>0</v>
      </c>
      <c r="AD1462">
        <f t="shared" si="91"/>
        <v>0</v>
      </c>
    </row>
    <row r="1463" spans="27:30" x14ac:dyDescent="0.3">
      <c r="AA1463">
        <f t="shared" si="88"/>
        <v>0</v>
      </c>
      <c r="AB1463">
        <f t="shared" si="89"/>
        <v>0</v>
      </c>
      <c r="AC1463">
        <f t="shared" si="90"/>
        <v>0</v>
      </c>
      <c r="AD1463">
        <f t="shared" si="91"/>
        <v>0</v>
      </c>
    </row>
    <row r="1464" spans="27:30" x14ac:dyDescent="0.3">
      <c r="AA1464">
        <f t="shared" si="88"/>
        <v>0</v>
      </c>
      <c r="AB1464">
        <f t="shared" si="89"/>
        <v>0</v>
      </c>
      <c r="AC1464">
        <f t="shared" si="90"/>
        <v>0</v>
      </c>
      <c r="AD1464">
        <f t="shared" si="91"/>
        <v>0</v>
      </c>
    </row>
    <row r="1465" spans="27:30" x14ac:dyDescent="0.3">
      <c r="AA1465">
        <f t="shared" si="88"/>
        <v>0</v>
      </c>
      <c r="AB1465">
        <f t="shared" si="89"/>
        <v>0</v>
      </c>
      <c r="AC1465">
        <f t="shared" si="90"/>
        <v>0</v>
      </c>
      <c r="AD1465">
        <f t="shared" si="91"/>
        <v>0</v>
      </c>
    </row>
    <row r="1466" spans="27:30" x14ac:dyDescent="0.3">
      <c r="AA1466">
        <f t="shared" si="88"/>
        <v>0</v>
      </c>
      <c r="AB1466">
        <f t="shared" si="89"/>
        <v>0</v>
      </c>
      <c r="AC1466">
        <f t="shared" si="90"/>
        <v>0</v>
      </c>
      <c r="AD1466">
        <f t="shared" si="91"/>
        <v>0</v>
      </c>
    </row>
    <row r="1467" spans="27:30" x14ac:dyDescent="0.3">
      <c r="AA1467">
        <f t="shared" si="88"/>
        <v>0</v>
      </c>
      <c r="AB1467">
        <f t="shared" si="89"/>
        <v>0</v>
      </c>
      <c r="AC1467">
        <f t="shared" si="90"/>
        <v>0</v>
      </c>
      <c r="AD1467">
        <f t="shared" si="91"/>
        <v>0</v>
      </c>
    </row>
    <row r="1468" spans="27:30" x14ac:dyDescent="0.3">
      <c r="AA1468">
        <f t="shared" si="88"/>
        <v>0</v>
      </c>
      <c r="AB1468">
        <f t="shared" si="89"/>
        <v>0</v>
      </c>
      <c r="AC1468">
        <f t="shared" si="90"/>
        <v>0</v>
      </c>
      <c r="AD1468">
        <f t="shared" si="91"/>
        <v>0</v>
      </c>
    </row>
    <row r="1469" spans="27:30" x14ac:dyDescent="0.3">
      <c r="AA1469">
        <f t="shared" si="88"/>
        <v>0</v>
      </c>
      <c r="AB1469">
        <f t="shared" si="89"/>
        <v>0</v>
      </c>
      <c r="AC1469">
        <f t="shared" si="90"/>
        <v>0</v>
      </c>
      <c r="AD1469">
        <f t="shared" si="91"/>
        <v>0</v>
      </c>
    </row>
    <row r="1470" spans="27:30" x14ac:dyDescent="0.3">
      <c r="AA1470">
        <f t="shared" si="88"/>
        <v>0</v>
      </c>
      <c r="AB1470">
        <f t="shared" si="89"/>
        <v>0</v>
      </c>
      <c r="AC1470">
        <f t="shared" si="90"/>
        <v>0</v>
      </c>
      <c r="AD1470">
        <f t="shared" si="91"/>
        <v>0</v>
      </c>
    </row>
    <row r="1471" spans="27:30" x14ac:dyDescent="0.3">
      <c r="AA1471">
        <f t="shared" si="88"/>
        <v>0</v>
      </c>
      <c r="AB1471">
        <f t="shared" si="89"/>
        <v>0</v>
      </c>
      <c r="AC1471">
        <f t="shared" si="90"/>
        <v>0</v>
      </c>
      <c r="AD1471">
        <f t="shared" si="91"/>
        <v>0</v>
      </c>
    </row>
    <row r="1472" spans="27:30" x14ac:dyDescent="0.3">
      <c r="AA1472">
        <f t="shared" si="88"/>
        <v>0</v>
      </c>
      <c r="AB1472">
        <f t="shared" si="89"/>
        <v>0</v>
      </c>
      <c r="AC1472">
        <f t="shared" si="90"/>
        <v>0</v>
      </c>
      <c r="AD1472">
        <f t="shared" si="91"/>
        <v>0</v>
      </c>
    </row>
    <row r="1473" spans="27:30" x14ac:dyDescent="0.3">
      <c r="AA1473">
        <f t="shared" si="88"/>
        <v>0</v>
      </c>
      <c r="AB1473">
        <f t="shared" si="89"/>
        <v>0</v>
      </c>
      <c r="AC1473">
        <f t="shared" si="90"/>
        <v>0</v>
      </c>
      <c r="AD1473">
        <f t="shared" si="91"/>
        <v>0</v>
      </c>
    </row>
    <row r="1474" spans="27:30" x14ac:dyDescent="0.3">
      <c r="AA1474">
        <f t="shared" si="88"/>
        <v>0</v>
      </c>
      <c r="AB1474">
        <f t="shared" si="89"/>
        <v>0</v>
      </c>
      <c r="AC1474">
        <f t="shared" si="90"/>
        <v>0</v>
      </c>
      <c r="AD1474">
        <f t="shared" si="91"/>
        <v>0</v>
      </c>
    </row>
    <row r="1475" spans="27:30" x14ac:dyDescent="0.3">
      <c r="AA1475">
        <f t="shared" si="88"/>
        <v>0</v>
      </c>
      <c r="AB1475">
        <f t="shared" si="89"/>
        <v>0</v>
      </c>
      <c r="AC1475">
        <f t="shared" si="90"/>
        <v>0</v>
      </c>
      <c r="AD1475">
        <f t="shared" si="91"/>
        <v>0</v>
      </c>
    </row>
    <row r="1476" spans="27:30" x14ac:dyDescent="0.3">
      <c r="AA1476">
        <f t="shared" si="88"/>
        <v>0</v>
      </c>
      <c r="AB1476">
        <f t="shared" si="89"/>
        <v>0</v>
      </c>
      <c r="AC1476">
        <f t="shared" si="90"/>
        <v>0</v>
      </c>
      <c r="AD1476">
        <f t="shared" si="91"/>
        <v>0</v>
      </c>
    </row>
    <row r="1477" spans="27:30" x14ac:dyDescent="0.3">
      <c r="AA1477">
        <f t="shared" ref="AA1477:AA1540" si="92">ROUND(Z1477,0)</f>
        <v>0</v>
      </c>
      <c r="AB1477">
        <f t="shared" ref="AB1477:AB1540" si="93">IF(AA1477=Y1477,0,1)</f>
        <v>0</v>
      </c>
      <c r="AC1477">
        <f t="shared" ref="AC1477:AC1540" si="94">IF(AA1477&lt;Y1477+5,IF(AA1477&gt;Y1477-5,0,1),1)</f>
        <v>0</v>
      </c>
      <c r="AD1477">
        <f t="shared" ref="AD1477:AD1540" si="95">IF(AA1477&lt;Y1477+10,IF(AA1477&gt;Y1477-10,0,1),1)</f>
        <v>0</v>
      </c>
    </row>
    <row r="1478" spans="27:30" x14ac:dyDescent="0.3">
      <c r="AA1478">
        <f t="shared" si="92"/>
        <v>0</v>
      </c>
      <c r="AB1478">
        <f t="shared" si="93"/>
        <v>0</v>
      </c>
      <c r="AC1478">
        <f t="shared" si="94"/>
        <v>0</v>
      </c>
      <c r="AD1478">
        <f t="shared" si="95"/>
        <v>0</v>
      </c>
    </row>
    <row r="1479" spans="27:30" x14ac:dyDescent="0.3">
      <c r="AA1479">
        <f t="shared" si="92"/>
        <v>0</v>
      </c>
      <c r="AB1479">
        <f t="shared" si="93"/>
        <v>0</v>
      </c>
      <c r="AC1479">
        <f t="shared" si="94"/>
        <v>0</v>
      </c>
      <c r="AD1479">
        <f t="shared" si="95"/>
        <v>0</v>
      </c>
    </row>
    <row r="1480" spans="27:30" x14ac:dyDescent="0.3">
      <c r="AA1480">
        <f t="shared" si="92"/>
        <v>0</v>
      </c>
      <c r="AB1480">
        <f t="shared" si="93"/>
        <v>0</v>
      </c>
      <c r="AC1480">
        <f t="shared" si="94"/>
        <v>0</v>
      </c>
      <c r="AD1480">
        <f t="shared" si="95"/>
        <v>0</v>
      </c>
    </row>
    <row r="1481" spans="27:30" x14ac:dyDescent="0.3">
      <c r="AA1481">
        <f t="shared" si="92"/>
        <v>0</v>
      </c>
      <c r="AB1481">
        <f t="shared" si="93"/>
        <v>0</v>
      </c>
      <c r="AC1481">
        <f t="shared" si="94"/>
        <v>0</v>
      </c>
      <c r="AD1481">
        <f t="shared" si="95"/>
        <v>0</v>
      </c>
    </row>
    <row r="1482" spans="27:30" x14ac:dyDescent="0.3">
      <c r="AA1482">
        <f t="shared" si="92"/>
        <v>0</v>
      </c>
      <c r="AB1482">
        <f t="shared" si="93"/>
        <v>0</v>
      </c>
      <c r="AC1482">
        <f t="shared" si="94"/>
        <v>0</v>
      </c>
      <c r="AD1482">
        <f t="shared" si="95"/>
        <v>0</v>
      </c>
    </row>
    <row r="1483" spans="27:30" x14ac:dyDescent="0.3">
      <c r="AA1483">
        <f t="shared" si="92"/>
        <v>0</v>
      </c>
      <c r="AB1483">
        <f t="shared" si="93"/>
        <v>0</v>
      </c>
      <c r="AC1483">
        <f t="shared" si="94"/>
        <v>0</v>
      </c>
      <c r="AD1483">
        <f t="shared" si="95"/>
        <v>0</v>
      </c>
    </row>
    <row r="1484" spans="27:30" x14ac:dyDescent="0.3">
      <c r="AA1484">
        <f t="shared" si="92"/>
        <v>0</v>
      </c>
      <c r="AB1484">
        <f t="shared" si="93"/>
        <v>0</v>
      </c>
      <c r="AC1484">
        <f t="shared" si="94"/>
        <v>0</v>
      </c>
      <c r="AD1484">
        <f t="shared" si="95"/>
        <v>0</v>
      </c>
    </row>
    <row r="1485" spans="27:30" x14ac:dyDescent="0.3">
      <c r="AA1485">
        <f t="shared" si="92"/>
        <v>0</v>
      </c>
      <c r="AB1485">
        <f t="shared" si="93"/>
        <v>0</v>
      </c>
      <c r="AC1485">
        <f t="shared" si="94"/>
        <v>0</v>
      </c>
      <c r="AD1485">
        <f t="shared" si="95"/>
        <v>0</v>
      </c>
    </row>
    <row r="1486" spans="27:30" x14ac:dyDescent="0.3">
      <c r="AA1486">
        <f t="shared" si="92"/>
        <v>0</v>
      </c>
      <c r="AB1486">
        <f t="shared" si="93"/>
        <v>0</v>
      </c>
      <c r="AC1486">
        <f t="shared" si="94"/>
        <v>0</v>
      </c>
      <c r="AD1486">
        <f t="shared" si="95"/>
        <v>0</v>
      </c>
    </row>
    <row r="1487" spans="27:30" x14ac:dyDescent="0.3">
      <c r="AA1487">
        <f t="shared" si="92"/>
        <v>0</v>
      </c>
      <c r="AB1487">
        <f t="shared" si="93"/>
        <v>0</v>
      </c>
      <c r="AC1487">
        <f t="shared" si="94"/>
        <v>0</v>
      </c>
      <c r="AD1487">
        <f t="shared" si="95"/>
        <v>0</v>
      </c>
    </row>
    <row r="1488" spans="27:30" x14ac:dyDescent="0.3">
      <c r="AA1488">
        <f t="shared" si="92"/>
        <v>0</v>
      </c>
      <c r="AB1488">
        <f t="shared" si="93"/>
        <v>0</v>
      </c>
      <c r="AC1488">
        <f t="shared" si="94"/>
        <v>0</v>
      </c>
      <c r="AD1488">
        <f t="shared" si="95"/>
        <v>0</v>
      </c>
    </row>
    <row r="1489" spans="27:30" x14ac:dyDescent="0.3">
      <c r="AA1489">
        <f t="shared" si="92"/>
        <v>0</v>
      </c>
      <c r="AB1489">
        <f t="shared" si="93"/>
        <v>0</v>
      </c>
      <c r="AC1489">
        <f t="shared" si="94"/>
        <v>0</v>
      </c>
      <c r="AD1489">
        <f t="shared" si="95"/>
        <v>0</v>
      </c>
    </row>
    <row r="1490" spans="27:30" x14ac:dyDescent="0.3">
      <c r="AA1490">
        <f t="shared" si="92"/>
        <v>0</v>
      </c>
      <c r="AB1490">
        <f t="shared" si="93"/>
        <v>0</v>
      </c>
      <c r="AC1490">
        <f t="shared" si="94"/>
        <v>0</v>
      </c>
      <c r="AD1490">
        <f t="shared" si="95"/>
        <v>0</v>
      </c>
    </row>
    <row r="1491" spans="27:30" x14ac:dyDescent="0.3">
      <c r="AA1491">
        <f t="shared" si="92"/>
        <v>0</v>
      </c>
      <c r="AB1491">
        <f t="shared" si="93"/>
        <v>0</v>
      </c>
      <c r="AC1491">
        <f t="shared" si="94"/>
        <v>0</v>
      </c>
      <c r="AD1491">
        <f t="shared" si="95"/>
        <v>0</v>
      </c>
    </row>
    <row r="1492" spans="27:30" x14ac:dyDescent="0.3">
      <c r="AA1492">
        <f t="shared" si="92"/>
        <v>0</v>
      </c>
      <c r="AB1492">
        <f t="shared" si="93"/>
        <v>0</v>
      </c>
      <c r="AC1492">
        <f t="shared" si="94"/>
        <v>0</v>
      </c>
      <c r="AD1492">
        <f t="shared" si="95"/>
        <v>0</v>
      </c>
    </row>
    <row r="1493" spans="27:30" x14ac:dyDescent="0.3">
      <c r="AA1493">
        <f t="shared" si="92"/>
        <v>0</v>
      </c>
      <c r="AB1493">
        <f t="shared" si="93"/>
        <v>0</v>
      </c>
      <c r="AC1493">
        <f t="shared" si="94"/>
        <v>0</v>
      </c>
      <c r="AD1493">
        <f t="shared" si="95"/>
        <v>0</v>
      </c>
    </row>
    <row r="1494" spans="27:30" x14ac:dyDescent="0.3">
      <c r="AA1494">
        <f t="shared" si="92"/>
        <v>0</v>
      </c>
      <c r="AB1494">
        <f t="shared" si="93"/>
        <v>0</v>
      </c>
      <c r="AC1494">
        <f t="shared" si="94"/>
        <v>0</v>
      </c>
      <c r="AD1494">
        <f t="shared" si="95"/>
        <v>0</v>
      </c>
    </row>
    <row r="1495" spans="27:30" x14ac:dyDescent="0.3">
      <c r="AA1495">
        <f t="shared" si="92"/>
        <v>0</v>
      </c>
      <c r="AB1495">
        <f t="shared" si="93"/>
        <v>0</v>
      </c>
      <c r="AC1495">
        <f t="shared" si="94"/>
        <v>0</v>
      </c>
      <c r="AD1495">
        <f t="shared" si="95"/>
        <v>0</v>
      </c>
    </row>
    <row r="1496" spans="27:30" x14ac:dyDescent="0.3">
      <c r="AA1496">
        <f t="shared" si="92"/>
        <v>0</v>
      </c>
      <c r="AB1496">
        <f t="shared" si="93"/>
        <v>0</v>
      </c>
      <c r="AC1496">
        <f t="shared" si="94"/>
        <v>0</v>
      </c>
      <c r="AD1496">
        <f t="shared" si="95"/>
        <v>0</v>
      </c>
    </row>
    <row r="1497" spans="27:30" x14ac:dyDescent="0.3">
      <c r="AA1497">
        <f t="shared" si="92"/>
        <v>0</v>
      </c>
      <c r="AB1497">
        <f t="shared" si="93"/>
        <v>0</v>
      </c>
      <c r="AC1497">
        <f t="shared" si="94"/>
        <v>0</v>
      </c>
      <c r="AD1497">
        <f t="shared" si="95"/>
        <v>0</v>
      </c>
    </row>
    <row r="1498" spans="27:30" x14ac:dyDescent="0.3">
      <c r="AA1498">
        <f t="shared" si="92"/>
        <v>0</v>
      </c>
      <c r="AB1498">
        <f t="shared" si="93"/>
        <v>0</v>
      </c>
      <c r="AC1498">
        <f t="shared" si="94"/>
        <v>0</v>
      </c>
      <c r="AD1498">
        <f t="shared" si="95"/>
        <v>0</v>
      </c>
    </row>
    <row r="1499" spans="27:30" x14ac:dyDescent="0.3">
      <c r="AA1499">
        <f t="shared" si="92"/>
        <v>0</v>
      </c>
      <c r="AB1499">
        <f t="shared" si="93"/>
        <v>0</v>
      </c>
      <c r="AC1499">
        <f t="shared" si="94"/>
        <v>0</v>
      </c>
      <c r="AD1499">
        <f t="shared" si="95"/>
        <v>0</v>
      </c>
    </row>
    <row r="1500" spans="27:30" x14ac:dyDescent="0.3">
      <c r="AA1500">
        <f t="shared" si="92"/>
        <v>0</v>
      </c>
      <c r="AB1500">
        <f t="shared" si="93"/>
        <v>0</v>
      </c>
      <c r="AC1500">
        <f t="shared" si="94"/>
        <v>0</v>
      </c>
      <c r="AD1500">
        <f t="shared" si="95"/>
        <v>0</v>
      </c>
    </row>
    <row r="1501" spans="27:30" x14ac:dyDescent="0.3">
      <c r="AA1501">
        <f t="shared" si="92"/>
        <v>0</v>
      </c>
      <c r="AB1501">
        <f t="shared" si="93"/>
        <v>0</v>
      </c>
      <c r="AC1501">
        <f t="shared" si="94"/>
        <v>0</v>
      </c>
      <c r="AD1501">
        <f t="shared" si="95"/>
        <v>0</v>
      </c>
    </row>
    <row r="1502" spans="27:30" x14ac:dyDescent="0.3">
      <c r="AA1502">
        <f t="shared" si="92"/>
        <v>0</v>
      </c>
      <c r="AB1502">
        <f t="shared" si="93"/>
        <v>0</v>
      </c>
      <c r="AC1502">
        <f t="shared" si="94"/>
        <v>0</v>
      </c>
      <c r="AD1502">
        <f t="shared" si="95"/>
        <v>0</v>
      </c>
    </row>
    <row r="1503" spans="27:30" x14ac:dyDescent="0.3">
      <c r="AA1503">
        <f t="shared" si="92"/>
        <v>0</v>
      </c>
      <c r="AB1503">
        <f t="shared" si="93"/>
        <v>0</v>
      </c>
      <c r="AC1503">
        <f t="shared" si="94"/>
        <v>0</v>
      </c>
      <c r="AD1503">
        <f t="shared" si="95"/>
        <v>0</v>
      </c>
    </row>
    <row r="1504" spans="27:30" x14ac:dyDescent="0.3">
      <c r="AA1504">
        <f t="shared" si="92"/>
        <v>0</v>
      </c>
      <c r="AB1504">
        <f t="shared" si="93"/>
        <v>0</v>
      </c>
      <c r="AC1504">
        <f t="shared" si="94"/>
        <v>0</v>
      </c>
      <c r="AD1504">
        <f t="shared" si="95"/>
        <v>0</v>
      </c>
    </row>
    <row r="1505" spans="27:30" x14ac:dyDescent="0.3">
      <c r="AA1505">
        <f t="shared" si="92"/>
        <v>0</v>
      </c>
      <c r="AB1505">
        <f t="shared" si="93"/>
        <v>0</v>
      </c>
      <c r="AC1505">
        <f t="shared" si="94"/>
        <v>0</v>
      </c>
      <c r="AD1505">
        <f t="shared" si="95"/>
        <v>0</v>
      </c>
    </row>
    <row r="1506" spans="27:30" x14ac:dyDescent="0.3">
      <c r="AA1506">
        <f t="shared" si="92"/>
        <v>0</v>
      </c>
      <c r="AB1506">
        <f t="shared" si="93"/>
        <v>0</v>
      </c>
      <c r="AC1506">
        <f t="shared" si="94"/>
        <v>0</v>
      </c>
      <c r="AD1506">
        <f t="shared" si="95"/>
        <v>0</v>
      </c>
    </row>
    <row r="1507" spans="27:30" x14ac:dyDescent="0.3">
      <c r="AA1507">
        <f t="shared" si="92"/>
        <v>0</v>
      </c>
      <c r="AB1507">
        <f t="shared" si="93"/>
        <v>0</v>
      </c>
      <c r="AC1507">
        <f t="shared" si="94"/>
        <v>0</v>
      </c>
      <c r="AD1507">
        <f t="shared" si="95"/>
        <v>0</v>
      </c>
    </row>
    <row r="1508" spans="27:30" x14ac:dyDescent="0.3">
      <c r="AA1508">
        <f t="shared" si="92"/>
        <v>0</v>
      </c>
      <c r="AB1508">
        <f t="shared" si="93"/>
        <v>0</v>
      </c>
      <c r="AC1508">
        <f t="shared" si="94"/>
        <v>0</v>
      </c>
      <c r="AD1508">
        <f t="shared" si="95"/>
        <v>0</v>
      </c>
    </row>
    <row r="1509" spans="27:30" x14ac:dyDescent="0.3">
      <c r="AA1509">
        <f t="shared" si="92"/>
        <v>0</v>
      </c>
      <c r="AB1509">
        <f t="shared" si="93"/>
        <v>0</v>
      </c>
      <c r="AC1509">
        <f t="shared" si="94"/>
        <v>0</v>
      </c>
      <c r="AD1509">
        <f t="shared" si="95"/>
        <v>0</v>
      </c>
    </row>
    <row r="1510" spans="27:30" x14ac:dyDescent="0.3">
      <c r="AA1510">
        <f t="shared" si="92"/>
        <v>0</v>
      </c>
      <c r="AB1510">
        <f t="shared" si="93"/>
        <v>0</v>
      </c>
      <c r="AC1510">
        <f t="shared" si="94"/>
        <v>0</v>
      </c>
      <c r="AD1510">
        <f t="shared" si="95"/>
        <v>0</v>
      </c>
    </row>
    <row r="1511" spans="27:30" x14ac:dyDescent="0.3">
      <c r="AA1511">
        <f t="shared" si="92"/>
        <v>0</v>
      </c>
      <c r="AB1511">
        <f t="shared" si="93"/>
        <v>0</v>
      </c>
      <c r="AC1511">
        <f t="shared" si="94"/>
        <v>0</v>
      </c>
      <c r="AD1511">
        <f t="shared" si="95"/>
        <v>0</v>
      </c>
    </row>
    <row r="1512" spans="27:30" x14ac:dyDescent="0.3">
      <c r="AA1512">
        <f t="shared" si="92"/>
        <v>0</v>
      </c>
      <c r="AB1512">
        <f t="shared" si="93"/>
        <v>0</v>
      </c>
      <c r="AC1512">
        <f t="shared" si="94"/>
        <v>0</v>
      </c>
      <c r="AD1512">
        <f t="shared" si="95"/>
        <v>0</v>
      </c>
    </row>
    <row r="1513" spans="27:30" x14ac:dyDescent="0.3">
      <c r="AA1513">
        <f t="shared" si="92"/>
        <v>0</v>
      </c>
      <c r="AB1513">
        <f t="shared" si="93"/>
        <v>0</v>
      </c>
      <c r="AC1513">
        <f t="shared" si="94"/>
        <v>0</v>
      </c>
      <c r="AD1513">
        <f t="shared" si="95"/>
        <v>0</v>
      </c>
    </row>
    <row r="1514" spans="27:30" x14ac:dyDescent="0.3">
      <c r="AA1514">
        <f t="shared" si="92"/>
        <v>0</v>
      </c>
      <c r="AB1514">
        <f t="shared" si="93"/>
        <v>0</v>
      </c>
      <c r="AC1514">
        <f t="shared" si="94"/>
        <v>0</v>
      </c>
      <c r="AD1514">
        <f t="shared" si="95"/>
        <v>0</v>
      </c>
    </row>
    <row r="1515" spans="27:30" x14ac:dyDescent="0.3">
      <c r="AA1515">
        <f t="shared" si="92"/>
        <v>0</v>
      </c>
      <c r="AB1515">
        <f t="shared" si="93"/>
        <v>0</v>
      </c>
      <c r="AC1515">
        <f t="shared" si="94"/>
        <v>0</v>
      </c>
      <c r="AD1515">
        <f t="shared" si="95"/>
        <v>0</v>
      </c>
    </row>
    <row r="1516" spans="27:30" x14ac:dyDescent="0.3">
      <c r="AA1516">
        <f t="shared" si="92"/>
        <v>0</v>
      </c>
      <c r="AB1516">
        <f t="shared" si="93"/>
        <v>0</v>
      </c>
      <c r="AC1516">
        <f t="shared" si="94"/>
        <v>0</v>
      </c>
      <c r="AD1516">
        <f t="shared" si="95"/>
        <v>0</v>
      </c>
    </row>
    <row r="1517" spans="27:30" x14ac:dyDescent="0.3">
      <c r="AA1517">
        <f t="shared" si="92"/>
        <v>0</v>
      </c>
      <c r="AB1517">
        <f t="shared" si="93"/>
        <v>0</v>
      </c>
      <c r="AC1517">
        <f t="shared" si="94"/>
        <v>0</v>
      </c>
      <c r="AD1517">
        <f t="shared" si="95"/>
        <v>0</v>
      </c>
    </row>
    <row r="1518" spans="27:30" x14ac:dyDescent="0.3">
      <c r="AA1518">
        <f t="shared" si="92"/>
        <v>0</v>
      </c>
      <c r="AB1518">
        <f t="shared" si="93"/>
        <v>0</v>
      </c>
      <c r="AC1518">
        <f t="shared" si="94"/>
        <v>0</v>
      </c>
      <c r="AD1518">
        <f t="shared" si="95"/>
        <v>0</v>
      </c>
    </row>
    <row r="1519" spans="27:30" x14ac:dyDescent="0.3">
      <c r="AA1519">
        <f t="shared" si="92"/>
        <v>0</v>
      </c>
      <c r="AB1519">
        <f t="shared" si="93"/>
        <v>0</v>
      </c>
      <c r="AC1519">
        <f t="shared" si="94"/>
        <v>0</v>
      </c>
      <c r="AD1519">
        <f t="shared" si="95"/>
        <v>0</v>
      </c>
    </row>
    <row r="1520" spans="27:30" x14ac:dyDescent="0.3">
      <c r="AA1520">
        <f t="shared" si="92"/>
        <v>0</v>
      </c>
      <c r="AB1520">
        <f t="shared" si="93"/>
        <v>0</v>
      </c>
      <c r="AC1520">
        <f t="shared" si="94"/>
        <v>0</v>
      </c>
      <c r="AD1520">
        <f t="shared" si="95"/>
        <v>0</v>
      </c>
    </row>
    <row r="1521" spans="27:30" x14ac:dyDescent="0.3">
      <c r="AA1521">
        <f t="shared" si="92"/>
        <v>0</v>
      </c>
      <c r="AB1521">
        <f t="shared" si="93"/>
        <v>0</v>
      </c>
      <c r="AC1521">
        <f t="shared" si="94"/>
        <v>0</v>
      </c>
      <c r="AD1521">
        <f t="shared" si="95"/>
        <v>0</v>
      </c>
    </row>
    <row r="1522" spans="27:30" x14ac:dyDescent="0.3">
      <c r="AA1522">
        <f t="shared" si="92"/>
        <v>0</v>
      </c>
      <c r="AB1522">
        <f t="shared" si="93"/>
        <v>0</v>
      </c>
      <c r="AC1522">
        <f t="shared" si="94"/>
        <v>0</v>
      </c>
      <c r="AD1522">
        <f t="shared" si="95"/>
        <v>0</v>
      </c>
    </row>
    <row r="1523" spans="27:30" x14ac:dyDescent="0.3">
      <c r="AA1523">
        <f t="shared" si="92"/>
        <v>0</v>
      </c>
      <c r="AB1523">
        <f t="shared" si="93"/>
        <v>0</v>
      </c>
      <c r="AC1523">
        <f t="shared" si="94"/>
        <v>0</v>
      </c>
      <c r="AD1523">
        <f t="shared" si="95"/>
        <v>0</v>
      </c>
    </row>
    <row r="1524" spans="27:30" x14ac:dyDescent="0.3">
      <c r="AA1524">
        <f t="shared" si="92"/>
        <v>0</v>
      </c>
      <c r="AB1524">
        <f t="shared" si="93"/>
        <v>0</v>
      </c>
      <c r="AC1524">
        <f t="shared" si="94"/>
        <v>0</v>
      </c>
      <c r="AD1524">
        <f t="shared" si="95"/>
        <v>0</v>
      </c>
    </row>
    <row r="1525" spans="27:30" x14ac:dyDescent="0.3">
      <c r="AA1525">
        <f t="shared" si="92"/>
        <v>0</v>
      </c>
      <c r="AB1525">
        <f t="shared" si="93"/>
        <v>0</v>
      </c>
      <c r="AC1525">
        <f t="shared" si="94"/>
        <v>0</v>
      </c>
      <c r="AD1525">
        <f t="shared" si="95"/>
        <v>0</v>
      </c>
    </row>
    <row r="1526" spans="27:30" x14ac:dyDescent="0.3">
      <c r="AA1526">
        <f t="shared" si="92"/>
        <v>0</v>
      </c>
      <c r="AB1526">
        <f t="shared" si="93"/>
        <v>0</v>
      </c>
      <c r="AC1526">
        <f t="shared" si="94"/>
        <v>0</v>
      </c>
      <c r="AD1526">
        <f t="shared" si="95"/>
        <v>0</v>
      </c>
    </row>
    <row r="1527" spans="27:30" x14ac:dyDescent="0.3">
      <c r="AA1527">
        <f t="shared" si="92"/>
        <v>0</v>
      </c>
      <c r="AB1527">
        <f t="shared" si="93"/>
        <v>0</v>
      </c>
      <c r="AC1527">
        <f t="shared" si="94"/>
        <v>0</v>
      </c>
      <c r="AD1527">
        <f t="shared" si="95"/>
        <v>0</v>
      </c>
    </row>
    <row r="1528" spans="27:30" x14ac:dyDescent="0.3">
      <c r="AA1528">
        <f t="shared" si="92"/>
        <v>0</v>
      </c>
      <c r="AB1528">
        <f t="shared" si="93"/>
        <v>0</v>
      </c>
      <c r="AC1528">
        <f t="shared" si="94"/>
        <v>0</v>
      </c>
      <c r="AD1528">
        <f t="shared" si="95"/>
        <v>0</v>
      </c>
    </row>
    <row r="1529" spans="27:30" x14ac:dyDescent="0.3">
      <c r="AA1529">
        <f t="shared" si="92"/>
        <v>0</v>
      </c>
      <c r="AB1529">
        <f t="shared" si="93"/>
        <v>0</v>
      </c>
      <c r="AC1529">
        <f t="shared" si="94"/>
        <v>0</v>
      </c>
      <c r="AD1529">
        <f t="shared" si="95"/>
        <v>0</v>
      </c>
    </row>
    <row r="1530" spans="27:30" x14ac:dyDescent="0.3">
      <c r="AA1530">
        <f t="shared" si="92"/>
        <v>0</v>
      </c>
      <c r="AB1530">
        <f t="shared" si="93"/>
        <v>0</v>
      </c>
      <c r="AC1530">
        <f t="shared" si="94"/>
        <v>0</v>
      </c>
      <c r="AD1530">
        <f t="shared" si="95"/>
        <v>0</v>
      </c>
    </row>
    <row r="1531" spans="27:30" x14ac:dyDescent="0.3">
      <c r="AA1531">
        <f t="shared" si="92"/>
        <v>0</v>
      </c>
      <c r="AB1531">
        <f t="shared" si="93"/>
        <v>0</v>
      </c>
      <c r="AC1531">
        <f t="shared" si="94"/>
        <v>0</v>
      </c>
      <c r="AD1531">
        <f t="shared" si="95"/>
        <v>0</v>
      </c>
    </row>
    <row r="1532" spans="27:30" x14ac:dyDescent="0.3">
      <c r="AA1532">
        <f t="shared" si="92"/>
        <v>0</v>
      </c>
      <c r="AB1532">
        <f t="shared" si="93"/>
        <v>0</v>
      </c>
      <c r="AC1532">
        <f t="shared" si="94"/>
        <v>0</v>
      </c>
      <c r="AD1532">
        <f t="shared" si="95"/>
        <v>0</v>
      </c>
    </row>
    <row r="1533" spans="27:30" x14ac:dyDescent="0.3">
      <c r="AA1533">
        <f t="shared" si="92"/>
        <v>0</v>
      </c>
      <c r="AB1533">
        <f t="shared" si="93"/>
        <v>0</v>
      </c>
      <c r="AC1533">
        <f t="shared" si="94"/>
        <v>0</v>
      </c>
      <c r="AD1533">
        <f t="shared" si="95"/>
        <v>0</v>
      </c>
    </row>
    <row r="1534" spans="27:30" x14ac:dyDescent="0.3">
      <c r="AA1534">
        <f t="shared" si="92"/>
        <v>0</v>
      </c>
      <c r="AB1534">
        <f t="shared" si="93"/>
        <v>0</v>
      </c>
      <c r="AC1534">
        <f t="shared" si="94"/>
        <v>0</v>
      </c>
      <c r="AD1534">
        <f t="shared" si="95"/>
        <v>0</v>
      </c>
    </row>
    <row r="1535" spans="27:30" x14ac:dyDescent="0.3">
      <c r="AA1535">
        <f t="shared" si="92"/>
        <v>0</v>
      </c>
      <c r="AB1535">
        <f t="shared" si="93"/>
        <v>0</v>
      </c>
      <c r="AC1535">
        <f t="shared" si="94"/>
        <v>0</v>
      </c>
      <c r="AD1535">
        <f t="shared" si="95"/>
        <v>0</v>
      </c>
    </row>
    <row r="1536" spans="27:30" x14ac:dyDescent="0.3">
      <c r="AA1536">
        <f t="shared" si="92"/>
        <v>0</v>
      </c>
      <c r="AB1536">
        <f t="shared" si="93"/>
        <v>0</v>
      </c>
      <c r="AC1536">
        <f t="shared" si="94"/>
        <v>0</v>
      </c>
      <c r="AD1536">
        <f t="shared" si="95"/>
        <v>0</v>
      </c>
    </row>
    <row r="1537" spans="27:30" x14ac:dyDescent="0.3">
      <c r="AA1537">
        <f t="shared" si="92"/>
        <v>0</v>
      </c>
      <c r="AB1537">
        <f t="shared" si="93"/>
        <v>0</v>
      </c>
      <c r="AC1537">
        <f t="shared" si="94"/>
        <v>0</v>
      </c>
      <c r="AD1537">
        <f t="shared" si="95"/>
        <v>0</v>
      </c>
    </row>
    <row r="1538" spans="27:30" x14ac:dyDescent="0.3">
      <c r="AA1538">
        <f t="shared" si="92"/>
        <v>0</v>
      </c>
      <c r="AB1538">
        <f t="shared" si="93"/>
        <v>0</v>
      </c>
      <c r="AC1538">
        <f t="shared" si="94"/>
        <v>0</v>
      </c>
      <c r="AD1538">
        <f t="shared" si="95"/>
        <v>0</v>
      </c>
    </row>
    <row r="1539" spans="27:30" x14ac:dyDescent="0.3">
      <c r="AA1539">
        <f t="shared" si="92"/>
        <v>0</v>
      </c>
      <c r="AB1539">
        <f t="shared" si="93"/>
        <v>0</v>
      </c>
      <c r="AC1539">
        <f t="shared" si="94"/>
        <v>0</v>
      </c>
      <c r="AD1539">
        <f t="shared" si="95"/>
        <v>0</v>
      </c>
    </row>
    <row r="1540" spans="27:30" x14ac:dyDescent="0.3">
      <c r="AA1540">
        <f t="shared" si="92"/>
        <v>0</v>
      </c>
      <c r="AB1540">
        <f t="shared" si="93"/>
        <v>0</v>
      </c>
      <c r="AC1540">
        <f t="shared" si="94"/>
        <v>0</v>
      </c>
      <c r="AD1540">
        <f t="shared" si="95"/>
        <v>0</v>
      </c>
    </row>
    <row r="1541" spans="27:30" x14ac:dyDescent="0.3">
      <c r="AA1541">
        <f t="shared" ref="AA1541:AA1604" si="96">ROUND(Z1541,0)</f>
        <v>0</v>
      </c>
      <c r="AB1541">
        <f t="shared" ref="AB1541:AB1604" si="97">IF(AA1541=Y1541,0,1)</f>
        <v>0</v>
      </c>
      <c r="AC1541">
        <f t="shared" ref="AC1541:AC1604" si="98">IF(AA1541&lt;Y1541+5,IF(AA1541&gt;Y1541-5,0,1),1)</f>
        <v>0</v>
      </c>
      <c r="AD1541">
        <f t="shared" ref="AD1541:AD1604" si="99">IF(AA1541&lt;Y1541+10,IF(AA1541&gt;Y1541-10,0,1),1)</f>
        <v>0</v>
      </c>
    </row>
    <row r="1542" spans="27:30" x14ac:dyDescent="0.3">
      <c r="AA1542">
        <f t="shared" si="96"/>
        <v>0</v>
      </c>
      <c r="AB1542">
        <f t="shared" si="97"/>
        <v>0</v>
      </c>
      <c r="AC1542">
        <f t="shared" si="98"/>
        <v>0</v>
      </c>
      <c r="AD1542">
        <f t="shared" si="99"/>
        <v>0</v>
      </c>
    </row>
    <row r="1543" spans="27:30" x14ac:dyDescent="0.3">
      <c r="AA1543">
        <f t="shared" si="96"/>
        <v>0</v>
      </c>
      <c r="AB1543">
        <f t="shared" si="97"/>
        <v>0</v>
      </c>
      <c r="AC1543">
        <f t="shared" si="98"/>
        <v>0</v>
      </c>
      <c r="AD1543">
        <f t="shared" si="99"/>
        <v>0</v>
      </c>
    </row>
    <row r="1544" spans="27:30" x14ac:dyDescent="0.3">
      <c r="AA1544">
        <f t="shared" si="96"/>
        <v>0</v>
      </c>
      <c r="AB1544">
        <f t="shared" si="97"/>
        <v>0</v>
      </c>
      <c r="AC1544">
        <f t="shared" si="98"/>
        <v>0</v>
      </c>
      <c r="AD1544">
        <f t="shared" si="99"/>
        <v>0</v>
      </c>
    </row>
    <row r="1545" spans="27:30" x14ac:dyDescent="0.3">
      <c r="AA1545">
        <f t="shared" si="96"/>
        <v>0</v>
      </c>
      <c r="AB1545">
        <f t="shared" si="97"/>
        <v>0</v>
      </c>
      <c r="AC1545">
        <f t="shared" si="98"/>
        <v>0</v>
      </c>
      <c r="AD1545">
        <f t="shared" si="99"/>
        <v>0</v>
      </c>
    </row>
    <row r="1546" spans="27:30" x14ac:dyDescent="0.3">
      <c r="AA1546">
        <f t="shared" si="96"/>
        <v>0</v>
      </c>
      <c r="AB1546">
        <f t="shared" si="97"/>
        <v>0</v>
      </c>
      <c r="AC1546">
        <f t="shared" si="98"/>
        <v>0</v>
      </c>
      <c r="AD1546">
        <f t="shared" si="99"/>
        <v>0</v>
      </c>
    </row>
    <row r="1547" spans="27:30" x14ac:dyDescent="0.3">
      <c r="AA1547">
        <f t="shared" si="96"/>
        <v>0</v>
      </c>
      <c r="AB1547">
        <f t="shared" si="97"/>
        <v>0</v>
      </c>
      <c r="AC1547">
        <f t="shared" si="98"/>
        <v>0</v>
      </c>
      <c r="AD1547">
        <f t="shared" si="99"/>
        <v>0</v>
      </c>
    </row>
    <row r="1548" spans="27:30" x14ac:dyDescent="0.3">
      <c r="AA1548">
        <f t="shared" si="96"/>
        <v>0</v>
      </c>
      <c r="AB1548">
        <f t="shared" si="97"/>
        <v>0</v>
      </c>
      <c r="AC1548">
        <f t="shared" si="98"/>
        <v>0</v>
      </c>
      <c r="AD1548">
        <f t="shared" si="99"/>
        <v>0</v>
      </c>
    </row>
    <row r="1549" spans="27:30" x14ac:dyDescent="0.3">
      <c r="AA1549">
        <f t="shared" si="96"/>
        <v>0</v>
      </c>
      <c r="AB1549">
        <f t="shared" si="97"/>
        <v>0</v>
      </c>
      <c r="AC1549">
        <f t="shared" si="98"/>
        <v>0</v>
      </c>
      <c r="AD1549">
        <f t="shared" si="99"/>
        <v>0</v>
      </c>
    </row>
    <row r="1550" spans="27:30" x14ac:dyDescent="0.3">
      <c r="AA1550">
        <f t="shared" si="96"/>
        <v>0</v>
      </c>
      <c r="AB1550">
        <f t="shared" si="97"/>
        <v>0</v>
      </c>
      <c r="AC1550">
        <f t="shared" si="98"/>
        <v>0</v>
      </c>
      <c r="AD1550">
        <f t="shared" si="99"/>
        <v>0</v>
      </c>
    </row>
    <row r="1551" spans="27:30" x14ac:dyDescent="0.3">
      <c r="AA1551">
        <f t="shared" si="96"/>
        <v>0</v>
      </c>
      <c r="AB1551">
        <f t="shared" si="97"/>
        <v>0</v>
      </c>
      <c r="AC1551">
        <f t="shared" si="98"/>
        <v>0</v>
      </c>
      <c r="AD1551">
        <f t="shared" si="99"/>
        <v>0</v>
      </c>
    </row>
    <row r="1552" spans="27:30" x14ac:dyDescent="0.3">
      <c r="AA1552">
        <f t="shared" si="96"/>
        <v>0</v>
      </c>
      <c r="AB1552">
        <f t="shared" si="97"/>
        <v>0</v>
      </c>
      <c r="AC1552">
        <f t="shared" si="98"/>
        <v>0</v>
      </c>
      <c r="AD1552">
        <f t="shared" si="99"/>
        <v>0</v>
      </c>
    </row>
    <row r="1553" spans="27:30" x14ac:dyDescent="0.3">
      <c r="AA1553">
        <f t="shared" si="96"/>
        <v>0</v>
      </c>
      <c r="AB1553">
        <f t="shared" si="97"/>
        <v>0</v>
      </c>
      <c r="AC1553">
        <f t="shared" si="98"/>
        <v>0</v>
      </c>
      <c r="AD1553">
        <f t="shared" si="99"/>
        <v>0</v>
      </c>
    </row>
    <row r="1554" spans="27:30" x14ac:dyDescent="0.3">
      <c r="AA1554">
        <f t="shared" si="96"/>
        <v>0</v>
      </c>
      <c r="AB1554">
        <f t="shared" si="97"/>
        <v>0</v>
      </c>
      <c r="AC1554">
        <f t="shared" si="98"/>
        <v>0</v>
      </c>
      <c r="AD1554">
        <f t="shared" si="99"/>
        <v>0</v>
      </c>
    </row>
    <row r="1555" spans="27:30" x14ac:dyDescent="0.3">
      <c r="AA1555">
        <f t="shared" si="96"/>
        <v>0</v>
      </c>
      <c r="AB1555">
        <f t="shared" si="97"/>
        <v>0</v>
      </c>
      <c r="AC1555">
        <f t="shared" si="98"/>
        <v>0</v>
      </c>
      <c r="AD1555">
        <f t="shared" si="99"/>
        <v>0</v>
      </c>
    </row>
    <row r="1556" spans="27:30" x14ac:dyDescent="0.3">
      <c r="AA1556">
        <f t="shared" si="96"/>
        <v>0</v>
      </c>
      <c r="AB1556">
        <f t="shared" si="97"/>
        <v>0</v>
      </c>
      <c r="AC1556">
        <f t="shared" si="98"/>
        <v>0</v>
      </c>
      <c r="AD1556">
        <f t="shared" si="99"/>
        <v>0</v>
      </c>
    </row>
    <row r="1557" spans="27:30" x14ac:dyDescent="0.3">
      <c r="AA1557">
        <f t="shared" si="96"/>
        <v>0</v>
      </c>
      <c r="AB1557">
        <f t="shared" si="97"/>
        <v>0</v>
      </c>
      <c r="AC1557">
        <f t="shared" si="98"/>
        <v>0</v>
      </c>
      <c r="AD1557">
        <f t="shared" si="99"/>
        <v>0</v>
      </c>
    </row>
    <row r="1558" spans="27:30" x14ac:dyDescent="0.3">
      <c r="AA1558">
        <f t="shared" si="96"/>
        <v>0</v>
      </c>
      <c r="AB1558">
        <f t="shared" si="97"/>
        <v>0</v>
      </c>
      <c r="AC1558">
        <f t="shared" si="98"/>
        <v>0</v>
      </c>
      <c r="AD1558">
        <f t="shared" si="99"/>
        <v>0</v>
      </c>
    </row>
    <row r="1559" spans="27:30" x14ac:dyDescent="0.3">
      <c r="AA1559">
        <f t="shared" si="96"/>
        <v>0</v>
      </c>
      <c r="AB1559">
        <f t="shared" si="97"/>
        <v>0</v>
      </c>
      <c r="AC1559">
        <f t="shared" si="98"/>
        <v>0</v>
      </c>
      <c r="AD1559">
        <f t="shared" si="99"/>
        <v>0</v>
      </c>
    </row>
    <row r="1560" spans="27:30" x14ac:dyDescent="0.3">
      <c r="AA1560">
        <f t="shared" si="96"/>
        <v>0</v>
      </c>
      <c r="AB1560">
        <f t="shared" si="97"/>
        <v>0</v>
      </c>
      <c r="AC1560">
        <f t="shared" si="98"/>
        <v>0</v>
      </c>
      <c r="AD1560">
        <f t="shared" si="99"/>
        <v>0</v>
      </c>
    </row>
    <row r="1561" spans="27:30" x14ac:dyDescent="0.3">
      <c r="AA1561">
        <f t="shared" si="96"/>
        <v>0</v>
      </c>
      <c r="AB1561">
        <f t="shared" si="97"/>
        <v>0</v>
      </c>
      <c r="AC1561">
        <f t="shared" si="98"/>
        <v>0</v>
      </c>
      <c r="AD1561">
        <f t="shared" si="99"/>
        <v>0</v>
      </c>
    </row>
    <row r="1562" spans="27:30" x14ac:dyDescent="0.3">
      <c r="AA1562">
        <f t="shared" si="96"/>
        <v>0</v>
      </c>
      <c r="AB1562">
        <f t="shared" si="97"/>
        <v>0</v>
      </c>
      <c r="AC1562">
        <f t="shared" si="98"/>
        <v>0</v>
      </c>
      <c r="AD1562">
        <f t="shared" si="99"/>
        <v>0</v>
      </c>
    </row>
    <row r="1563" spans="27:30" x14ac:dyDescent="0.3">
      <c r="AA1563">
        <f t="shared" si="96"/>
        <v>0</v>
      </c>
      <c r="AB1563">
        <f t="shared" si="97"/>
        <v>0</v>
      </c>
      <c r="AC1563">
        <f t="shared" si="98"/>
        <v>0</v>
      </c>
      <c r="AD1563">
        <f t="shared" si="99"/>
        <v>0</v>
      </c>
    </row>
    <row r="1564" spans="27:30" x14ac:dyDescent="0.3">
      <c r="AA1564">
        <f t="shared" si="96"/>
        <v>0</v>
      </c>
      <c r="AB1564">
        <f t="shared" si="97"/>
        <v>0</v>
      </c>
      <c r="AC1564">
        <f t="shared" si="98"/>
        <v>0</v>
      </c>
      <c r="AD1564">
        <f t="shared" si="99"/>
        <v>0</v>
      </c>
    </row>
    <row r="1565" spans="27:30" x14ac:dyDescent="0.3">
      <c r="AA1565">
        <f t="shared" si="96"/>
        <v>0</v>
      </c>
      <c r="AB1565">
        <f t="shared" si="97"/>
        <v>0</v>
      </c>
      <c r="AC1565">
        <f t="shared" si="98"/>
        <v>0</v>
      </c>
      <c r="AD1565">
        <f t="shared" si="99"/>
        <v>0</v>
      </c>
    </row>
    <row r="1566" spans="27:30" x14ac:dyDescent="0.3">
      <c r="AA1566">
        <f t="shared" si="96"/>
        <v>0</v>
      </c>
      <c r="AB1566">
        <f t="shared" si="97"/>
        <v>0</v>
      </c>
      <c r="AC1566">
        <f t="shared" si="98"/>
        <v>0</v>
      </c>
      <c r="AD1566">
        <f t="shared" si="99"/>
        <v>0</v>
      </c>
    </row>
    <row r="1567" spans="27:30" x14ac:dyDescent="0.3">
      <c r="AA1567">
        <f t="shared" si="96"/>
        <v>0</v>
      </c>
      <c r="AB1567">
        <f t="shared" si="97"/>
        <v>0</v>
      </c>
      <c r="AC1567">
        <f t="shared" si="98"/>
        <v>0</v>
      </c>
      <c r="AD1567">
        <f t="shared" si="99"/>
        <v>0</v>
      </c>
    </row>
    <row r="1568" spans="27:30" x14ac:dyDescent="0.3">
      <c r="AA1568">
        <f t="shared" si="96"/>
        <v>0</v>
      </c>
      <c r="AB1568">
        <f t="shared" si="97"/>
        <v>0</v>
      </c>
      <c r="AC1568">
        <f t="shared" si="98"/>
        <v>0</v>
      </c>
      <c r="AD1568">
        <f t="shared" si="99"/>
        <v>0</v>
      </c>
    </row>
    <row r="1569" spans="27:30" x14ac:dyDescent="0.3">
      <c r="AA1569">
        <f t="shared" si="96"/>
        <v>0</v>
      </c>
      <c r="AB1569">
        <f t="shared" si="97"/>
        <v>0</v>
      </c>
      <c r="AC1569">
        <f t="shared" si="98"/>
        <v>0</v>
      </c>
      <c r="AD1569">
        <f t="shared" si="99"/>
        <v>0</v>
      </c>
    </row>
    <row r="1570" spans="27:30" x14ac:dyDescent="0.3">
      <c r="AA1570">
        <f t="shared" si="96"/>
        <v>0</v>
      </c>
      <c r="AB1570">
        <f t="shared" si="97"/>
        <v>0</v>
      </c>
      <c r="AC1570">
        <f t="shared" si="98"/>
        <v>0</v>
      </c>
      <c r="AD1570">
        <f t="shared" si="99"/>
        <v>0</v>
      </c>
    </row>
    <row r="1571" spans="27:30" x14ac:dyDescent="0.3">
      <c r="AA1571">
        <f t="shared" si="96"/>
        <v>0</v>
      </c>
      <c r="AB1571">
        <f t="shared" si="97"/>
        <v>0</v>
      </c>
      <c r="AC1571">
        <f t="shared" si="98"/>
        <v>0</v>
      </c>
      <c r="AD1571">
        <f t="shared" si="99"/>
        <v>0</v>
      </c>
    </row>
    <row r="1572" spans="27:30" x14ac:dyDescent="0.3">
      <c r="AA1572">
        <f t="shared" si="96"/>
        <v>0</v>
      </c>
      <c r="AB1572">
        <f t="shared" si="97"/>
        <v>0</v>
      </c>
      <c r="AC1572">
        <f t="shared" si="98"/>
        <v>0</v>
      </c>
      <c r="AD1572">
        <f t="shared" si="99"/>
        <v>0</v>
      </c>
    </row>
    <row r="1573" spans="27:30" x14ac:dyDescent="0.3">
      <c r="AA1573">
        <f t="shared" si="96"/>
        <v>0</v>
      </c>
      <c r="AB1573">
        <f t="shared" si="97"/>
        <v>0</v>
      </c>
      <c r="AC1573">
        <f t="shared" si="98"/>
        <v>0</v>
      </c>
      <c r="AD1573">
        <f t="shared" si="99"/>
        <v>0</v>
      </c>
    </row>
    <row r="1574" spans="27:30" x14ac:dyDescent="0.3">
      <c r="AA1574">
        <f t="shared" si="96"/>
        <v>0</v>
      </c>
      <c r="AB1574">
        <f t="shared" si="97"/>
        <v>0</v>
      </c>
      <c r="AC1574">
        <f t="shared" si="98"/>
        <v>0</v>
      </c>
      <c r="AD1574">
        <f t="shared" si="99"/>
        <v>0</v>
      </c>
    </row>
    <row r="1575" spans="27:30" x14ac:dyDescent="0.3">
      <c r="AA1575">
        <f t="shared" si="96"/>
        <v>0</v>
      </c>
      <c r="AB1575">
        <f t="shared" si="97"/>
        <v>0</v>
      </c>
      <c r="AC1575">
        <f t="shared" si="98"/>
        <v>0</v>
      </c>
      <c r="AD1575">
        <f t="shared" si="99"/>
        <v>0</v>
      </c>
    </row>
    <row r="1576" spans="27:30" x14ac:dyDescent="0.3">
      <c r="AA1576">
        <f t="shared" si="96"/>
        <v>0</v>
      </c>
      <c r="AB1576">
        <f t="shared" si="97"/>
        <v>0</v>
      </c>
      <c r="AC1576">
        <f t="shared" si="98"/>
        <v>0</v>
      </c>
      <c r="AD1576">
        <f t="shared" si="99"/>
        <v>0</v>
      </c>
    </row>
    <row r="1577" spans="27:30" x14ac:dyDescent="0.3">
      <c r="AA1577">
        <f t="shared" si="96"/>
        <v>0</v>
      </c>
      <c r="AB1577">
        <f t="shared" si="97"/>
        <v>0</v>
      </c>
      <c r="AC1577">
        <f t="shared" si="98"/>
        <v>0</v>
      </c>
      <c r="AD1577">
        <f t="shared" si="99"/>
        <v>0</v>
      </c>
    </row>
    <row r="1578" spans="27:30" x14ac:dyDescent="0.3">
      <c r="AA1578">
        <f t="shared" si="96"/>
        <v>0</v>
      </c>
      <c r="AB1578">
        <f t="shared" si="97"/>
        <v>0</v>
      </c>
      <c r="AC1578">
        <f t="shared" si="98"/>
        <v>0</v>
      </c>
      <c r="AD1578">
        <f t="shared" si="99"/>
        <v>0</v>
      </c>
    </row>
    <row r="1579" spans="27:30" x14ac:dyDescent="0.3">
      <c r="AA1579">
        <f t="shared" si="96"/>
        <v>0</v>
      </c>
      <c r="AB1579">
        <f t="shared" si="97"/>
        <v>0</v>
      </c>
      <c r="AC1579">
        <f t="shared" si="98"/>
        <v>0</v>
      </c>
      <c r="AD1579">
        <f t="shared" si="99"/>
        <v>0</v>
      </c>
    </row>
    <row r="1580" spans="27:30" x14ac:dyDescent="0.3">
      <c r="AA1580">
        <f t="shared" si="96"/>
        <v>0</v>
      </c>
      <c r="AB1580">
        <f t="shared" si="97"/>
        <v>0</v>
      </c>
      <c r="AC1580">
        <f t="shared" si="98"/>
        <v>0</v>
      </c>
      <c r="AD1580">
        <f t="shared" si="99"/>
        <v>0</v>
      </c>
    </row>
    <row r="1581" spans="27:30" x14ac:dyDescent="0.3">
      <c r="AA1581">
        <f t="shared" si="96"/>
        <v>0</v>
      </c>
      <c r="AB1581">
        <f t="shared" si="97"/>
        <v>0</v>
      </c>
      <c r="AC1581">
        <f t="shared" si="98"/>
        <v>0</v>
      </c>
      <c r="AD1581">
        <f t="shared" si="99"/>
        <v>0</v>
      </c>
    </row>
    <row r="1582" spans="27:30" x14ac:dyDescent="0.3">
      <c r="AA1582">
        <f t="shared" si="96"/>
        <v>0</v>
      </c>
      <c r="AB1582">
        <f t="shared" si="97"/>
        <v>0</v>
      </c>
      <c r="AC1582">
        <f t="shared" si="98"/>
        <v>0</v>
      </c>
      <c r="AD1582">
        <f t="shared" si="99"/>
        <v>0</v>
      </c>
    </row>
    <row r="1583" spans="27:30" x14ac:dyDescent="0.3">
      <c r="AA1583">
        <f t="shared" si="96"/>
        <v>0</v>
      </c>
      <c r="AB1583">
        <f t="shared" si="97"/>
        <v>0</v>
      </c>
      <c r="AC1583">
        <f t="shared" si="98"/>
        <v>0</v>
      </c>
      <c r="AD1583">
        <f t="shared" si="99"/>
        <v>0</v>
      </c>
    </row>
    <row r="1584" spans="27:30" x14ac:dyDescent="0.3">
      <c r="AA1584">
        <f t="shared" si="96"/>
        <v>0</v>
      </c>
      <c r="AB1584">
        <f t="shared" si="97"/>
        <v>0</v>
      </c>
      <c r="AC1584">
        <f t="shared" si="98"/>
        <v>0</v>
      </c>
      <c r="AD1584">
        <f t="shared" si="99"/>
        <v>0</v>
      </c>
    </row>
    <row r="1585" spans="27:30" x14ac:dyDescent="0.3">
      <c r="AA1585">
        <f t="shared" si="96"/>
        <v>0</v>
      </c>
      <c r="AB1585">
        <f t="shared" si="97"/>
        <v>0</v>
      </c>
      <c r="AC1585">
        <f t="shared" si="98"/>
        <v>0</v>
      </c>
      <c r="AD1585">
        <f t="shared" si="99"/>
        <v>0</v>
      </c>
    </row>
    <row r="1586" spans="27:30" x14ac:dyDescent="0.3">
      <c r="AA1586">
        <f t="shared" si="96"/>
        <v>0</v>
      </c>
      <c r="AB1586">
        <f t="shared" si="97"/>
        <v>0</v>
      </c>
      <c r="AC1586">
        <f t="shared" si="98"/>
        <v>0</v>
      </c>
      <c r="AD1586">
        <f t="shared" si="99"/>
        <v>0</v>
      </c>
    </row>
    <row r="1587" spans="27:30" x14ac:dyDescent="0.3">
      <c r="AA1587">
        <f t="shared" si="96"/>
        <v>0</v>
      </c>
      <c r="AB1587">
        <f t="shared" si="97"/>
        <v>0</v>
      </c>
      <c r="AC1587">
        <f t="shared" si="98"/>
        <v>0</v>
      </c>
      <c r="AD1587">
        <f t="shared" si="99"/>
        <v>0</v>
      </c>
    </row>
    <row r="1588" spans="27:30" x14ac:dyDescent="0.3">
      <c r="AA1588">
        <f t="shared" si="96"/>
        <v>0</v>
      </c>
      <c r="AB1588">
        <f t="shared" si="97"/>
        <v>0</v>
      </c>
      <c r="AC1588">
        <f t="shared" si="98"/>
        <v>0</v>
      </c>
      <c r="AD1588">
        <f t="shared" si="99"/>
        <v>0</v>
      </c>
    </row>
    <row r="1589" spans="27:30" x14ac:dyDescent="0.3">
      <c r="AA1589">
        <f t="shared" si="96"/>
        <v>0</v>
      </c>
      <c r="AB1589">
        <f t="shared" si="97"/>
        <v>0</v>
      </c>
      <c r="AC1589">
        <f t="shared" si="98"/>
        <v>0</v>
      </c>
      <c r="AD1589">
        <f t="shared" si="99"/>
        <v>0</v>
      </c>
    </row>
    <row r="1590" spans="27:30" x14ac:dyDescent="0.3">
      <c r="AA1590">
        <f t="shared" si="96"/>
        <v>0</v>
      </c>
      <c r="AB1590">
        <f t="shared" si="97"/>
        <v>0</v>
      </c>
      <c r="AC1590">
        <f t="shared" si="98"/>
        <v>0</v>
      </c>
      <c r="AD1590">
        <f t="shared" si="99"/>
        <v>0</v>
      </c>
    </row>
    <row r="1591" spans="27:30" x14ac:dyDescent="0.3">
      <c r="AA1591">
        <f t="shared" si="96"/>
        <v>0</v>
      </c>
      <c r="AB1591">
        <f t="shared" si="97"/>
        <v>0</v>
      </c>
      <c r="AC1591">
        <f t="shared" si="98"/>
        <v>0</v>
      </c>
      <c r="AD1591">
        <f t="shared" si="99"/>
        <v>0</v>
      </c>
    </row>
    <row r="1592" spans="27:30" x14ac:dyDescent="0.3">
      <c r="AA1592">
        <f t="shared" si="96"/>
        <v>0</v>
      </c>
      <c r="AB1592">
        <f t="shared" si="97"/>
        <v>0</v>
      </c>
      <c r="AC1592">
        <f t="shared" si="98"/>
        <v>0</v>
      </c>
      <c r="AD1592">
        <f t="shared" si="99"/>
        <v>0</v>
      </c>
    </row>
    <row r="1593" spans="27:30" x14ac:dyDescent="0.3">
      <c r="AA1593">
        <f t="shared" si="96"/>
        <v>0</v>
      </c>
      <c r="AB1593">
        <f t="shared" si="97"/>
        <v>0</v>
      </c>
      <c r="AC1593">
        <f t="shared" si="98"/>
        <v>0</v>
      </c>
      <c r="AD1593">
        <f t="shared" si="99"/>
        <v>0</v>
      </c>
    </row>
    <row r="1594" spans="27:30" x14ac:dyDescent="0.3">
      <c r="AA1594">
        <f t="shared" si="96"/>
        <v>0</v>
      </c>
      <c r="AB1594">
        <f t="shared" si="97"/>
        <v>0</v>
      </c>
      <c r="AC1594">
        <f t="shared" si="98"/>
        <v>0</v>
      </c>
      <c r="AD1594">
        <f t="shared" si="99"/>
        <v>0</v>
      </c>
    </row>
    <row r="1595" spans="27:30" x14ac:dyDescent="0.3">
      <c r="AA1595">
        <f t="shared" si="96"/>
        <v>0</v>
      </c>
      <c r="AB1595">
        <f t="shared" si="97"/>
        <v>0</v>
      </c>
      <c r="AC1595">
        <f t="shared" si="98"/>
        <v>0</v>
      </c>
      <c r="AD1595">
        <f t="shared" si="99"/>
        <v>0</v>
      </c>
    </row>
    <row r="1596" spans="27:30" x14ac:dyDescent="0.3">
      <c r="AA1596">
        <f t="shared" si="96"/>
        <v>0</v>
      </c>
      <c r="AB1596">
        <f t="shared" si="97"/>
        <v>0</v>
      </c>
      <c r="AC1596">
        <f t="shared" si="98"/>
        <v>0</v>
      </c>
      <c r="AD1596">
        <f t="shared" si="99"/>
        <v>0</v>
      </c>
    </row>
    <row r="1597" spans="27:30" x14ac:dyDescent="0.3">
      <c r="AA1597">
        <f t="shared" si="96"/>
        <v>0</v>
      </c>
      <c r="AB1597">
        <f t="shared" si="97"/>
        <v>0</v>
      </c>
      <c r="AC1597">
        <f t="shared" si="98"/>
        <v>0</v>
      </c>
      <c r="AD1597">
        <f t="shared" si="99"/>
        <v>0</v>
      </c>
    </row>
    <row r="1598" spans="27:30" x14ac:dyDescent="0.3">
      <c r="AA1598">
        <f t="shared" si="96"/>
        <v>0</v>
      </c>
      <c r="AB1598">
        <f t="shared" si="97"/>
        <v>0</v>
      </c>
      <c r="AC1598">
        <f t="shared" si="98"/>
        <v>0</v>
      </c>
      <c r="AD1598">
        <f t="shared" si="99"/>
        <v>0</v>
      </c>
    </row>
    <row r="1599" spans="27:30" x14ac:dyDescent="0.3">
      <c r="AA1599">
        <f t="shared" si="96"/>
        <v>0</v>
      </c>
      <c r="AB1599">
        <f t="shared" si="97"/>
        <v>0</v>
      </c>
      <c r="AC1599">
        <f t="shared" si="98"/>
        <v>0</v>
      </c>
      <c r="AD1599">
        <f t="shared" si="99"/>
        <v>0</v>
      </c>
    </row>
    <row r="1600" spans="27:30" x14ac:dyDescent="0.3">
      <c r="AA1600">
        <f t="shared" si="96"/>
        <v>0</v>
      </c>
      <c r="AB1600">
        <f t="shared" si="97"/>
        <v>0</v>
      </c>
      <c r="AC1600">
        <f t="shared" si="98"/>
        <v>0</v>
      </c>
      <c r="AD1600">
        <f t="shared" si="99"/>
        <v>0</v>
      </c>
    </row>
    <row r="1601" spans="27:30" x14ac:dyDescent="0.3">
      <c r="AA1601">
        <f t="shared" si="96"/>
        <v>0</v>
      </c>
      <c r="AB1601">
        <f t="shared" si="97"/>
        <v>0</v>
      </c>
      <c r="AC1601">
        <f t="shared" si="98"/>
        <v>0</v>
      </c>
      <c r="AD1601">
        <f t="shared" si="99"/>
        <v>0</v>
      </c>
    </row>
    <row r="1602" spans="27:30" x14ac:dyDescent="0.3">
      <c r="AA1602">
        <f t="shared" si="96"/>
        <v>0</v>
      </c>
      <c r="AB1602">
        <f t="shared" si="97"/>
        <v>0</v>
      </c>
      <c r="AC1602">
        <f t="shared" si="98"/>
        <v>0</v>
      </c>
      <c r="AD1602">
        <f t="shared" si="99"/>
        <v>0</v>
      </c>
    </row>
    <row r="1603" spans="27:30" x14ac:dyDescent="0.3">
      <c r="AA1603">
        <f t="shared" si="96"/>
        <v>0</v>
      </c>
      <c r="AB1603">
        <f t="shared" si="97"/>
        <v>0</v>
      </c>
      <c r="AC1603">
        <f t="shared" si="98"/>
        <v>0</v>
      </c>
      <c r="AD1603">
        <f t="shared" si="99"/>
        <v>0</v>
      </c>
    </row>
    <row r="1604" spans="27:30" x14ac:dyDescent="0.3">
      <c r="AA1604">
        <f t="shared" si="96"/>
        <v>0</v>
      </c>
      <c r="AB1604">
        <f t="shared" si="97"/>
        <v>0</v>
      </c>
      <c r="AC1604">
        <f t="shared" si="98"/>
        <v>0</v>
      </c>
      <c r="AD1604">
        <f t="shared" si="99"/>
        <v>0</v>
      </c>
    </row>
    <row r="1605" spans="27:30" x14ac:dyDescent="0.3">
      <c r="AA1605">
        <f t="shared" ref="AA1605:AA1668" si="100">ROUND(Z1605,0)</f>
        <v>0</v>
      </c>
      <c r="AB1605">
        <f t="shared" ref="AB1605:AB1668" si="101">IF(AA1605=Y1605,0,1)</f>
        <v>0</v>
      </c>
      <c r="AC1605">
        <f t="shared" ref="AC1605:AC1668" si="102">IF(AA1605&lt;Y1605+5,IF(AA1605&gt;Y1605-5,0,1),1)</f>
        <v>0</v>
      </c>
      <c r="AD1605">
        <f t="shared" ref="AD1605:AD1668" si="103">IF(AA1605&lt;Y1605+10,IF(AA1605&gt;Y1605-10,0,1),1)</f>
        <v>0</v>
      </c>
    </row>
    <row r="1606" spans="27:30" x14ac:dyDescent="0.3">
      <c r="AA1606">
        <f t="shared" si="100"/>
        <v>0</v>
      </c>
      <c r="AB1606">
        <f t="shared" si="101"/>
        <v>0</v>
      </c>
      <c r="AC1606">
        <f t="shared" si="102"/>
        <v>0</v>
      </c>
      <c r="AD1606">
        <f t="shared" si="103"/>
        <v>0</v>
      </c>
    </row>
    <row r="1607" spans="27:30" x14ac:dyDescent="0.3">
      <c r="AA1607">
        <f t="shared" si="100"/>
        <v>0</v>
      </c>
      <c r="AB1607">
        <f t="shared" si="101"/>
        <v>0</v>
      </c>
      <c r="AC1607">
        <f t="shared" si="102"/>
        <v>0</v>
      </c>
      <c r="AD1607">
        <f t="shared" si="103"/>
        <v>0</v>
      </c>
    </row>
    <row r="1608" spans="27:30" x14ac:dyDescent="0.3">
      <c r="AA1608">
        <f t="shared" si="100"/>
        <v>0</v>
      </c>
      <c r="AB1608">
        <f t="shared" si="101"/>
        <v>0</v>
      </c>
      <c r="AC1608">
        <f t="shared" si="102"/>
        <v>0</v>
      </c>
      <c r="AD1608">
        <f t="shared" si="103"/>
        <v>0</v>
      </c>
    </row>
    <row r="1609" spans="27:30" x14ac:dyDescent="0.3">
      <c r="AA1609">
        <f t="shared" si="100"/>
        <v>0</v>
      </c>
      <c r="AB1609">
        <f t="shared" si="101"/>
        <v>0</v>
      </c>
      <c r="AC1609">
        <f t="shared" si="102"/>
        <v>0</v>
      </c>
      <c r="AD1609">
        <f t="shared" si="103"/>
        <v>0</v>
      </c>
    </row>
    <row r="1610" spans="27:30" x14ac:dyDescent="0.3">
      <c r="AA1610">
        <f t="shared" si="100"/>
        <v>0</v>
      </c>
      <c r="AB1610">
        <f t="shared" si="101"/>
        <v>0</v>
      </c>
      <c r="AC1610">
        <f t="shared" si="102"/>
        <v>0</v>
      </c>
      <c r="AD1610">
        <f t="shared" si="103"/>
        <v>0</v>
      </c>
    </row>
    <row r="1611" spans="27:30" x14ac:dyDescent="0.3">
      <c r="AA1611">
        <f t="shared" si="100"/>
        <v>0</v>
      </c>
      <c r="AB1611">
        <f t="shared" si="101"/>
        <v>0</v>
      </c>
      <c r="AC1611">
        <f t="shared" si="102"/>
        <v>0</v>
      </c>
      <c r="AD1611">
        <f t="shared" si="103"/>
        <v>0</v>
      </c>
    </row>
    <row r="1612" spans="27:30" x14ac:dyDescent="0.3">
      <c r="AA1612">
        <f t="shared" si="100"/>
        <v>0</v>
      </c>
      <c r="AB1612">
        <f t="shared" si="101"/>
        <v>0</v>
      </c>
      <c r="AC1612">
        <f t="shared" si="102"/>
        <v>0</v>
      </c>
      <c r="AD1612">
        <f t="shared" si="103"/>
        <v>0</v>
      </c>
    </row>
    <row r="1613" spans="27:30" x14ac:dyDescent="0.3">
      <c r="AA1613">
        <f t="shared" si="100"/>
        <v>0</v>
      </c>
      <c r="AB1613">
        <f t="shared" si="101"/>
        <v>0</v>
      </c>
      <c r="AC1613">
        <f t="shared" si="102"/>
        <v>0</v>
      </c>
      <c r="AD1613">
        <f t="shared" si="103"/>
        <v>0</v>
      </c>
    </row>
    <row r="1614" spans="27:30" x14ac:dyDescent="0.3">
      <c r="AA1614">
        <f t="shared" si="100"/>
        <v>0</v>
      </c>
      <c r="AB1614">
        <f t="shared" si="101"/>
        <v>0</v>
      </c>
      <c r="AC1614">
        <f t="shared" si="102"/>
        <v>0</v>
      </c>
      <c r="AD1614">
        <f t="shared" si="103"/>
        <v>0</v>
      </c>
    </row>
    <row r="1615" spans="27:30" x14ac:dyDescent="0.3">
      <c r="AA1615">
        <f t="shared" si="100"/>
        <v>0</v>
      </c>
      <c r="AB1615">
        <f t="shared" si="101"/>
        <v>0</v>
      </c>
      <c r="AC1615">
        <f t="shared" si="102"/>
        <v>0</v>
      </c>
      <c r="AD1615">
        <f t="shared" si="103"/>
        <v>0</v>
      </c>
    </row>
    <row r="1616" spans="27:30" x14ac:dyDescent="0.3">
      <c r="AA1616">
        <f t="shared" si="100"/>
        <v>0</v>
      </c>
      <c r="AB1616">
        <f t="shared" si="101"/>
        <v>0</v>
      </c>
      <c r="AC1616">
        <f t="shared" si="102"/>
        <v>0</v>
      </c>
      <c r="AD1616">
        <f t="shared" si="103"/>
        <v>0</v>
      </c>
    </row>
    <row r="1617" spans="27:30" x14ac:dyDescent="0.3">
      <c r="AA1617">
        <f t="shared" si="100"/>
        <v>0</v>
      </c>
      <c r="AB1617">
        <f t="shared" si="101"/>
        <v>0</v>
      </c>
      <c r="AC1617">
        <f t="shared" si="102"/>
        <v>0</v>
      </c>
      <c r="AD1617">
        <f t="shared" si="103"/>
        <v>0</v>
      </c>
    </row>
    <row r="1618" spans="27:30" x14ac:dyDescent="0.3">
      <c r="AA1618">
        <f t="shared" si="100"/>
        <v>0</v>
      </c>
      <c r="AB1618">
        <f t="shared" si="101"/>
        <v>0</v>
      </c>
      <c r="AC1618">
        <f t="shared" si="102"/>
        <v>0</v>
      </c>
      <c r="AD1618">
        <f t="shared" si="103"/>
        <v>0</v>
      </c>
    </row>
    <row r="1619" spans="27:30" x14ac:dyDescent="0.3">
      <c r="AA1619">
        <f t="shared" si="100"/>
        <v>0</v>
      </c>
      <c r="AB1619">
        <f t="shared" si="101"/>
        <v>0</v>
      </c>
      <c r="AC1619">
        <f t="shared" si="102"/>
        <v>0</v>
      </c>
      <c r="AD1619">
        <f t="shared" si="103"/>
        <v>0</v>
      </c>
    </row>
    <row r="1620" spans="27:30" x14ac:dyDescent="0.3">
      <c r="AA1620">
        <f t="shared" si="100"/>
        <v>0</v>
      </c>
      <c r="AB1620">
        <f t="shared" si="101"/>
        <v>0</v>
      </c>
      <c r="AC1620">
        <f t="shared" si="102"/>
        <v>0</v>
      </c>
      <c r="AD1620">
        <f t="shared" si="103"/>
        <v>0</v>
      </c>
    </row>
    <row r="1621" spans="27:30" x14ac:dyDescent="0.3">
      <c r="AA1621">
        <f t="shared" si="100"/>
        <v>0</v>
      </c>
      <c r="AB1621">
        <f t="shared" si="101"/>
        <v>0</v>
      </c>
      <c r="AC1621">
        <f t="shared" si="102"/>
        <v>0</v>
      </c>
      <c r="AD1621">
        <f t="shared" si="103"/>
        <v>0</v>
      </c>
    </row>
    <row r="1622" spans="27:30" x14ac:dyDescent="0.3">
      <c r="AA1622">
        <f t="shared" si="100"/>
        <v>0</v>
      </c>
      <c r="AB1622">
        <f t="shared" si="101"/>
        <v>0</v>
      </c>
      <c r="AC1622">
        <f t="shared" si="102"/>
        <v>0</v>
      </c>
      <c r="AD1622">
        <f t="shared" si="103"/>
        <v>0</v>
      </c>
    </row>
    <row r="1623" spans="27:30" x14ac:dyDescent="0.3">
      <c r="AA1623">
        <f t="shared" si="100"/>
        <v>0</v>
      </c>
      <c r="AB1623">
        <f t="shared" si="101"/>
        <v>0</v>
      </c>
      <c r="AC1623">
        <f t="shared" si="102"/>
        <v>0</v>
      </c>
      <c r="AD1623">
        <f t="shared" si="103"/>
        <v>0</v>
      </c>
    </row>
    <row r="1624" spans="27:30" x14ac:dyDescent="0.3">
      <c r="AA1624">
        <f t="shared" si="100"/>
        <v>0</v>
      </c>
      <c r="AB1624">
        <f t="shared" si="101"/>
        <v>0</v>
      </c>
      <c r="AC1624">
        <f t="shared" si="102"/>
        <v>0</v>
      </c>
      <c r="AD1624">
        <f t="shared" si="103"/>
        <v>0</v>
      </c>
    </row>
    <row r="1625" spans="27:30" x14ac:dyDescent="0.3">
      <c r="AA1625">
        <f t="shared" si="100"/>
        <v>0</v>
      </c>
      <c r="AB1625">
        <f t="shared" si="101"/>
        <v>0</v>
      </c>
      <c r="AC1625">
        <f t="shared" si="102"/>
        <v>0</v>
      </c>
      <c r="AD1625">
        <f t="shared" si="103"/>
        <v>0</v>
      </c>
    </row>
    <row r="1626" spans="27:30" x14ac:dyDescent="0.3">
      <c r="AA1626">
        <f t="shared" si="100"/>
        <v>0</v>
      </c>
      <c r="AB1626">
        <f t="shared" si="101"/>
        <v>0</v>
      </c>
      <c r="AC1626">
        <f t="shared" si="102"/>
        <v>0</v>
      </c>
      <c r="AD1626">
        <f t="shared" si="103"/>
        <v>0</v>
      </c>
    </row>
    <row r="1627" spans="27:30" x14ac:dyDescent="0.3">
      <c r="AA1627">
        <f t="shared" si="100"/>
        <v>0</v>
      </c>
      <c r="AB1627">
        <f t="shared" si="101"/>
        <v>0</v>
      </c>
      <c r="AC1627">
        <f t="shared" si="102"/>
        <v>0</v>
      </c>
      <c r="AD1627">
        <f t="shared" si="103"/>
        <v>0</v>
      </c>
    </row>
    <row r="1628" spans="27:30" x14ac:dyDescent="0.3">
      <c r="AA1628">
        <f t="shared" si="100"/>
        <v>0</v>
      </c>
      <c r="AB1628">
        <f t="shared" si="101"/>
        <v>0</v>
      </c>
      <c r="AC1628">
        <f t="shared" si="102"/>
        <v>0</v>
      </c>
      <c r="AD1628">
        <f t="shared" si="103"/>
        <v>0</v>
      </c>
    </row>
    <row r="1629" spans="27:30" x14ac:dyDescent="0.3">
      <c r="AA1629">
        <f t="shared" si="100"/>
        <v>0</v>
      </c>
      <c r="AB1629">
        <f t="shared" si="101"/>
        <v>0</v>
      </c>
      <c r="AC1629">
        <f t="shared" si="102"/>
        <v>0</v>
      </c>
      <c r="AD1629">
        <f t="shared" si="103"/>
        <v>0</v>
      </c>
    </row>
    <row r="1630" spans="27:30" x14ac:dyDescent="0.3">
      <c r="AA1630">
        <f t="shared" si="100"/>
        <v>0</v>
      </c>
      <c r="AB1630">
        <f t="shared" si="101"/>
        <v>0</v>
      </c>
      <c r="AC1630">
        <f t="shared" si="102"/>
        <v>0</v>
      </c>
      <c r="AD1630">
        <f t="shared" si="103"/>
        <v>0</v>
      </c>
    </row>
    <row r="1631" spans="27:30" x14ac:dyDescent="0.3">
      <c r="AA1631">
        <f t="shared" si="100"/>
        <v>0</v>
      </c>
      <c r="AB1631">
        <f t="shared" si="101"/>
        <v>0</v>
      </c>
      <c r="AC1631">
        <f t="shared" si="102"/>
        <v>0</v>
      </c>
      <c r="AD1631">
        <f t="shared" si="103"/>
        <v>0</v>
      </c>
    </row>
    <row r="1632" spans="27:30" x14ac:dyDescent="0.3">
      <c r="AA1632">
        <f t="shared" si="100"/>
        <v>0</v>
      </c>
      <c r="AB1632">
        <f t="shared" si="101"/>
        <v>0</v>
      </c>
      <c r="AC1632">
        <f t="shared" si="102"/>
        <v>0</v>
      </c>
      <c r="AD1632">
        <f t="shared" si="103"/>
        <v>0</v>
      </c>
    </row>
    <row r="1633" spans="27:30" x14ac:dyDescent="0.3">
      <c r="AA1633">
        <f t="shared" si="100"/>
        <v>0</v>
      </c>
      <c r="AB1633">
        <f t="shared" si="101"/>
        <v>0</v>
      </c>
      <c r="AC1633">
        <f t="shared" si="102"/>
        <v>0</v>
      </c>
      <c r="AD1633">
        <f t="shared" si="103"/>
        <v>0</v>
      </c>
    </row>
    <row r="1634" spans="27:30" x14ac:dyDescent="0.3">
      <c r="AA1634">
        <f t="shared" si="100"/>
        <v>0</v>
      </c>
      <c r="AB1634">
        <f t="shared" si="101"/>
        <v>0</v>
      </c>
      <c r="AC1634">
        <f t="shared" si="102"/>
        <v>0</v>
      </c>
      <c r="AD1634">
        <f t="shared" si="103"/>
        <v>0</v>
      </c>
    </row>
    <row r="1635" spans="27:30" x14ac:dyDescent="0.3">
      <c r="AA1635">
        <f t="shared" si="100"/>
        <v>0</v>
      </c>
      <c r="AB1635">
        <f t="shared" si="101"/>
        <v>0</v>
      </c>
      <c r="AC1635">
        <f t="shared" si="102"/>
        <v>0</v>
      </c>
      <c r="AD1635">
        <f t="shared" si="103"/>
        <v>0</v>
      </c>
    </row>
    <row r="1636" spans="27:30" x14ac:dyDescent="0.3">
      <c r="AA1636">
        <f t="shared" si="100"/>
        <v>0</v>
      </c>
      <c r="AB1636">
        <f t="shared" si="101"/>
        <v>0</v>
      </c>
      <c r="AC1636">
        <f t="shared" si="102"/>
        <v>0</v>
      </c>
      <c r="AD1636">
        <f t="shared" si="103"/>
        <v>0</v>
      </c>
    </row>
    <row r="1637" spans="27:30" x14ac:dyDescent="0.3">
      <c r="AA1637">
        <f t="shared" si="100"/>
        <v>0</v>
      </c>
      <c r="AB1637">
        <f t="shared" si="101"/>
        <v>0</v>
      </c>
      <c r="AC1637">
        <f t="shared" si="102"/>
        <v>0</v>
      </c>
      <c r="AD1637">
        <f t="shared" si="103"/>
        <v>0</v>
      </c>
    </row>
    <row r="1638" spans="27:30" x14ac:dyDescent="0.3">
      <c r="AA1638">
        <f t="shared" si="100"/>
        <v>0</v>
      </c>
      <c r="AB1638">
        <f t="shared" si="101"/>
        <v>0</v>
      </c>
      <c r="AC1638">
        <f t="shared" si="102"/>
        <v>0</v>
      </c>
      <c r="AD1638">
        <f t="shared" si="103"/>
        <v>0</v>
      </c>
    </row>
    <row r="1639" spans="27:30" x14ac:dyDescent="0.3">
      <c r="AA1639">
        <f t="shared" si="100"/>
        <v>0</v>
      </c>
      <c r="AB1639">
        <f t="shared" si="101"/>
        <v>0</v>
      </c>
      <c r="AC1639">
        <f t="shared" si="102"/>
        <v>0</v>
      </c>
      <c r="AD1639">
        <f t="shared" si="103"/>
        <v>0</v>
      </c>
    </row>
    <row r="1640" spans="27:30" x14ac:dyDescent="0.3">
      <c r="AA1640">
        <f t="shared" si="100"/>
        <v>0</v>
      </c>
      <c r="AB1640">
        <f t="shared" si="101"/>
        <v>0</v>
      </c>
      <c r="AC1640">
        <f t="shared" si="102"/>
        <v>0</v>
      </c>
      <c r="AD1640">
        <f t="shared" si="103"/>
        <v>0</v>
      </c>
    </row>
    <row r="1641" spans="27:30" x14ac:dyDescent="0.3">
      <c r="AA1641">
        <f t="shared" si="100"/>
        <v>0</v>
      </c>
      <c r="AB1641">
        <f t="shared" si="101"/>
        <v>0</v>
      </c>
      <c r="AC1641">
        <f t="shared" si="102"/>
        <v>0</v>
      </c>
      <c r="AD1641">
        <f t="shared" si="103"/>
        <v>0</v>
      </c>
    </row>
    <row r="1642" spans="27:30" x14ac:dyDescent="0.3">
      <c r="AA1642">
        <f t="shared" si="100"/>
        <v>0</v>
      </c>
      <c r="AB1642">
        <f t="shared" si="101"/>
        <v>0</v>
      </c>
      <c r="AC1642">
        <f t="shared" si="102"/>
        <v>0</v>
      </c>
      <c r="AD1642">
        <f t="shared" si="103"/>
        <v>0</v>
      </c>
    </row>
    <row r="1643" spans="27:30" x14ac:dyDescent="0.3">
      <c r="AA1643">
        <f t="shared" si="100"/>
        <v>0</v>
      </c>
      <c r="AB1643">
        <f t="shared" si="101"/>
        <v>0</v>
      </c>
      <c r="AC1643">
        <f t="shared" si="102"/>
        <v>0</v>
      </c>
      <c r="AD1643">
        <f t="shared" si="103"/>
        <v>0</v>
      </c>
    </row>
    <row r="1644" spans="27:30" x14ac:dyDescent="0.3">
      <c r="AA1644">
        <f t="shared" si="100"/>
        <v>0</v>
      </c>
      <c r="AB1644">
        <f t="shared" si="101"/>
        <v>0</v>
      </c>
      <c r="AC1644">
        <f t="shared" si="102"/>
        <v>0</v>
      </c>
      <c r="AD1644">
        <f t="shared" si="103"/>
        <v>0</v>
      </c>
    </row>
    <row r="1645" spans="27:30" x14ac:dyDescent="0.3">
      <c r="AA1645">
        <f t="shared" si="100"/>
        <v>0</v>
      </c>
      <c r="AB1645">
        <f t="shared" si="101"/>
        <v>0</v>
      </c>
      <c r="AC1645">
        <f t="shared" si="102"/>
        <v>0</v>
      </c>
      <c r="AD1645">
        <f t="shared" si="103"/>
        <v>0</v>
      </c>
    </row>
    <row r="1646" spans="27:30" x14ac:dyDescent="0.3">
      <c r="AA1646">
        <f t="shared" si="100"/>
        <v>0</v>
      </c>
      <c r="AB1646">
        <f t="shared" si="101"/>
        <v>0</v>
      </c>
      <c r="AC1646">
        <f t="shared" si="102"/>
        <v>0</v>
      </c>
      <c r="AD1646">
        <f t="shared" si="103"/>
        <v>0</v>
      </c>
    </row>
    <row r="1647" spans="27:30" x14ac:dyDescent="0.3">
      <c r="AA1647">
        <f t="shared" si="100"/>
        <v>0</v>
      </c>
      <c r="AB1647">
        <f t="shared" si="101"/>
        <v>0</v>
      </c>
      <c r="AC1647">
        <f t="shared" si="102"/>
        <v>0</v>
      </c>
      <c r="AD1647">
        <f t="shared" si="103"/>
        <v>0</v>
      </c>
    </row>
    <row r="1648" spans="27:30" x14ac:dyDescent="0.3">
      <c r="AA1648">
        <f t="shared" si="100"/>
        <v>0</v>
      </c>
      <c r="AB1648">
        <f t="shared" si="101"/>
        <v>0</v>
      </c>
      <c r="AC1648">
        <f t="shared" si="102"/>
        <v>0</v>
      </c>
      <c r="AD1648">
        <f t="shared" si="103"/>
        <v>0</v>
      </c>
    </row>
    <row r="1649" spans="27:30" x14ac:dyDescent="0.3">
      <c r="AA1649">
        <f t="shared" si="100"/>
        <v>0</v>
      </c>
      <c r="AB1649">
        <f t="shared" si="101"/>
        <v>0</v>
      </c>
      <c r="AC1649">
        <f t="shared" si="102"/>
        <v>0</v>
      </c>
      <c r="AD1649">
        <f t="shared" si="103"/>
        <v>0</v>
      </c>
    </row>
    <row r="1650" spans="27:30" x14ac:dyDescent="0.3">
      <c r="AA1650">
        <f t="shared" si="100"/>
        <v>0</v>
      </c>
      <c r="AB1650">
        <f t="shared" si="101"/>
        <v>0</v>
      </c>
      <c r="AC1650">
        <f t="shared" si="102"/>
        <v>0</v>
      </c>
      <c r="AD1650">
        <f t="shared" si="103"/>
        <v>0</v>
      </c>
    </row>
    <row r="1651" spans="27:30" x14ac:dyDescent="0.3">
      <c r="AA1651">
        <f t="shared" si="100"/>
        <v>0</v>
      </c>
      <c r="AB1651">
        <f t="shared" si="101"/>
        <v>0</v>
      </c>
      <c r="AC1651">
        <f t="shared" si="102"/>
        <v>0</v>
      </c>
      <c r="AD1651">
        <f t="shared" si="103"/>
        <v>0</v>
      </c>
    </row>
    <row r="1652" spans="27:30" x14ac:dyDescent="0.3">
      <c r="AA1652">
        <f t="shared" si="100"/>
        <v>0</v>
      </c>
      <c r="AB1652">
        <f t="shared" si="101"/>
        <v>0</v>
      </c>
      <c r="AC1652">
        <f t="shared" si="102"/>
        <v>0</v>
      </c>
      <c r="AD1652">
        <f t="shared" si="103"/>
        <v>0</v>
      </c>
    </row>
    <row r="1653" spans="27:30" x14ac:dyDescent="0.3">
      <c r="AA1653">
        <f t="shared" si="100"/>
        <v>0</v>
      </c>
      <c r="AB1653">
        <f t="shared" si="101"/>
        <v>0</v>
      </c>
      <c r="AC1653">
        <f t="shared" si="102"/>
        <v>0</v>
      </c>
      <c r="AD1653">
        <f t="shared" si="103"/>
        <v>0</v>
      </c>
    </row>
    <row r="1654" spans="27:30" x14ac:dyDescent="0.3">
      <c r="AA1654">
        <f t="shared" si="100"/>
        <v>0</v>
      </c>
      <c r="AB1654">
        <f t="shared" si="101"/>
        <v>0</v>
      </c>
      <c r="AC1654">
        <f t="shared" si="102"/>
        <v>0</v>
      </c>
      <c r="AD1654">
        <f t="shared" si="103"/>
        <v>0</v>
      </c>
    </row>
    <row r="1655" spans="27:30" x14ac:dyDescent="0.3">
      <c r="AA1655">
        <f t="shared" si="100"/>
        <v>0</v>
      </c>
      <c r="AB1655">
        <f t="shared" si="101"/>
        <v>0</v>
      </c>
      <c r="AC1655">
        <f t="shared" si="102"/>
        <v>0</v>
      </c>
      <c r="AD1655">
        <f t="shared" si="103"/>
        <v>0</v>
      </c>
    </row>
    <row r="1656" spans="27:30" x14ac:dyDescent="0.3">
      <c r="AA1656">
        <f t="shared" si="100"/>
        <v>0</v>
      </c>
      <c r="AB1656">
        <f t="shared" si="101"/>
        <v>0</v>
      </c>
      <c r="AC1656">
        <f t="shared" si="102"/>
        <v>0</v>
      </c>
      <c r="AD1656">
        <f t="shared" si="103"/>
        <v>0</v>
      </c>
    </row>
    <row r="1657" spans="27:30" x14ac:dyDescent="0.3">
      <c r="AA1657">
        <f t="shared" si="100"/>
        <v>0</v>
      </c>
      <c r="AB1657">
        <f t="shared" si="101"/>
        <v>0</v>
      </c>
      <c r="AC1657">
        <f t="shared" si="102"/>
        <v>0</v>
      </c>
      <c r="AD1657">
        <f t="shared" si="103"/>
        <v>0</v>
      </c>
    </row>
    <row r="1658" spans="27:30" x14ac:dyDescent="0.3">
      <c r="AA1658">
        <f t="shared" si="100"/>
        <v>0</v>
      </c>
      <c r="AB1658">
        <f t="shared" si="101"/>
        <v>0</v>
      </c>
      <c r="AC1658">
        <f t="shared" si="102"/>
        <v>0</v>
      </c>
      <c r="AD1658">
        <f t="shared" si="103"/>
        <v>0</v>
      </c>
    </row>
    <row r="1659" spans="27:30" x14ac:dyDescent="0.3">
      <c r="AA1659">
        <f t="shared" si="100"/>
        <v>0</v>
      </c>
      <c r="AB1659">
        <f t="shared" si="101"/>
        <v>0</v>
      </c>
      <c r="AC1659">
        <f t="shared" si="102"/>
        <v>0</v>
      </c>
      <c r="AD1659">
        <f t="shared" si="103"/>
        <v>0</v>
      </c>
    </row>
    <row r="1660" spans="27:30" x14ac:dyDescent="0.3">
      <c r="AA1660">
        <f t="shared" si="100"/>
        <v>0</v>
      </c>
      <c r="AB1660">
        <f t="shared" si="101"/>
        <v>0</v>
      </c>
      <c r="AC1660">
        <f t="shared" si="102"/>
        <v>0</v>
      </c>
      <c r="AD1660">
        <f t="shared" si="103"/>
        <v>0</v>
      </c>
    </row>
    <row r="1661" spans="27:30" x14ac:dyDescent="0.3">
      <c r="AA1661">
        <f t="shared" si="100"/>
        <v>0</v>
      </c>
      <c r="AB1661">
        <f t="shared" si="101"/>
        <v>0</v>
      </c>
      <c r="AC1661">
        <f t="shared" si="102"/>
        <v>0</v>
      </c>
      <c r="AD1661">
        <f t="shared" si="103"/>
        <v>0</v>
      </c>
    </row>
    <row r="1662" spans="27:30" x14ac:dyDescent="0.3">
      <c r="AA1662">
        <f t="shared" si="100"/>
        <v>0</v>
      </c>
      <c r="AB1662">
        <f t="shared" si="101"/>
        <v>0</v>
      </c>
      <c r="AC1662">
        <f t="shared" si="102"/>
        <v>0</v>
      </c>
      <c r="AD1662">
        <f t="shared" si="103"/>
        <v>0</v>
      </c>
    </row>
    <row r="1663" spans="27:30" x14ac:dyDescent="0.3">
      <c r="AA1663">
        <f t="shared" si="100"/>
        <v>0</v>
      </c>
      <c r="AB1663">
        <f t="shared" si="101"/>
        <v>0</v>
      </c>
      <c r="AC1663">
        <f t="shared" si="102"/>
        <v>0</v>
      </c>
      <c r="AD1663">
        <f t="shared" si="103"/>
        <v>0</v>
      </c>
    </row>
    <row r="1664" spans="27:30" x14ac:dyDescent="0.3">
      <c r="AA1664">
        <f t="shared" si="100"/>
        <v>0</v>
      </c>
      <c r="AB1664">
        <f t="shared" si="101"/>
        <v>0</v>
      </c>
      <c r="AC1664">
        <f t="shared" si="102"/>
        <v>0</v>
      </c>
      <c r="AD1664">
        <f t="shared" si="103"/>
        <v>0</v>
      </c>
    </row>
    <row r="1665" spans="27:30" x14ac:dyDescent="0.3">
      <c r="AA1665">
        <f t="shared" si="100"/>
        <v>0</v>
      </c>
      <c r="AB1665">
        <f t="shared" si="101"/>
        <v>0</v>
      </c>
      <c r="AC1665">
        <f t="shared" si="102"/>
        <v>0</v>
      </c>
      <c r="AD1665">
        <f t="shared" si="103"/>
        <v>0</v>
      </c>
    </row>
    <row r="1666" spans="27:30" x14ac:dyDescent="0.3">
      <c r="AA1666">
        <f t="shared" si="100"/>
        <v>0</v>
      </c>
      <c r="AB1666">
        <f t="shared" si="101"/>
        <v>0</v>
      </c>
      <c r="AC1666">
        <f t="shared" si="102"/>
        <v>0</v>
      </c>
      <c r="AD1666">
        <f t="shared" si="103"/>
        <v>0</v>
      </c>
    </row>
    <row r="1667" spans="27:30" x14ac:dyDescent="0.3">
      <c r="AA1667">
        <f t="shared" si="100"/>
        <v>0</v>
      </c>
      <c r="AB1667">
        <f t="shared" si="101"/>
        <v>0</v>
      </c>
      <c r="AC1667">
        <f t="shared" si="102"/>
        <v>0</v>
      </c>
      <c r="AD1667">
        <f t="shared" si="103"/>
        <v>0</v>
      </c>
    </row>
    <row r="1668" spans="27:30" x14ac:dyDescent="0.3">
      <c r="AA1668">
        <f t="shared" si="100"/>
        <v>0</v>
      </c>
      <c r="AB1668">
        <f t="shared" si="101"/>
        <v>0</v>
      </c>
      <c r="AC1668">
        <f t="shared" si="102"/>
        <v>0</v>
      </c>
      <c r="AD1668">
        <f t="shared" si="103"/>
        <v>0</v>
      </c>
    </row>
    <row r="1669" spans="27:30" x14ac:dyDescent="0.3">
      <c r="AA1669">
        <f t="shared" ref="AA1669:AA1732" si="104">ROUND(Z1669,0)</f>
        <v>0</v>
      </c>
      <c r="AB1669">
        <f t="shared" ref="AB1669:AB1732" si="105">IF(AA1669=Y1669,0,1)</f>
        <v>0</v>
      </c>
      <c r="AC1669">
        <f t="shared" ref="AC1669:AC1732" si="106">IF(AA1669&lt;Y1669+5,IF(AA1669&gt;Y1669-5,0,1),1)</f>
        <v>0</v>
      </c>
      <c r="AD1669">
        <f t="shared" ref="AD1669:AD1732" si="107">IF(AA1669&lt;Y1669+10,IF(AA1669&gt;Y1669-10,0,1),1)</f>
        <v>0</v>
      </c>
    </row>
    <row r="1670" spans="27:30" x14ac:dyDescent="0.3">
      <c r="AA1670">
        <f t="shared" si="104"/>
        <v>0</v>
      </c>
      <c r="AB1670">
        <f t="shared" si="105"/>
        <v>0</v>
      </c>
      <c r="AC1670">
        <f t="shared" si="106"/>
        <v>0</v>
      </c>
      <c r="AD1670">
        <f t="shared" si="107"/>
        <v>0</v>
      </c>
    </row>
    <row r="1671" spans="27:30" x14ac:dyDescent="0.3">
      <c r="AA1671">
        <f t="shared" si="104"/>
        <v>0</v>
      </c>
      <c r="AB1671">
        <f t="shared" si="105"/>
        <v>0</v>
      </c>
      <c r="AC1671">
        <f t="shared" si="106"/>
        <v>0</v>
      </c>
      <c r="AD1671">
        <f t="shared" si="107"/>
        <v>0</v>
      </c>
    </row>
    <row r="1672" spans="27:30" x14ac:dyDescent="0.3">
      <c r="AA1672">
        <f t="shared" si="104"/>
        <v>0</v>
      </c>
      <c r="AB1672">
        <f t="shared" si="105"/>
        <v>0</v>
      </c>
      <c r="AC1672">
        <f t="shared" si="106"/>
        <v>0</v>
      </c>
      <c r="AD1672">
        <f t="shared" si="107"/>
        <v>0</v>
      </c>
    </row>
    <row r="1673" spans="27:30" x14ac:dyDescent="0.3">
      <c r="AA1673">
        <f t="shared" si="104"/>
        <v>0</v>
      </c>
      <c r="AB1673">
        <f t="shared" si="105"/>
        <v>0</v>
      </c>
      <c r="AC1673">
        <f t="shared" si="106"/>
        <v>0</v>
      </c>
      <c r="AD1673">
        <f t="shared" si="107"/>
        <v>0</v>
      </c>
    </row>
    <row r="1674" spans="27:30" x14ac:dyDescent="0.3">
      <c r="AA1674">
        <f t="shared" si="104"/>
        <v>0</v>
      </c>
      <c r="AB1674">
        <f t="shared" si="105"/>
        <v>0</v>
      </c>
      <c r="AC1674">
        <f t="shared" si="106"/>
        <v>0</v>
      </c>
      <c r="AD1674">
        <f t="shared" si="107"/>
        <v>0</v>
      </c>
    </row>
    <row r="1675" spans="27:30" x14ac:dyDescent="0.3">
      <c r="AA1675">
        <f t="shared" si="104"/>
        <v>0</v>
      </c>
      <c r="AB1675">
        <f t="shared" si="105"/>
        <v>0</v>
      </c>
      <c r="AC1675">
        <f t="shared" si="106"/>
        <v>0</v>
      </c>
      <c r="AD1675">
        <f t="shared" si="107"/>
        <v>0</v>
      </c>
    </row>
    <row r="1676" spans="27:30" x14ac:dyDescent="0.3">
      <c r="AA1676">
        <f t="shared" si="104"/>
        <v>0</v>
      </c>
      <c r="AB1676">
        <f t="shared" si="105"/>
        <v>0</v>
      </c>
      <c r="AC1676">
        <f t="shared" si="106"/>
        <v>0</v>
      </c>
      <c r="AD1676">
        <f t="shared" si="107"/>
        <v>0</v>
      </c>
    </row>
    <row r="1677" spans="27:30" x14ac:dyDescent="0.3">
      <c r="AA1677">
        <f t="shared" si="104"/>
        <v>0</v>
      </c>
      <c r="AB1677">
        <f t="shared" si="105"/>
        <v>0</v>
      </c>
      <c r="AC1677">
        <f t="shared" si="106"/>
        <v>0</v>
      </c>
      <c r="AD1677">
        <f t="shared" si="107"/>
        <v>0</v>
      </c>
    </row>
    <row r="1678" spans="27:30" x14ac:dyDescent="0.3">
      <c r="AA1678">
        <f t="shared" si="104"/>
        <v>0</v>
      </c>
      <c r="AB1678">
        <f t="shared" si="105"/>
        <v>0</v>
      </c>
      <c r="AC1678">
        <f t="shared" si="106"/>
        <v>0</v>
      </c>
      <c r="AD1678">
        <f t="shared" si="107"/>
        <v>0</v>
      </c>
    </row>
    <row r="1679" spans="27:30" x14ac:dyDescent="0.3">
      <c r="AA1679">
        <f t="shared" si="104"/>
        <v>0</v>
      </c>
      <c r="AB1679">
        <f t="shared" si="105"/>
        <v>0</v>
      </c>
      <c r="AC1679">
        <f t="shared" si="106"/>
        <v>0</v>
      </c>
      <c r="AD1679">
        <f t="shared" si="107"/>
        <v>0</v>
      </c>
    </row>
    <row r="1680" spans="27:30" x14ac:dyDescent="0.3">
      <c r="AA1680">
        <f t="shared" si="104"/>
        <v>0</v>
      </c>
      <c r="AB1680">
        <f t="shared" si="105"/>
        <v>0</v>
      </c>
      <c r="AC1680">
        <f t="shared" si="106"/>
        <v>0</v>
      </c>
      <c r="AD1680">
        <f t="shared" si="107"/>
        <v>0</v>
      </c>
    </row>
    <row r="1681" spans="27:30" x14ac:dyDescent="0.3">
      <c r="AA1681">
        <f t="shared" si="104"/>
        <v>0</v>
      </c>
      <c r="AB1681">
        <f t="shared" si="105"/>
        <v>0</v>
      </c>
      <c r="AC1681">
        <f t="shared" si="106"/>
        <v>0</v>
      </c>
      <c r="AD1681">
        <f t="shared" si="107"/>
        <v>0</v>
      </c>
    </row>
    <row r="1682" spans="27:30" x14ac:dyDescent="0.3">
      <c r="AA1682">
        <f t="shared" si="104"/>
        <v>0</v>
      </c>
      <c r="AB1682">
        <f t="shared" si="105"/>
        <v>0</v>
      </c>
      <c r="AC1682">
        <f t="shared" si="106"/>
        <v>0</v>
      </c>
      <c r="AD1682">
        <f t="shared" si="107"/>
        <v>0</v>
      </c>
    </row>
    <row r="1683" spans="27:30" x14ac:dyDescent="0.3">
      <c r="AA1683">
        <f t="shared" si="104"/>
        <v>0</v>
      </c>
      <c r="AB1683">
        <f t="shared" si="105"/>
        <v>0</v>
      </c>
      <c r="AC1683">
        <f t="shared" si="106"/>
        <v>0</v>
      </c>
      <c r="AD1683">
        <f t="shared" si="107"/>
        <v>0</v>
      </c>
    </row>
    <row r="1684" spans="27:30" x14ac:dyDescent="0.3">
      <c r="AA1684">
        <f t="shared" si="104"/>
        <v>0</v>
      </c>
      <c r="AB1684">
        <f t="shared" si="105"/>
        <v>0</v>
      </c>
      <c r="AC1684">
        <f t="shared" si="106"/>
        <v>0</v>
      </c>
      <c r="AD1684">
        <f t="shared" si="107"/>
        <v>0</v>
      </c>
    </row>
    <row r="1685" spans="27:30" x14ac:dyDescent="0.3">
      <c r="AA1685">
        <f t="shared" si="104"/>
        <v>0</v>
      </c>
      <c r="AB1685">
        <f t="shared" si="105"/>
        <v>0</v>
      </c>
      <c r="AC1685">
        <f t="shared" si="106"/>
        <v>0</v>
      </c>
      <c r="AD1685">
        <f t="shared" si="107"/>
        <v>0</v>
      </c>
    </row>
    <row r="1686" spans="27:30" x14ac:dyDescent="0.3">
      <c r="AA1686">
        <f t="shared" si="104"/>
        <v>0</v>
      </c>
      <c r="AB1686">
        <f t="shared" si="105"/>
        <v>0</v>
      </c>
      <c r="AC1686">
        <f t="shared" si="106"/>
        <v>0</v>
      </c>
      <c r="AD1686">
        <f t="shared" si="107"/>
        <v>0</v>
      </c>
    </row>
    <row r="1687" spans="27:30" x14ac:dyDescent="0.3">
      <c r="AA1687">
        <f t="shared" si="104"/>
        <v>0</v>
      </c>
      <c r="AB1687">
        <f t="shared" si="105"/>
        <v>0</v>
      </c>
      <c r="AC1687">
        <f t="shared" si="106"/>
        <v>0</v>
      </c>
      <c r="AD1687">
        <f t="shared" si="107"/>
        <v>0</v>
      </c>
    </row>
    <row r="1688" spans="27:30" x14ac:dyDescent="0.3">
      <c r="AA1688">
        <f t="shared" si="104"/>
        <v>0</v>
      </c>
      <c r="AB1688">
        <f t="shared" si="105"/>
        <v>0</v>
      </c>
      <c r="AC1688">
        <f t="shared" si="106"/>
        <v>0</v>
      </c>
      <c r="AD1688">
        <f t="shared" si="107"/>
        <v>0</v>
      </c>
    </row>
    <row r="1689" spans="27:30" x14ac:dyDescent="0.3">
      <c r="AA1689">
        <f t="shared" si="104"/>
        <v>0</v>
      </c>
      <c r="AB1689">
        <f t="shared" si="105"/>
        <v>0</v>
      </c>
      <c r="AC1689">
        <f t="shared" si="106"/>
        <v>0</v>
      </c>
      <c r="AD1689">
        <f t="shared" si="107"/>
        <v>0</v>
      </c>
    </row>
    <row r="1690" spans="27:30" x14ac:dyDescent="0.3">
      <c r="AA1690">
        <f t="shared" si="104"/>
        <v>0</v>
      </c>
      <c r="AB1690">
        <f t="shared" si="105"/>
        <v>0</v>
      </c>
      <c r="AC1690">
        <f t="shared" si="106"/>
        <v>0</v>
      </c>
      <c r="AD1690">
        <f t="shared" si="107"/>
        <v>0</v>
      </c>
    </row>
    <row r="1691" spans="27:30" x14ac:dyDescent="0.3">
      <c r="AA1691">
        <f t="shared" si="104"/>
        <v>0</v>
      </c>
      <c r="AB1691">
        <f t="shared" si="105"/>
        <v>0</v>
      </c>
      <c r="AC1691">
        <f t="shared" si="106"/>
        <v>0</v>
      </c>
      <c r="AD1691">
        <f t="shared" si="107"/>
        <v>0</v>
      </c>
    </row>
    <row r="1692" spans="27:30" x14ac:dyDescent="0.3">
      <c r="AA1692">
        <f t="shared" si="104"/>
        <v>0</v>
      </c>
      <c r="AB1692">
        <f t="shared" si="105"/>
        <v>0</v>
      </c>
      <c r="AC1692">
        <f t="shared" si="106"/>
        <v>0</v>
      </c>
      <c r="AD1692">
        <f t="shared" si="107"/>
        <v>0</v>
      </c>
    </row>
    <row r="1693" spans="27:30" x14ac:dyDescent="0.3">
      <c r="AA1693">
        <f t="shared" si="104"/>
        <v>0</v>
      </c>
      <c r="AB1693">
        <f t="shared" si="105"/>
        <v>0</v>
      </c>
      <c r="AC1693">
        <f t="shared" si="106"/>
        <v>0</v>
      </c>
      <c r="AD1693">
        <f t="shared" si="107"/>
        <v>0</v>
      </c>
    </row>
    <row r="1694" spans="27:30" x14ac:dyDescent="0.3">
      <c r="AA1694">
        <f t="shared" si="104"/>
        <v>0</v>
      </c>
      <c r="AB1694">
        <f t="shared" si="105"/>
        <v>0</v>
      </c>
      <c r="AC1694">
        <f t="shared" si="106"/>
        <v>0</v>
      </c>
      <c r="AD1694">
        <f t="shared" si="107"/>
        <v>0</v>
      </c>
    </row>
    <row r="1695" spans="27:30" x14ac:dyDescent="0.3">
      <c r="AA1695">
        <f t="shared" si="104"/>
        <v>0</v>
      </c>
      <c r="AB1695">
        <f t="shared" si="105"/>
        <v>0</v>
      </c>
      <c r="AC1695">
        <f t="shared" si="106"/>
        <v>0</v>
      </c>
      <c r="AD1695">
        <f t="shared" si="107"/>
        <v>0</v>
      </c>
    </row>
    <row r="1696" spans="27:30" x14ac:dyDescent="0.3">
      <c r="AA1696">
        <f t="shared" si="104"/>
        <v>0</v>
      </c>
      <c r="AB1696">
        <f t="shared" si="105"/>
        <v>0</v>
      </c>
      <c r="AC1696">
        <f t="shared" si="106"/>
        <v>0</v>
      </c>
      <c r="AD1696">
        <f t="shared" si="107"/>
        <v>0</v>
      </c>
    </row>
    <row r="1697" spans="27:30" x14ac:dyDescent="0.3">
      <c r="AA1697">
        <f t="shared" si="104"/>
        <v>0</v>
      </c>
      <c r="AB1697">
        <f t="shared" si="105"/>
        <v>0</v>
      </c>
      <c r="AC1697">
        <f t="shared" si="106"/>
        <v>0</v>
      </c>
      <c r="AD1697">
        <f t="shared" si="107"/>
        <v>0</v>
      </c>
    </row>
    <row r="1698" spans="27:30" x14ac:dyDescent="0.3">
      <c r="AA1698">
        <f t="shared" si="104"/>
        <v>0</v>
      </c>
      <c r="AB1698">
        <f t="shared" si="105"/>
        <v>0</v>
      </c>
      <c r="AC1698">
        <f t="shared" si="106"/>
        <v>0</v>
      </c>
      <c r="AD1698">
        <f t="shared" si="107"/>
        <v>0</v>
      </c>
    </row>
    <row r="1699" spans="27:30" x14ac:dyDescent="0.3">
      <c r="AA1699">
        <f t="shared" si="104"/>
        <v>0</v>
      </c>
      <c r="AB1699">
        <f t="shared" si="105"/>
        <v>0</v>
      </c>
      <c r="AC1699">
        <f t="shared" si="106"/>
        <v>0</v>
      </c>
      <c r="AD1699">
        <f t="shared" si="107"/>
        <v>0</v>
      </c>
    </row>
    <row r="1700" spans="27:30" x14ac:dyDescent="0.3">
      <c r="AA1700">
        <f t="shared" si="104"/>
        <v>0</v>
      </c>
      <c r="AB1700">
        <f t="shared" si="105"/>
        <v>0</v>
      </c>
      <c r="AC1700">
        <f t="shared" si="106"/>
        <v>0</v>
      </c>
      <c r="AD1700">
        <f t="shared" si="107"/>
        <v>0</v>
      </c>
    </row>
    <row r="1701" spans="27:30" x14ac:dyDescent="0.3">
      <c r="AA1701">
        <f t="shared" si="104"/>
        <v>0</v>
      </c>
      <c r="AB1701">
        <f t="shared" si="105"/>
        <v>0</v>
      </c>
      <c r="AC1701">
        <f t="shared" si="106"/>
        <v>0</v>
      </c>
      <c r="AD1701">
        <f t="shared" si="107"/>
        <v>0</v>
      </c>
    </row>
    <row r="1702" spans="27:30" x14ac:dyDescent="0.3">
      <c r="AA1702">
        <f t="shared" si="104"/>
        <v>0</v>
      </c>
      <c r="AB1702">
        <f t="shared" si="105"/>
        <v>0</v>
      </c>
      <c r="AC1702">
        <f t="shared" si="106"/>
        <v>0</v>
      </c>
      <c r="AD1702">
        <f t="shared" si="107"/>
        <v>0</v>
      </c>
    </row>
    <row r="1703" spans="27:30" x14ac:dyDescent="0.3">
      <c r="AA1703">
        <f t="shared" si="104"/>
        <v>0</v>
      </c>
      <c r="AB1703">
        <f t="shared" si="105"/>
        <v>0</v>
      </c>
      <c r="AC1703">
        <f t="shared" si="106"/>
        <v>0</v>
      </c>
      <c r="AD1703">
        <f t="shared" si="107"/>
        <v>0</v>
      </c>
    </row>
    <row r="1704" spans="27:30" x14ac:dyDescent="0.3">
      <c r="AA1704">
        <f t="shared" si="104"/>
        <v>0</v>
      </c>
      <c r="AB1704">
        <f t="shared" si="105"/>
        <v>0</v>
      </c>
      <c r="AC1704">
        <f t="shared" si="106"/>
        <v>0</v>
      </c>
      <c r="AD1704">
        <f t="shared" si="107"/>
        <v>0</v>
      </c>
    </row>
    <row r="1705" spans="27:30" x14ac:dyDescent="0.3">
      <c r="AA1705">
        <f t="shared" si="104"/>
        <v>0</v>
      </c>
      <c r="AB1705">
        <f t="shared" si="105"/>
        <v>0</v>
      </c>
      <c r="AC1705">
        <f t="shared" si="106"/>
        <v>0</v>
      </c>
      <c r="AD1705">
        <f t="shared" si="107"/>
        <v>0</v>
      </c>
    </row>
    <row r="1706" spans="27:30" x14ac:dyDescent="0.3">
      <c r="AA1706">
        <f t="shared" si="104"/>
        <v>0</v>
      </c>
      <c r="AB1706">
        <f t="shared" si="105"/>
        <v>0</v>
      </c>
      <c r="AC1706">
        <f t="shared" si="106"/>
        <v>0</v>
      </c>
      <c r="AD1706">
        <f t="shared" si="107"/>
        <v>0</v>
      </c>
    </row>
    <row r="1707" spans="27:30" x14ac:dyDescent="0.3">
      <c r="AA1707">
        <f t="shared" si="104"/>
        <v>0</v>
      </c>
      <c r="AB1707">
        <f t="shared" si="105"/>
        <v>0</v>
      </c>
      <c r="AC1707">
        <f t="shared" si="106"/>
        <v>0</v>
      </c>
      <c r="AD1707">
        <f t="shared" si="107"/>
        <v>0</v>
      </c>
    </row>
    <row r="1708" spans="27:30" x14ac:dyDescent="0.3">
      <c r="AA1708">
        <f t="shared" si="104"/>
        <v>0</v>
      </c>
      <c r="AB1708">
        <f t="shared" si="105"/>
        <v>0</v>
      </c>
      <c r="AC1708">
        <f t="shared" si="106"/>
        <v>0</v>
      </c>
      <c r="AD1708">
        <f t="shared" si="107"/>
        <v>0</v>
      </c>
    </row>
    <row r="1709" spans="27:30" x14ac:dyDescent="0.3">
      <c r="AA1709">
        <f t="shared" si="104"/>
        <v>0</v>
      </c>
      <c r="AB1709">
        <f t="shared" si="105"/>
        <v>0</v>
      </c>
      <c r="AC1709">
        <f t="shared" si="106"/>
        <v>0</v>
      </c>
      <c r="AD1709">
        <f t="shared" si="107"/>
        <v>0</v>
      </c>
    </row>
    <row r="1710" spans="27:30" x14ac:dyDescent="0.3">
      <c r="AA1710">
        <f t="shared" si="104"/>
        <v>0</v>
      </c>
      <c r="AB1710">
        <f t="shared" si="105"/>
        <v>0</v>
      </c>
      <c r="AC1710">
        <f t="shared" si="106"/>
        <v>0</v>
      </c>
      <c r="AD1710">
        <f t="shared" si="107"/>
        <v>0</v>
      </c>
    </row>
    <row r="1711" spans="27:30" x14ac:dyDescent="0.3">
      <c r="AA1711">
        <f t="shared" si="104"/>
        <v>0</v>
      </c>
      <c r="AB1711">
        <f t="shared" si="105"/>
        <v>0</v>
      </c>
      <c r="AC1711">
        <f t="shared" si="106"/>
        <v>0</v>
      </c>
      <c r="AD1711">
        <f t="shared" si="107"/>
        <v>0</v>
      </c>
    </row>
    <row r="1712" spans="27:30" x14ac:dyDescent="0.3">
      <c r="AA1712">
        <f t="shared" si="104"/>
        <v>0</v>
      </c>
      <c r="AB1712">
        <f t="shared" si="105"/>
        <v>0</v>
      </c>
      <c r="AC1712">
        <f t="shared" si="106"/>
        <v>0</v>
      </c>
      <c r="AD1712">
        <f t="shared" si="107"/>
        <v>0</v>
      </c>
    </row>
    <row r="1713" spans="27:30" x14ac:dyDescent="0.3">
      <c r="AA1713">
        <f t="shared" si="104"/>
        <v>0</v>
      </c>
      <c r="AB1713">
        <f t="shared" si="105"/>
        <v>0</v>
      </c>
      <c r="AC1713">
        <f t="shared" si="106"/>
        <v>0</v>
      </c>
      <c r="AD1713">
        <f t="shared" si="107"/>
        <v>0</v>
      </c>
    </row>
    <row r="1714" spans="27:30" x14ac:dyDescent="0.3">
      <c r="AA1714">
        <f t="shared" si="104"/>
        <v>0</v>
      </c>
      <c r="AB1714">
        <f t="shared" si="105"/>
        <v>0</v>
      </c>
      <c r="AC1714">
        <f t="shared" si="106"/>
        <v>0</v>
      </c>
      <c r="AD1714">
        <f t="shared" si="107"/>
        <v>0</v>
      </c>
    </row>
    <row r="1715" spans="27:30" x14ac:dyDescent="0.3">
      <c r="AA1715">
        <f t="shared" si="104"/>
        <v>0</v>
      </c>
      <c r="AB1715">
        <f t="shared" si="105"/>
        <v>0</v>
      </c>
      <c r="AC1715">
        <f t="shared" si="106"/>
        <v>0</v>
      </c>
      <c r="AD1715">
        <f t="shared" si="107"/>
        <v>0</v>
      </c>
    </row>
    <row r="1716" spans="27:30" x14ac:dyDescent="0.3">
      <c r="AA1716">
        <f t="shared" si="104"/>
        <v>0</v>
      </c>
      <c r="AB1716">
        <f t="shared" si="105"/>
        <v>0</v>
      </c>
      <c r="AC1716">
        <f t="shared" si="106"/>
        <v>0</v>
      </c>
      <c r="AD1716">
        <f t="shared" si="107"/>
        <v>0</v>
      </c>
    </row>
    <row r="1717" spans="27:30" x14ac:dyDescent="0.3">
      <c r="AA1717">
        <f t="shared" si="104"/>
        <v>0</v>
      </c>
      <c r="AB1717">
        <f t="shared" si="105"/>
        <v>0</v>
      </c>
      <c r="AC1717">
        <f t="shared" si="106"/>
        <v>0</v>
      </c>
      <c r="AD1717">
        <f t="shared" si="107"/>
        <v>0</v>
      </c>
    </row>
    <row r="1718" spans="27:30" x14ac:dyDescent="0.3">
      <c r="AA1718">
        <f t="shared" si="104"/>
        <v>0</v>
      </c>
      <c r="AB1718">
        <f t="shared" si="105"/>
        <v>0</v>
      </c>
      <c r="AC1718">
        <f t="shared" si="106"/>
        <v>0</v>
      </c>
      <c r="AD1718">
        <f t="shared" si="107"/>
        <v>0</v>
      </c>
    </row>
    <row r="1719" spans="27:30" x14ac:dyDescent="0.3">
      <c r="AA1719">
        <f t="shared" si="104"/>
        <v>0</v>
      </c>
      <c r="AB1719">
        <f t="shared" si="105"/>
        <v>0</v>
      </c>
      <c r="AC1719">
        <f t="shared" si="106"/>
        <v>0</v>
      </c>
      <c r="AD1719">
        <f t="shared" si="107"/>
        <v>0</v>
      </c>
    </row>
    <row r="1720" spans="27:30" x14ac:dyDescent="0.3">
      <c r="AA1720">
        <f t="shared" si="104"/>
        <v>0</v>
      </c>
      <c r="AB1720">
        <f t="shared" si="105"/>
        <v>0</v>
      </c>
      <c r="AC1720">
        <f t="shared" si="106"/>
        <v>0</v>
      </c>
      <c r="AD1720">
        <f t="shared" si="107"/>
        <v>0</v>
      </c>
    </row>
    <row r="1721" spans="27:30" x14ac:dyDescent="0.3">
      <c r="AA1721">
        <f t="shared" si="104"/>
        <v>0</v>
      </c>
      <c r="AB1721">
        <f t="shared" si="105"/>
        <v>0</v>
      </c>
      <c r="AC1721">
        <f t="shared" si="106"/>
        <v>0</v>
      </c>
      <c r="AD1721">
        <f t="shared" si="107"/>
        <v>0</v>
      </c>
    </row>
    <row r="1722" spans="27:30" x14ac:dyDescent="0.3">
      <c r="AA1722">
        <f t="shared" si="104"/>
        <v>0</v>
      </c>
      <c r="AB1722">
        <f t="shared" si="105"/>
        <v>0</v>
      </c>
      <c r="AC1722">
        <f t="shared" si="106"/>
        <v>0</v>
      </c>
      <c r="AD1722">
        <f t="shared" si="107"/>
        <v>0</v>
      </c>
    </row>
    <row r="1723" spans="27:30" x14ac:dyDescent="0.3">
      <c r="AA1723">
        <f t="shared" si="104"/>
        <v>0</v>
      </c>
      <c r="AB1723">
        <f t="shared" si="105"/>
        <v>0</v>
      </c>
      <c r="AC1723">
        <f t="shared" si="106"/>
        <v>0</v>
      </c>
      <c r="AD1723">
        <f t="shared" si="107"/>
        <v>0</v>
      </c>
    </row>
    <row r="1724" spans="27:30" x14ac:dyDescent="0.3">
      <c r="AA1724">
        <f t="shared" si="104"/>
        <v>0</v>
      </c>
      <c r="AB1724">
        <f t="shared" si="105"/>
        <v>0</v>
      </c>
      <c r="AC1724">
        <f t="shared" si="106"/>
        <v>0</v>
      </c>
      <c r="AD1724">
        <f t="shared" si="107"/>
        <v>0</v>
      </c>
    </row>
    <row r="1725" spans="27:30" x14ac:dyDescent="0.3">
      <c r="AA1725">
        <f t="shared" si="104"/>
        <v>0</v>
      </c>
      <c r="AB1725">
        <f t="shared" si="105"/>
        <v>0</v>
      </c>
      <c r="AC1725">
        <f t="shared" si="106"/>
        <v>0</v>
      </c>
      <c r="AD1725">
        <f t="shared" si="107"/>
        <v>0</v>
      </c>
    </row>
    <row r="1726" spans="27:30" x14ac:dyDescent="0.3">
      <c r="AA1726">
        <f t="shared" si="104"/>
        <v>0</v>
      </c>
      <c r="AB1726">
        <f t="shared" si="105"/>
        <v>0</v>
      </c>
      <c r="AC1726">
        <f t="shared" si="106"/>
        <v>0</v>
      </c>
      <c r="AD1726">
        <f t="shared" si="107"/>
        <v>0</v>
      </c>
    </row>
    <row r="1727" spans="27:30" x14ac:dyDescent="0.3">
      <c r="AA1727">
        <f t="shared" si="104"/>
        <v>0</v>
      </c>
      <c r="AB1727">
        <f t="shared" si="105"/>
        <v>0</v>
      </c>
      <c r="AC1727">
        <f t="shared" si="106"/>
        <v>0</v>
      </c>
      <c r="AD1727">
        <f t="shared" si="107"/>
        <v>0</v>
      </c>
    </row>
    <row r="1728" spans="27:30" x14ac:dyDescent="0.3">
      <c r="AA1728">
        <f t="shared" si="104"/>
        <v>0</v>
      </c>
      <c r="AB1728">
        <f t="shared" si="105"/>
        <v>0</v>
      </c>
      <c r="AC1728">
        <f t="shared" si="106"/>
        <v>0</v>
      </c>
      <c r="AD1728">
        <f t="shared" si="107"/>
        <v>0</v>
      </c>
    </row>
    <row r="1729" spans="27:30" x14ac:dyDescent="0.3">
      <c r="AA1729">
        <f t="shared" si="104"/>
        <v>0</v>
      </c>
      <c r="AB1729">
        <f t="shared" si="105"/>
        <v>0</v>
      </c>
      <c r="AC1729">
        <f t="shared" si="106"/>
        <v>0</v>
      </c>
      <c r="AD1729">
        <f t="shared" si="107"/>
        <v>0</v>
      </c>
    </row>
    <row r="1730" spans="27:30" x14ac:dyDescent="0.3">
      <c r="AA1730">
        <f t="shared" si="104"/>
        <v>0</v>
      </c>
      <c r="AB1730">
        <f t="shared" si="105"/>
        <v>0</v>
      </c>
      <c r="AC1730">
        <f t="shared" si="106"/>
        <v>0</v>
      </c>
      <c r="AD1730">
        <f t="shared" si="107"/>
        <v>0</v>
      </c>
    </row>
    <row r="1731" spans="27:30" x14ac:dyDescent="0.3">
      <c r="AA1731">
        <f t="shared" si="104"/>
        <v>0</v>
      </c>
      <c r="AB1731">
        <f t="shared" si="105"/>
        <v>0</v>
      </c>
      <c r="AC1731">
        <f t="shared" si="106"/>
        <v>0</v>
      </c>
      <c r="AD1731">
        <f t="shared" si="107"/>
        <v>0</v>
      </c>
    </row>
    <row r="1732" spans="27:30" x14ac:dyDescent="0.3">
      <c r="AA1732">
        <f t="shared" si="104"/>
        <v>0</v>
      </c>
      <c r="AB1732">
        <f t="shared" si="105"/>
        <v>0</v>
      </c>
      <c r="AC1732">
        <f t="shared" si="106"/>
        <v>0</v>
      </c>
      <c r="AD1732">
        <f t="shared" si="107"/>
        <v>0</v>
      </c>
    </row>
    <row r="1733" spans="27:30" x14ac:dyDescent="0.3">
      <c r="AA1733">
        <f t="shared" ref="AA1733:AA1796" si="108">ROUND(Z1733,0)</f>
        <v>0</v>
      </c>
      <c r="AB1733">
        <f t="shared" ref="AB1733:AB1796" si="109">IF(AA1733=Y1733,0,1)</f>
        <v>0</v>
      </c>
      <c r="AC1733">
        <f t="shared" ref="AC1733:AC1796" si="110">IF(AA1733&lt;Y1733+5,IF(AA1733&gt;Y1733-5,0,1),1)</f>
        <v>0</v>
      </c>
      <c r="AD1733">
        <f t="shared" ref="AD1733:AD1796" si="111">IF(AA1733&lt;Y1733+10,IF(AA1733&gt;Y1733-10,0,1),1)</f>
        <v>0</v>
      </c>
    </row>
    <row r="1734" spans="27:30" x14ac:dyDescent="0.3">
      <c r="AA1734">
        <f t="shared" si="108"/>
        <v>0</v>
      </c>
      <c r="AB1734">
        <f t="shared" si="109"/>
        <v>0</v>
      </c>
      <c r="AC1734">
        <f t="shared" si="110"/>
        <v>0</v>
      </c>
      <c r="AD1734">
        <f t="shared" si="111"/>
        <v>0</v>
      </c>
    </row>
    <row r="1735" spans="27:30" x14ac:dyDescent="0.3">
      <c r="AA1735">
        <f t="shared" si="108"/>
        <v>0</v>
      </c>
      <c r="AB1735">
        <f t="shared" si="109"/>
        <v>0</v>
      </c>
      <c r="AC1735">
        <f t="shared" si="110"/>
        <v>0</v>
      </c>
      <c r="AD1735">
        <f t="shared" si="111"/>
        <v>0</v>
      </c>
    </row>
    <row r="1736" spans="27:30" x14ac:dyDescent="0.3">
      <c r="AA1736">
        <f t="shared" si="108"/>
        <v>0</v>
      </c>
      <c r="AB1736">
        <f t="shared" si="109"/>
        <v>0</v>
      </c>
      <c r="AC1736">
        <f t="shared" si="110"/>
        <v>0</v>
      </c>
      <c r="AD1736">
        <f t="shared" si="111"/>
        <v>0</v>
      </c>
    </row>
    <row r="1737" spans="27:30" x14ac:dyDescent="0.3">
      <c r="AA1737">
        <f t="shared" si="108"/>
        <v>0</v>
      </c>
      <c r="AB1737">
        <f t="shared" si="109"/>
        <v>0</v>
      </c>
      <c r="AC1737">
        <f t="shared" si="110"/>
        <v>0</v>
      </c>
      <c r="AD1737">
        <f t="shared" si="111"/>
        <v>0</v>
      </c>
    </row>
    <row r="1738" spans="27:30" x14ac:dyDescent="0.3">
      <c r="AA1738">
        <f t="shared" si="108"/>
        <v>0</v>
      </c>
      <c r="AB1738">
        <f t="shared" si="109"/>
        <v>0</v>
      </c>
      <c r="AC1738">
        <f t="shared" si="110"/>
        <v>0</v>
      </c>
      <c r="AD1738">
        <f t="shared" si="111"/>
        <v>0</v>
      </c>
    </row>
    <row r="1739" spans="27:30" x14ac:dyDescent="0.3">
      <c r="AA1739">
        <f t="shared" si="108"/>
        <v>0</v>
      </c>
      <c r="AB1739">
        <f t="shared" si="109"/>
        <v>0</v>
      </c>
      <c r="AC1739">
        <f t="shared" si="110"/>
        <v>0</v>
      </c>
      <c r="AD1739">
        <f t="shared" si="111"/>
        <v>0</v>
      </c>
    </row>
    <row r="1740" spans="27:30" x14ac:dyDescent="0.3">
      <c r="AA1740">
        <f t="shared" si="108"/>
        <v>0</v>
      </c>
      <c r="AB1740">
        <f t="shared" si="109"/>
        <v>0</v>
      </c>
      <c r="AC1740">
        <f t="shared" si="110"/>
        <v>0</v>
      </c>
      <c r="AD1740">
        <f t="shared" si="111"/>
        <v>0</v>
      </c>
    </row>
    <row r="1741" spans="27:30" x14ac:dyDescent="0.3">
      <c r="AA1741">
        <f t="shared" si="108"/>
        <v>0</v>
      </c>
      <c r="AB1741">
        <f t="shared" si="109"/>
        <v>0</v>
      </c>
      <c r="AC1741">
        <f t="shared" si="110"/>
        <v>0</v>
      </c>
      <c r="AD1741">
        <f t="shared" si="111"/>
        <v>0</v>
      </c>
    </row>
    <row r="1742" spans="27:30" x14ac:dyDescent="0.3">
      <c r="AA1742">
        <f t="shared" si="108"/>
        <v>0</v>
      </c>
      <c r="AB1742">
        <f t="shared" si="109"/>
        <v>0</v>
      </c>
      <c r="AC1742">
        <f t="shared" si="110"/>
        <v>0</v>
      </c>
      <c r="AD1742">
        <f t="shared" si="111"/>
        <v>0</v>
      </c>
    </row>
    <row r="1743" spans="27:30" x14ac:dyDescent="0.3">
      <c r="AA1743">
        <f t="shared" si="108"/>
        <v>0</v>
      </c>
      <c r="AB1743">
        <f t="shared" si="109"/>
        <v>0</v>
      </c>
      <c r="AC1743">
        <f t="shared" si="110"/>
        <v>0</v>
      </c>
      <c r="AD1743">
        <f t="shared" si="111"/>
        <v>0</v>
      </c>
    </row>
    <row r="1744" spans="27:30" x14ac:dyDescent="0.3">
      <c r="AA1744">
        <f t="shared" si="108"/>
        <v>0</v>
      </c>
      <c r="AB1744">
        <f t="shared" si="109"/>
        <v>0</v>
      </c>
      <c r="AC1744">
        <f t="shared" si="110"/>
        <v>0</v>
      </c>
      <c r="AD1744">
        <f t="shared" si="111"/>
        <v>0</v>
      </c>
    </row>
    <row r="1745" spans="27:30" x14ac:dyDescent="0.3">
      <c r="AA1745">
        <f t="shared" si="108"/>
        <v>0</v>
      </c>
      <c r="AB1745">
        <f t="shared" si="109"/>
        <v>0</v>
      </c>
      <c r="AC1745">
        <f t="shared" si="110"/>
        <v>0</v>
      </c>
      <c r="AD1745">
        <f t="shared" si="111"/>
        <v>0</v>
      </c>
    </row>
    <row r="1746" spans="27:30" x14ac:dyDescent="0.3">
      <c r="AA1746">
        <f t="shared" si="108"/>
        <v>0</v>
      </c>
      <c r="AB1746">
        <f t="shared" si="109"/>
        <v>0</v>
      </c>
      <c r="AC1746">
        <f t="shared" si="110"/>
        <v>0</v>
      </c>
      <c r="AD1746">
        <f t="shared" si="111"/>
        <v>0</v>
      </c>
    </row>
    <row r="1747" spans="27:30" x14ac:dyDescent="0.3">
      <c r="AA1747">
        <f t="shared" si="108"/>
        <v>0</v>
      </c>
      <c r="AB1747">
        <f t="shared" si="109"/>
        <v>0</v>
      </c>
      <c r="AC1747">
        <f t="shared" si="110"/>
        <v>0</v>
      </c>
      <c r="AD1747">
        <f t="shared" si="111"/>
        <v>0</v>
      </c>
    </row>
    <row r="1748" spans="27:30" x14ac:dyDescent="0.3">
      <c r="AA1748">
        <f t="shared" si="108"/>
        <v>0</v>
      </c>
      <c r="AB1748">
        <f t="shared" si="109"/>
        <v>0</v>
      </c>
      <c r="AC1748">
        <f t="shared" si="110"/>
        <v>0</v>
      </c>
      <c r="AD1748">
        <f t="shared" si="111"/>
        <v>0</v>
      </c>
    </row>
    <row r="1749" spans="27:30" x14ac:dyDescent="0.3">
      <c r="AA1749">
        <f t="shared" si="108"/>
        <v>0</v>
      </c>
      <c r="AB1749">
        <f t="shared" si="109"/>
        <v>0</v>
      </c>
      <c r="AC1749">
        <f t="shared" si="110"/>
        <v>0</v>
      </c>
      <c r="AD1749">
        <f t="shared" si="111"/>
        <v>0</v>
      </c>
    </row>
    <row r="1750" spans="27:30" x14ac:dyDescent="0.3">
      <c r="AA1750">
        <f t="shared" si="108"/>
        <v>0</v>
      </c>
      <c r="AB1750">
        <f t="shared" si="109"/>
        <v>0</v>
      </c>
      <c r="AC1750">
        <f t="shared" si="110"/>
        <v>0</v>
      </c>
      <c r="AD1750">
        <f t="shared" si="111"/>
        <v>0</v>
      </c>
    </row>
    <row r="1751" spans="27:30" x14ac:dyDescent="0.3">
      <c r="AA1751">
        <f t="shared" si="108"/>
        <v>0</v>
      </c>
      <c r="AB1751">
        <f t="shared" si="109"/>
        <v>0</v>
      </c>
      <c r="AC1751">
        <f t="shared" si="110"/>
        <v>0</v>
      </c>
      <c r="AD1751">
        <f t="shared" si="111"/>
        <v>0</v>
      </c>
    </row>
    <row r="1752" spans="27:30" x14ac:dyDescent="0.3">
      <c r="AA1752">
        <f t="shared" si="108"/>
        <v>0</v>
      </c>
      <c r="AB1752">
        <f t="shared" si="109"/>
        <v>0</v>
      </c>
      <c r="AC1752">
        <f t="shared" si="110"/>
        <v>0</v>
      </c>
      <c r="AD1752">
        <f t="shared" si="111"/>
        <v>0</v>
      </c>
    </row>
    <row r="1753" spans="27:30" x14ac:dyDescent="0.3">
      <c r="AA1753">
        <f t="shared" si="108"/>
        <v>0</v>
      </c>
      <c r="AB1753">
        <f t="shared" si="109"/>
        <v>0</v>
      </c>
      <c r="AC1753">
        <f t="shared" si="110"/>
        <v>0</v>
      </c>
      <c r="AD1753">
        <f t="shared" si="111"/>
        <v>0</v>
      </c>
    </row>
    <row r="1754" spans="27:30" x14ac:dyDescent="0.3">
      <c r="AA1754">
        <f t="shared" si="108"/>
        <v>0</v>
      </c>
      <c r="AB1754">
        <f t="shared" si="109"/>
        <v>0</v>
      </c>
      <c r="AC1754">
        <f t="shared" si="110"/>
        <v>0</v>
      </c>
      <c r="AD1754">
        <f t="shared" si="111"/>
        <v>0</v>
      </c>
    </row>
    <row r="1755" spans="27:30" x14ac:dyDescent="0.3">
      <c r="AA1755">
        <f t="shared" si="108"/>
        <v>0</v>
      </c>
      <c r="AB1755">
        <f t="shared" si="109"/>
        <v>0</v>
      </c>
      <c r="AC1755">
        <f t="shared" si="110"/>
        <v>0</v>
      </c>
      <c r="AD1755">
        <f t="shared" si="111"/>
        <v>0</v>
      </c>
    </row>
    <row r="1756" spans="27:30" x14ac:dyDescent="0.3">
      <c r="AA1756">
        <f t="shared" si="108"/>
        <v>0</v>
      </c>
      <c r="AB1756">
        <f t="shared" si="109"/>
        <v>0</v>
      </c>
      <c r="AC1756">
        <f t="shared" si="110"/>
        <v>0</v>
      </c>
      <c r="AD1756">
        <f t="shared" si="111"/>
        <v>0</v>
      </c>
    </row>
    <row r="1757" spans="27:30" x14ac:dyDescent="0.3">
      <c r="AA1757">
        <f t="shared" si="108"/>
        <v>0</v>
      </c>
      <c r="AB1757">
        <f t="shared" si="109"/>
        <v>0</v>
      </c>
      <c r="AC1757">
        <f t="shared" si="110"/>
        <v>0</v>
      </c>
      <c r="AD1757">
        <f t="shared" si="111"/>
        <v>0</v>
      </c>
    </row>
    <row r="1758" spans="27:30" x14ac:dyDescent="0.3">
      <c r="AA1758">
        <f t="shared" si="108"/>
        <v>0</v>
      </c>
      <c r="AB1758">
        <f t="shared" si="109"/>
        <v>0</v>
      </c>
      <c r="AC1758">
        <f t="shared" si="110"/>
        <v>0</v>
      </c>
      <c r="AD1758">
        <f t="shared" si="111"/>
        <v>0</v>
      </c>
    </row>
    <row r="1759" spans="27:30" x14ac:dyDescent="0.3">
      <c r="AA1759">
        <f t="shared" si="108"/>
        <v>0</v>
      </c>
      <c r="AB1759">
        <f t="shared" si="109"/>
        <v>0</v>
      </c>
      <c r="AC1759">
        <f t="shared" si="110"/>
        <v>0</v>
      </c>
      <c r="AD1759">
        <f t="shared" si="111"/>
        <v>0</v>
      </c>
    </row>
    <row r="1760" spans="27:30" x14ac:dyDescent="0.3">
      <c r="AA1760">
        <f t="shared" si="108"/>
        <v>0</v>
      </c>
      <c r="AB1760">
        <f t="shared" si="109"/>
        <v>0</v>
      </c>
      <c r="AC1760">
        <f t="shared" si="110"/>
        <v>0</v>
      </c>
      <c r="AD1760">
        <f t="shared" si="111"/>
        <v>0</v>
      </c>
    </row>
    <row r="1761" spans="27:30" x14ac:dyDescent="0.3">
      <c r="AA1761">
        <f t="shared" si="108"/>
        <v>0</v>
      </c>
      <c r="AB1761">
        <f t="shared" si="109"/>
        <v>0</v>
      </c>
      <c r="AC1761">
        <f t="shared" si="110"/>
        <v>0</v>
      </c>
      <c r="AD1761">
        <f t="shared" si="111"/>
        <v>0</v>
      </c>
    </row>
    <row r="1762" spans="27:30" x14ac:dyDescent="0.3">
      <c r="AA1762">
        <f t="shared" si="108"/>
        <v>0</v>
      </c>
      <c r="AB1762">
        <f t="shared" si="109"/>
        <v>0</v>
      </c>
      <c r="AC1762">
        <f t="shared" si="110"/>
        <v>0</v>
      </c>
      <c r="AD1762">
        <f t="shared" si="111"/>
        <v>0</v>
      </c>
    </row>
    <row r="1763" spans="27:30" x14ac:dyDescent="0.3">
      <c r="AA1763">
        <f t="shared" si="108"/>
        <v>0</v>
      </c>
      <c r="AB1763">
        <f t="shared" si="109"/>
        <v>0</v>
      </c>
      <c r="AC1763">
        <f t="shared" si="110"/>
        <v>0</v>
      </c>
      <c r="AD1763">
        <f t="shared" si="111"/>
        <v>0</v>
      </c>
    </row>
    <row r="1764" spans="27:30" x14ac:dyDescent="0.3">
      <c r="AA1764">
        <f t="shared" si="108"/>
        <v>0</v>
      </c>
      <c r="AB1764">
        <f t="shared" si="109"/>
        <v>0</v>
      </c>
      <c r="AC1764">
        <f t="shared" si="110"/>
        <v>0</v>
      </c>
      <c r="AD1764">
        <f t="shared" si="111"/>
        <v>0</v>
      </c>
    </row>
    <row r="1765" spans="27:30" x14ac:dyDescent="0.3">
      <c r="AA1765">
        <f t="shared" si="108"/>
        <v>0</v>
      </c>
      <c r="AB1765">
        <f t="shared" si="109"/>
        <v>0</v>
      </c>
      <c r="AC1765">
        <f t="shared" si="110"/>
        <v>0</v>
      </c>
      <c r="AD1765">
        <f t="shared" si="111"/>
        <v>0</v>
      </c>
    </row>
    <row r="1766" spans="27:30" x14ac:dyDescent="0.3">
      <c r="AA1766">
        <f t="shared" si="108"/>
        <v>0</v>
      </c>
      <c r="AB1766">
        <f t="shared" si="109"/>
        <v>0</v>
      </c>
      <c r="AC1766">
        <f t="shared" si="110"/>
        <v>0</v>
      </c>
      <c r="AD1766">
        <f t="shared" si="111"/>
        <v>0</v>
      </c>
    </row>
    <row r="1767" spans="27:30" x14ac:dyDescent="0.3">
      <c r="AA1767">
        <f t="shared" si="108"/>
        <v>0</v>
      </c>
      <c r="AB1767">
        <f t="shared" si="109"/>
        <v>0</v>
      </c>
      <c r="AC1767">
        <f t="shared" si="110"/>
        <v>0</v>
      </c>
      <c r="AD1767">
        <f t="shared" si="111"/>
        <v>0</v>
      </c>
    </row>
    <row r="1768" spans="27:30" x14ac:dyDescent="0.3">
      <c r="AA1768">
        <f t="shared" si="108"/>
        <v>0</v>
      </c>
      <c r="AB1768">
        <f t="shared" si="109"/>
        <v>0</v>
      </c>
      <c r="AC1768">
        <f t="shared" si="110"/>
        <v>0</v>
      </c>
      <c r="AD1768">
        <f t="shared" si="111"/>
        <v>0</v>
      </c>
    </row>
    <row r="1769" spans="27:30" x14ac:dyDescent="0.3">
      <c r="AA1769">
        <f t="shared" si="108"/>
        <v>0</v>
      </c>
      <c r="AB1769">
        <f t="shared" si="109"/>
        <v>0</v>
      </c>
      <c r="AC1769">
        <f t="shared" si="110"/>
        <v>0</v>
      </c>
      <c r="AD1769">
        <f t="shared" si="111"/>
        <v>0</v>
      </c>
    </row>
    <row r="1770" spans="27:30" x14ac:dyDescent="0.3">
      <c r="AA1770">
        <f t="shared" si="108"/>
        <v>0</v>
      </c>
      <c r="AB1770">
        <f t="shared" si="109"/>
        <v>0</v>
      </c>
      <c r="AC1770">
        <f t="shared" si="110"/>
        <v>0</v>
      </c>
      <c r="AD1770">
        <f t="shared" si="111"/>
        <v>0</v>
      </c>
    </row>
    <row r="1771" spans="27:30" x14ac:dyDescent="0.3">
      <c r="AA1771">
        <f t="shared" si="108"/>
        <v>0</v>
      </c>
      <c r="AB1771">
        <f t="shared" si="109"/>
        <v>0</v>
      </c>
      <c r="AC1771">
        <f t="shared" si="110"/>
        <v>0</v>
      </c>
      <c r="AD1771">
        <f t="shared" si="111"/>
        <v>0</v>
      </c>
    </row>
    <row r="1772" spans="27:30" x14ac:dyDescent="0.3">
      <c r="AA1772">
        <f t="shared" si="108"/>
        <v>0</v>
      </c>
      <c r="AB1772">
        <f t="shared" si="109"/>
        <v>0</v>
      </c>
      <c r="AC1772">
        <f t="shared" si="110"/>
        <v>0</v>
      </c>
      <c r="AD1772">
        <f t="shared" si="111"/>
        <v>0</v>
      </c>
    </row>
    <row r="1773" spans="27:30" x14ac:dyDescent="0.3">
      <c r="AA1773">
        <f t="shared" si="108"/>
        <v>0</v>
      </c>
      <c r="AB1773">
        <f t="shared" si="109"/>
        <v>0</v>
      </c>
      <c r="AC1773">
        <f t="shared" si="110"/>
        <v>0</v>
      </c>
      <c r="AD1773">
        <f t="shared" si="111"/>
        <v>0</v>
      </c>
    </row>
    <row r="1774" spans="27:30" x14ac:dyDescent="0.3">
      <c r="AA1774">
        <f t="shared" si="108"/>
        <v>0</v>
      </c>
      <c r="AB1774">
        <f t="shared" si="109"/>
        <v>0</v>
      </c>
      <c r="AC1774">
        <f t="shared" si="110"/>
        <v>0</v>
      </c>
      <c r="AD1774">
        <f t="shared" si="111"/>
        <v>0</v>
      </c>
    </row>
    <row r="1775" spans="27:30" x14ac:dyDescent="0.3">
      <c r="AA1775">
        <f t="shared" si="108"/>
        <v>0</v>
      </c>
      <c r="AB1775">
        <f t="shared" si="109"/>
        <v>0</v>
      </c>
      <c r="AC1775">
        <f t="shared" si="110"/>
        <v>0</v>
      </c>
      <c r="AD1775">
        <f t="shared" si="111"/>
        <v>0</v>
      </c>
    </row>
    <row r="1776" spans="27:30" x14ac:dyDescent="0.3">
      <c r="AA1776">
        <f t="shared" si="108"/>
        <v>0</v>
      </c>
      <c r="AB1776">
        <f t="shared" si="109"/>
        <v>0</v>
      </c>
      <c r="AC1776">
        <f t="shared" si="110"/>
        <v>0</v>
      </c>
      <c r="AD1776">
        <f t="shared" si="111"/>
        <v>0</v>
      </c>
    </row>
    <row r="1777" spans="27:30" x14ac:dyDescent="0.3">
      <c r="AA1777">
        <f t="shared" si="108"/>
        <v>0</v>
      </c>
      <c r="AB1777">
        <f t="shared" si="109"/>
        <v>0</v>
      </c>
      <c r="AC1777">
        <f t="shared" si="110"/>
        <v>0</v>
      </c>
      <c r="AD1777">
        <f t="shared" si="111"/>
        <v>0</v>
      </c>
    </row>
    <row r="1778" spans="27:30" x14ac:dyDescent="0.3">
      <c r="AA1778">
        <f t="shared" si="108"/>
        <v>0</v>
      </c>
      <c r="AB1778">
        <f t="shared" si="109"/>
        <v>0</v>
      </c>
      <c r="AC1778">
        <f t="shared" si="110"/>
        <v>0</v>
      </c>
      <c r="AD1778">
        <f t="shared" si="111"/>
        <v>0</v>
      </c>
    </row>
    <row r="1779" spans="27:30" x14ac:dyDescent="0.3">
      <c r="AA1779">
        <f t="shared" si="108"/>
        <v>0</v>
      </c>
      <c r="AB1779">
        <f t="shared" si="109"/>
        <v>0</v>
      </c>
      <c r="AC1779">
        <f t="shared" si="110"/>
        <v>0</v>
      </c>
      <c r="AD1779">
        <f t="shared" si="111"/>
        <v>0</v>
      </c>
    </row>
    <row r="1780" spans="27:30" x14ac:dyDescent="0.3">
      <c r="AA1780">
        <f t="shared" si="108"/>
        <v>0</v>
      </c>
      <c r="AB1780">
        <f t="shared" si="109"/>
        <v>0</v>
      </c>
      <c r="AC1780">
        <f t="shared" si="110"/>
        <v>0</v>
      </c>
      <c r="AD1780">
        <f t="shared" si="111"/>
        <v>0</v>
      </c>
    </row>
    <row r="1781" spans="27:30" x14ac:dyDescent="0.3">
      <c r="AA1781">
        <f t="shared" si="108"/>
        <v>0</v>
      </c>
      <c r="AB1781">
        <f t="shared" si="109"/>
        <v>0</v>
      </c>
      <c r="AC1781">
        <f t="shared" si="110"/>
        <v>0</v>
      </c>
      <c r="AD1781">
        <f t="shared" si="111"/>
        <v>0</v>
      </c>
    </row>
    <row r="1782" spans="27:30" x14ac:dyDescent="0.3">
      <c r="AA1782">
        <f t="shared" si="108"/>
        <v>0</v>
      </c>
      <c r="AB1782">
        <f t="shared" si="109"/>
        <v>0</v>
      </c>
      <c r="AC1782">
        <f t="shared" si="110"/>
        <v>0</v>
      </c>
      <c r="AD1782">
        <f t="shared" si="111"/>
        <v>0</v>
      </c>
    </row>
    <row r="1783" spans="27:30" x14ac:dyDescent="0.3">
      <c r="AA1783">
        <f t="shared" si="108"/>
        <v>0</v>
      </c>
      <c r="AB1783">
        <f t="shared" si="109"/>
        <v>0</v>
      </c>
      <c r="AC1783">
        <f t="shared" si="110"/>
        <v>0</v>
      </c>
      <c r="AD1783">
        <f t="shared" si="111"/>
        <v>0</v>
      </c>
    </row>
    <row r="1784" spans="27:30" x14ac:dyDescent="0.3">
      <c r="AA1784">
        <f t="shared" si="108"/>
        <v>0</v>
      </c>
      <c r="AB1784">
        <f t="shared" si="109"/>
        <v>0</v>
      </c>
      <c r="AC1784">
        <f t="shared" si="110"/>
        <v>0</v>
      </c>
      <c r="AD1784">
        <f t="shared" si="111"/>
        <v>0</v>
      </c>
    </row>
    <row r="1785" spans="27:30" x14ac:dyDescent="0.3">
      <c r="AA1785">
        <f t="shared" si="108"/>
        <v>0</v>
      </c>
      <c r="AB1785">
        <f t="shared" si="109"/>
        <v>0</v>
      </c>
      <c r="AC1785">
        <f t="shared" si="110"/>
        <v>0</v>
      </c>
      <c r="AD1785">
        <f t="shared" si="111"/>
        <v>0</v>
      </c>
    </row>
    <row r="1786" spans="27:30" x14ac:dyDescent="0.3">
      <c r="AA1786">
        <f t="shared" si="108"/>
        <v>0</v>
      </c>
      <c r="AB1786">
        <f t="shared" si="109"/>
        <v>0</v>
      </c>
      <c r="AC1786">
        <f t="shared" si="110"/>
        <v>0</v>
      </c>
      <c r="AD1786">
        <f t="shared" si="111"/>
        <v>0</v>
      </c>
    </row>
    <row r="1787" spans="27:30" x14ac:dyDescent="0.3">
      <c r="AA1787">
        <f t="shared" si="108"/>
        <v>0</v>
      </c>
      <c r="AB1787">
        <f t="shared" si="109"/>
        <v>0</v>
      </c>
      <c r="AC1787">
        <f t="shared" si="110"/>
        <v>0</v>
      </c>
      <c r="AD1787">
        <f t="shared" si="111"/>
        <v>0</v>
      </c>
    </row>
    <row r="1788" spans="27:30" x14ac:dyDescent="0.3">
      <c r="AA1788">
        <f t="shared" si="108"/>
        <v>0</v>
      </c>
      <c r="AB1788">
        <f t="shared" si="109"/>
        <v>0</v>
      </c>
      <c r="AC1788">
        <f t="shared" si="110"/>
        <v>0</v>
      </c>
      <c r="AD1788">
        <f t="shared" si="111"/>
        <v>0</v>
      </c>
    </row>
    <row r="1789" spans="27:30" x14ac:dyDescent="0.3">
      <c r="AA1789">
        <f t="shared" si="108"/>
        <v>0</v>
      </c>
      <c r="AB1789">
        <f t="shared" si="109"/>
        <v>0</v>
      </c>
      <c r="AC1789">
        <f t="shared" si="110"/>
        <v>0</v>
      </c>
      <c r="AD1789">
        <f t="shared" si="111"/>
        <v>0</v>
      </c>
    </row>
    <row r="1790" spans="27:30" x14ac:dyDescent="0.3">
      <c r="AA1790">
        <f t="shared" si="108"/>
        <v>0</v>
      </c>
      <c r="AB1790">
        <f t="shared" si="109"/>
        <v>0</v>
      </c>
      <c r="AC1790">
        <f t="shared" si="110"/>
        <v>0</v>
      </c>
      <c r="AD1790">
        <f t="shared" si="111"/>
        <v>0</v>
      </c>
    </row>
    <row r="1791" spans="27:30" x14ac:dyDescent="0.3">
      <c r="AA1791">
        <f t="shared" si="108"/>
        <v>0</v>
      </c>
      <c r="AB1791">
        <f t="shared" si="109"/>
        <v>0</v>
      </c>
      <c r="AC1791">
        <f t="shared" si="110"/>
        <v>0</v>
      </c>
      <c r="AD1791">
        <f t="shared" si="111"/>
        <v>0</v>
      </c>
    </row>
    <row r="1792" spans="27:30" x14ac:dyDescent="0.3">
      <c r="AA1792">
        <f t="shared" si="108"/>
        <v>0</v>
      </c>
      <c r="AB1792">
        <f t="shared" si="109"/>
        <v>0</v>
      </c>
      <c r="AC1792">
        <f t="shared" si="110"/>
        <v>0</v>
      </c>
      <c r="AD1792">
        <f t="shared" si="111"/>
        <v>0</v>
      </c>
    </row>
    <row r="1793" spans="27:30" x14ac:dyDescent="0.3">
      <c r="AA1793">
        <f t="shared" si="108"/>
        <v>0</v>
      </c>
      <c r="AB1793">
        <f t="shared" si="109"/>
        <v>0</v>
      </c>
      <c r="AC1793">
        <f t="shared" si="110"/>
        <v>0</v>
      </c>
      <c r="AD1793">
        <f t="shared" si="111"/>
        <v>0</v>
      </c>
    </row>
    <row r="1794" spans="27:30" x14ac:dyDescent="0.3">
      <c r="AA1794">
        <f t="shared" si="108"/>
        <v>0</v>
      </c>
      <c r="AB1794">
        <f t="shared" si="109"/>
        <v>0</v>
      </c>
      <c r="AC1794">
        <f t="shared" si="110"/>
        <v>0</v>
      </c>
      <c r="AD1794">
        <f t="shared" si="111"/>
        <v>0</v>
      </c>
    </row>
    <row r="1795" spans="27:30" x14ac:dyDescent="0.3">
      <c r="AA1795">
        <f t="shared" si="108"/>
        <v>0</v>
      </c>
      <c r="AB1795">
        <f t="shared" si="109"/>
        <v>0</v>
      </c>
      <c r="AC1795">
        <f t="shared" si="110"/>
        <v>0</v>
      </c>
      <c r="AD1795">
        <f t="shared" si="111"/>
        <v>0</v>
      </c>
    </row>
    <row r="1796" spans="27:30" x14ac:dyDescent="0.3">
      <c r="AA1796">
        <f t="shared" si="108"/>
        <v>0</v>
      </c>
      <c r="AB1796">
        <f t="shared" si="109"/>
        <v>0</v>
      </c>
      <c r="AC1796">
        <f t="shared" si="110"/>
        <v>0</v>
      </c>
      <c r="AD1796">
        <f t="shared" si="111"/>
        <v>0</v>
      </c>
    </row>
    <row r="1797" spans="27:30" x14ac:dyDescent="0.3">
      <c r="AA1797">
        <f t="shared" ref="AA1797:AA1860" si="112">ROUND(Z1797,0)</f>
        <v>0</v>
      </c>
      <c r="AB1797">
        <f t="shared" ref="AB1797:AB1860" si="113">IF(AA1797=Y1797,0,1)</f>
        <v>0</v>
      </c>
      <c r="AC1797">
        <f t="shared" ref="AC1797:AC1860" si="114">IF(AA1797&lt;Y1797+5,IF(AA1797&gt;Y1797-5,0,1),1)</f>
        <v>0</v>
      </c>
      <c r="AD1797">
        <f t="shared" ref="AD1797:AD1860" si="115">IF(AA1797&lt;Y1797+10,IF(AA1797&gt;Y1797-10,0,1),1)</f>
        <v>0</v>
      </c>
    </row>
    <row r="1798" spans="27:30" x14ac:dyDescent="0.3">
      <c r="AA1798">
        <f t="shared" si="112"/>
        <v>0</v>
      </c>
      <c r="AB1798">
        <f t="shared" si="113"/>
        <v>0</v>
      </c>
      <c r="AC1798">
        <f t="shared" si="114"/>
        <v>0</v>
      </c>
      <c r="AD1798">
        <f t="shared" si="115"/>
        <v>0</v>
      </c>
    </row>
    <row r="1799" spans="27:30" x14ac:dyDescent="0.3">
      <c r="AA1799">
        <f t="shared" si="112"/>
        <v>0</v>
      </c>
      <c r="AB1799">
        <f t="shared" si="113"/>
        <v>0</v>
      </c>
      <c r="AC1799">
        <f t="shared" si="114"/>
        <v>0</v>
      </c>
      <c r="AD1799">
        <f t="shared" si="115"/>
        <v>0</v>
      </c>
    </row>
    <row r="1800" spans="27:30" x14ac:dyDescent="0.3">
      <c r="AA1800">
        <f t="shared" si="112"/>
        <v>0</v>
      </c>
      <c r="AB1800">
        <f t="shared" si="113"/>
        <v>0</v>
      </c>
      <c r="AC1800">
        <f t="shared" si="114"/>
        <v>0</v>
      </c>
      <c r="AD1800">
        <f t="shared" si="115"/>
        <v>0</v>
      </c>
    </row>
    <row r="1801" spans="27:30" x14ac:dyDescent="0.3">
      <c r="AA1801">
        <f t="shared" si="112"/>
        <v>0</v>
      </c>
      <c r="AB1801">
        <f t="shared" si="113"/>
        <v>0</v>
      </c>
      <c r="AC1801">
        <f t="shared" si="114"/>
        <v>0</v>
      </c>
      <c r="AD1801">
        <f t="shared" si="115"/>
        <v>0</v>
      </c>
    </row>
    <row r="1802" spans="27:30" x14ac:dyDescent="0.3">
      <c r="AA1802">
        <f t="shared" si="112"/>
        <v>0</v>
      </c>
      <c r="AB1802">
        <f t="shared" si="113"/>
        <v>0</v>
      </c>
      <c r="AC1802">
        <f t="shared" si="114"/>
        <v>0</v>
      </c>
      <c r="AD1802">
        <f t="shared" si="115"/>
        <v>0</v>
      </c>
    </row>
    <row r="1803" spans="27:30" x14ac:dyDescent="0.3">
      <c r="AA1803">
        <f t="shared" si="112"/>
        <v>0</v>
      </c>
      <c r="AB1803">
        <f t="shared" si="113"/>
        <v>0</v>
      </c>
      <c r="AC1803">
        <f t="shared" si="114"/>
        <v>0</v>
      </c>
      <c r="AD1803">
        <f t="shared" si="115"/>
        <v>0</v>
      </c>
    </row>
    <row r="1804" spans="27:30" x14ac:dyDescent="0.3">
      <c r="AA1804">
        <f t="shared" si="112"/>
        <v>0</v>
      </c>
      <c r="AB1804">
        <f t="shared" si="113"/>
        <v>0</v>
      </c>
      <c r="AC1804">
        <f t="shared" si="114"/>
        <v>0</v>
      </c>
      <c r="AD1804">
        <f t="shared" si="115"/>
        <v>0</v>
      </c>
    </row>
    <row r="1805" spans="27:30" x14ac:dyDescent="0.3">
      <c r="AA1805">
        <f t="shared" si="112"/>
        <v>0</v>
      </c>
      <c r="AB1805">
        <f t="shared" si="113"/>
        <v>0</v>
      </c>
      <c r="AC1805">
        <f t="shared" si="114"/>
        <v>0</v>
      </c>
      <c r="AD1805">
        <f t="shared" si="115"/>
        <v>0</v>
      </c>
    </row>
    <row r="1806" spans="27:30" x14ac:dyDescent="0.3">
      <c r="AA1806">
        <f t="shared" si="112"/>
        <v>0</v>
      </c>
      <c r="AB1806">
        <f t="shared" si="113"/>
        <v>0</v>
      </c>
      <c r="AC1806">
        <f t="shared" si="114"/>
        <v>0</v>
      </c>
      <c r="AD1806">
        <f t="shared" si="115"/>
        <v>0</v>
      </c>
    </row>
    <row r="1807" spans="27:30" x14ac:dyDescent="0.3">
      <c r="AA1807">
        <f t="shared" si="112"/>
        <v>0</v>
      </c>
      <c r="AB1807">
        <f t="shared" si="113"/>
        <v>0</v>
      </c>
      <c r="AC1807">
        <f t="shared" si="114"/>
        <v>0</v>
      </c>
      <c r="AD1807">
        <f t="shared" si="115"/>
        <v>0</v>
      </c>
    </row>
    <row r="1808" spans="27:30" x14ac:dyDescent="0.3">
      <c r="AA1808">
        <f t="shared" si="112"/>
        <v>0</v>
      </c>
      <c r="AB1808">
        <f t="shared" si="113"/>
        <v>0</v>
      </c>
      <c r="AC1808">
        <f t="shared" si="114"/>
        <v>0</v>
      </c>
      <c r="AD1808">
        <f t="shared" si="115"/>
        <v>0</v>
      </c>
    </row>
    <row r="1809" spans="27:30" x14ac:dyDescent="0.3">
      <c r="AA1809">
        <f t="shared" si="112"/>
        <v>0</v>
      </c>
      <c r="AB1809">
        <f t="shared" si="113"/>
        <v>0</v>
      </c>
      <c r="AC1809">
        <f t="shared" si="114"/>
        <v>0</v>
      </c>
      <c r="AD1809">
        <f t="shared" si="115"/>
        <v>0</v>
      </c>
    </row>
    <row r="1810" spans="27:30" x14ac:dyDescent="0.3">
      <c r="AA1810">
        <f t="shared" si="112"/>
        <v>0</v>
      </c>
      <c r="AB1810">
        <f t="shared" si="113"/>
        <v>0</v>
      </c>
      <c r="AC1810">
        <f t="shared" si="114"/>
        <v>0</v>
      </c>
      <c r="AD1810">
        <f t="shared" si="115"/>
        <v>0</v>
      </c>
    </row>
    <row r="1811" spans="27:30" x14ac:dyDescent="0.3">
      <c r="AA1811">
        <f t="shared" si="112"/>
        <v>0</v>
      </c>
      <c r="AB1811">
        <f t="shared" si="113"/>
        <v>0</v>
      </c>
      <c r="AC1811">
        <f t="shared" si="114"/>
        <v>0</v>
      </c>
      <c r="AD1811">
        <f t="shared" si="115"/>
        <v>0</v>
      </c>
    </row>
    <row r="1812" spans="27:30" x14ac:dyDescent="0.3">
      <c r="AA1812">
        <f t="shared" si="112"/>
        <v>0</v>
      </c>
      <c r="AB1812">
        <f t="shared" si="113"/>
        <v>0</v>
      </c>
      <c r="AC1812">
        <f t="shared" si="114"/>
        <v>0</v>
      </c>
      <c r="AD1812">
        <f t="shared" si="115"/>
        <v>0</v>
      </c>
    </row>
    <row r="1813" spans="27:30" x14ac:dyDescent="0.3">
      <c r="AA1813">
        <f t="shared" si="112"/>
        <v>0</v>
      </c>
      <c r="AB1813">
        <f t="shared" si="113"/>
        <v>0</v>
      </c>
      <c r="AC1813">
        <f t="shared" si="114"/>
        <v>0</v>
      </c>
      <c r="AD1813">
        <f t="shared" si="115"/>
        <v>0</v>
      </c>
    </row>
    <row r="1814" spans="27:30" x14ac:dyDescent="0.3">
      <c r="AA1814">
        <f t="shared" si="112"/>
        <v>0</v>
      </c>
      <c r="AB1814">
        <f t="shared" si="113"/>
        <v>0</v>
      </c>
      <c r="AC1814">
        <f t="shared" si="114"/>
        <v>0</v>
      </c>
      <c r="AD1814">
        <f t="shared" si="115"/>
        <v>0</v>
      </c>
    </row>
    <row r="1815" spans="27:30" x14ac:dyDescent="0.3">
      <c r="AA1815">
        <f t="shared" si="112"/>
        <v>0</v>
      </c>
      <c r="AB1815">
        <f t="shared" si="113"/>
        <v>0</v>
      </c>
      <c r="AC1815">
        <f t="shared" si="114"/>
        <v>0</v>
      </c>
      <c r="AD1815">
        <f t="shared" si="115"/>
        <v>0</v>
      </c>
    </row>
    <row r="1816" spans="27:30" x14ac:dyDescent="0.3">
      <c r="AA1816">
        <f t="shared" si="112"/>
        <v>0</v>
      </c>
      <c r="AB1816">
        <f t="shared" si="113"/>
        <v>0</v>
      </c>
      <c r="AC1816">
        <f t="shared" si="114"/>
        <v>0</v>
      </c>
      <c r="AD1816">
        <f t="shared" si="115"/>
        <v>0</v>
      </c>
    </row>
    <row r="1817" spans="27:30" x14ac:dyDescent="0.3">
      <c r="AA1817">
        <f t="shared" si="112"/>
        <v>0</v>
      </c>
      <c r="AB1817">
        <f t="shared" si="113"/>
        <v>0</v>
      </c>
      <c r="AC1817">
        <f t="shared" si="114"/>
        <v>0</v>
      </c>
      <c r="AD1817">
        <f t="shared" si="115"/>
        <v>0</v>
      </c>
    </row>
    <row r="1818" spans="27:30" x14ac:dyDescent="0.3">
      <c r="AA1818">
        <f t="shared" si="112"/>
        <v>0</v>
      </c>
      <c r="AB1818">
        <f t="shared" si="113"/>
        <v>0</v>
      </c>
      <c r="AC1818">
        <f t="shared" si="114"/>
        <v>0</v>
      </c>
      <c r="AD1818">
        <f t="shared" si="115"/>
        <v>0</v>
      </c>
    </row>
    <row r="1819" spans="27:30" x14ac:dyDescent="0.3">
      <c r="AA1819">
        <f t="shared" si="112"/>
        <v>0</v>
      </c>
      <c r="AB1819">
        <f t="shared" si="113"/>
        <v>0</v>
      </c>
      <c r="AC1819">
        <f t="shared" si="114"/>
        <v>0</v>
      </c>
      <c r="AD1819">
        <f t="shared" si="115"/>
        <v>0</v>
      </c>
    </row>
    <row r="1820" spans="27:30" x14ac:dyDescent="0.3">
      <c r="AA1820">
        <f t="shared" si="112"/>
        <v>0</v>
      </c>
      <c r="AB1820">
        <f t="shared" si="113"/>
        <v>0</v>
      </c>
      <c r="AC1820">
        <f t="shared" si="114"/>
        <v>0</v>
      </c>
      <c r="AD1820">
        <f t="shared" si="115"/>
        <v>0</v>
      </c>
    </row>
    <row r="1821" spans="27:30" x14ac:dyDescent="0.3">
      <c r="AA1821">
        <f t="shared" si="112"/>
        <v>0</v>
      </c>
      <c r="AB1821">
        <f t="shared" si="113"/>
        <v>0</v>
      </c>
      <c r="AC1821">
        <f t="shared" si="114"/>
        <v>0</v>
      </c>
      <c r="AD1821">
        <f t="shared" si="115"/>
        <v>0</v>
      </c>
    </row>
    <row r="1822" spans="27:30" x14ac:dyDescent="0.3">
      <c r="AA1822">
        <f t="shared" si="112"/>
        <v>0</v>
      </c>
      <c r="AB1822">
        <f t="shared" si="113"/>
        <v>0</v>
      </c>
      <c r="AC1822">
        <f t="shared" si="114"/>
        <v>0</v>
      </c>
      <c r="AD1822">
        <f t="shared" si="115"/>
        <v>0</v>
      </c>
    </row>
    <row r="1823" spans="27:30" x14ac:dyDescent="0.3">
      <c r="AA1823">
        <f t="shared" si="112"/>
        <v>0</v>
      </c>
      <c r="AB1823">
        <f t="shared" si="113"/>
        <v>0</v>
      </c>
      <c r="AC1823">
        <f t="shared" si="114"/>
        <v>0</v>
      </c>
      <c r="AD1823">
        <f t="shared" si="115"/>
        <v>0</v>
      </c>
    </row>
    <row r="1824" spans="27:30" x14ac:dyDescent="0.3">
      <c r="AA1824">
        <f t="shared" si="112"/>
        <v>0</v>
      </c>
      <c r="AB1824">
        <f t="shared" si="113"/>
        <v>0</v>
      </c>
      <c r="AC1824">
        <f t="shared" si="114"/>
        <v>0</v>
      </c>
      <c r="AD1824">
        <f t="shared" si="115"/>
        <v>0</v>
      </c>
    </row>
    <row r="1825" spans="27:30" x14ac:dyDescent="0.3">
      <c r="AA1825">
        <f t="shared" si="112"/>
        <v>0</v>
      </c>
      <c r="AB1825">
        <f t="shared" si="113"/>
        <v>0</v>
      </c>
      <c r="AC1825">
        <f t="shared" si="114"/>
        <v>0</v>
      </c>
      <c r="AD1825">
        <f t="shared" si="115"/>
        <v>0</v>
      </c>
    </row>
    <row r="1826" spans="27:30" x14ac:dyDescent="0.3">
      <c r="AA1826">
        <f t="shared" si="112"/>
        <v>0</v>
      </c>
      <c r="AB1826">
        <f t="shared" si="113"/>
        <v>0</v>
      </c>
      <c r="AC1826">
        <f t="shared" si="114"/>
        <v>0</v>
      </c>
      <c r="AD1826">
        <f t="shared" si="115"/>
        <v>0</v>
      </c>
    </row>
    <row r="1827" spans="27:30" x14ac:dyDescent="0.3">
      <c r="AA1827">
        <f t="shared" si="112"/>
        <v>0</v>
      </c>
      <c r="AB1827">
        <f t="shared" si="113"/>
        <v>0</v>
      </c>
      <c r="AC1827">
        <f t="shared" si="114"/>
        <v>0</v>
      </c>
      <c r="AD1827">
        <f t="shared" si="115"/>
        <v>0</v>
      </c>
    </row>
    <row r="1828" spans="27:30" x14ac:dyDescent="0.3">
      <c r="AA1828">
        <f t="shared" si="112"/>
        <v>0</v>
      </c>
      <c r="AB1828">
        <f t="shared" si="113"/>
        <v>0</v>
      </c>
      <c r="AC1828">
        <f t="shared" si="114"/>
        <v>0</v>
      </c>
      <c r="AD1828">
        <f t="shared" si="115"/>
        <v>0</v>
      </c>
    </row>
    <row r="1829" spans="27:30" x14ac:dyDescent="0.3">
      <c r="AA1829">
        <f t="shared" si="112"/>
        <v>0</v>
      </c>
      <c r="AB1829">
        <f t="shared" si="113"/>
        <v>0</v>
      </c>
      <c r="AC1829">
        <f t="shared" si="114"/>
        <v>0</v>
      </c>
      <c r="AD1829">
        <f t="shared" si="115"/>
        <v>0</v>
      </c>
    </row>
    <row r="1830" spans="27:30" x14ac:dyDescent="0.3">
      <c r="AA1830">
        <f t="shared" si="112"/>
        <v>0</v>
      </c>
      <c r="AB1830">
        <f t="shared" si="113"/>
        <v>0</v>
      </c>
      <c r="AC1830">
        <f t="shared" si="114"/>
        <v>0</v>
      </c>
      <c r="AD1830">
        <f t="shared" si="115"/>
        <v>0</v>
      </c>
    </row>
    <row r="1831" spans="27:30" x14ac:dyDescent="0.3">
      <c r="AA1831">
        <f t="shared" si="112"/>
        <v>0</v>
      </c>
      <c r="AB1831">
        <f t="shared" si="113"/>
        <v>0</v>
      </c>
      <c r="AC1831">
        <f t="shared" si="114"/>
        <v>0</v>
      </c>
      <c r="AD1831">
        <f t="shared" si="115"/>
        <v>0</v>
      </c>
    </row>
    <row r="1832" spans="27:30" x14ac:dyDescent="0.3">
      <c r="AA1832">
        <f t="shared" si="112"/>
        <v>0</v>
      </c>
      <c r="AB1832">
        <f t="shared" si="113"/>
        <v>0</v>
      </c>
      <c r="AC1832">
        <f t="shared" si="114"/>
        <v>0</v>
      </c>
      <c r="AD1832">
        <f t="shared" si="115"/>
        <v>0</v>
      </c>
    </row>
    <row r="1833" spans="27:30" x14ac:dyDescent="0.3">
      <c r="AA1833">
        <f t="shared" si="112"/>
        <v>0</v>
      </c>
      <c r="AB1833">
        <f t="shared" si="113"/>
        <v>0</v>
      </c>
      <c r="AC1833">
        <f t="shared" si="114"/>
        <v>0</v>
      </c>
      <c r="AD1833">
        <f t="shared" si="115"/>
        <v>0</v>
      </c>
    </row>
    <row r="1834" spans="27:30" x14ac:dyDescent="0.3">
      <c r="AA1834">
        <f t="shared" si="112"/>
        <v>0</v>
      </c>
      <c r="AB1834">
        <f t="shared" si="113"/>
        <v>0</v>
      </c>
      <c r="AC1834">
        <f t="shared" si="114"/>
        <v>0</v>
      </c>
      <c r="AD1834">
        <f t="shared" si="115"/>
        <v>0</v>
      </c>
    </row>
    <row r="1835" spans="27:30" x14ac:dyDescent="0.3">
      <c r="AA1835">
        <f t="shared" si="112"/>
        <v>0</v>
      </c>
      <c r="AB1835">
        <f t="shared" si="113"/>
        <v>0</v>
      </c>
      <c r="AC1835">
        <f t="shared" si="114"/>
        <v>0</v>
      </c>
      <c r="AD1835">
        <f t="shared" si="115"/>
        <v>0</v>
      </c>
    </row>
    <row r="1836" spans="27:30" x14ac:dyDescent="0.3">
      <c r="AA1836">
        <f t="shared" si="112"/>
        <v>0</v>
      </c>
      <c r="AB1836">
        <f t="shared" si="113"/>
        <v>0</v>
      </c>
      <c r="AC1836">
        <f t="shared" si="114"/>
        <v>0</v>
      </c>
      <c r="AD1836">
        <f t="shared" si="115"/>
        <v>0</v>
      </c>
    </row>
    <row r="1837" spans="27:30" x14ac:dyDescent="0.3">
      <c r="AA1837">
        <f t="shared" si="112"/>
        <v>0</v>
      </c>
      <c r="AB1837">
        <f t="shared" si="113"/>
        <v>0</v>
      </c>
      <c r="AC1837">
        <f t="shared" si="114"/>
        <v>0</v>
      </c>
      <c r="AD1837">
        <f t="shared" si="115"/>
        <v>0</v>
      </c>
    </row>
    <row r="1838" spans="27:30" x14ac:dyDescent="0.3">
      <c r="AA1838">
        <f t="shared" si="112"/>
        <v>0</v>
      </c>
      <c r="AB1838">
        <f t="shared" si="113"/>
        <v>0</v>
      </c>
      <c r="AC1838">
        <f t="shared" si="114"/>
        <v>0</v>
      </c>
      <c r="AD1838">
        <f t="shared" si="115"/>
        <v>0</v>
      </c>
    </row>
    <row r="1839" spans="27:30" x14ac:dyDescent="0.3">
      <c r="AA1839">
        <f t="shared" si="112"/>
        <v>0</v>
      </c>
      <c r="AB1839">
        <f t="shared" si="113"/>
        <v>0</v>
      </c>
      <c r="AC1839">
        <f t="shared" si="114"/>
        <v>0</v>
      </c>
      <c r="AD1839">
        <f t="shared" si="115"/>
        <v>0</v>
      </c>
    </row>
    <row r="1840" spans="27:30" x14ac:dyDescent="0.3">
      <c r="AA1840">
        <f t="shared" si="112"/>
        <v>0</v>
      </c>
      <c r="AB1840">
        <f t="shared" si="113"/>
        <v>0</v>
      </c>
      <c r="AC1840">
        <f t="shared" si="114"/>
        <v>0</v>
      </c>
      <c r="AD1840">
        <f t="shared" si="115"/>
        <v>0</v>
      </c>
    </row>
    <row r="1841" spans="27:30" x14ac:dyDescent="0.3">
      <c r="AA1841">
        <f t="shared" si="112"/>
        <v>0</v>
      </c>
      <c r="AB1841">
        <f t="shared" si="113"/>
        <v>0</v>
      </c>
      <c r="AC1841">
        <f t="shared" si="114"/>
        <v>0</v>
      </c>
      <c r="AD1841">
        <f t="shared" si="115"/>
        <v>0</v>
      </c>
    </row>
    <row r="1842" spans="27:30" x14ac:dyDescent="0.3">
      <c r="AA1842">
        <f t="shared" si="112"/>
        <v>0</v>
      </c>
      <c r="AB1842">
        <f t="shared" si="113"/>
        <v>0</v>
      </c>
      <c r="AC1842">
        <f t="shared" si="114"/>
        <v>0</v>
      </c>
      <c r="AD1842">
        <f t="shared" si="115"/>
        <v>0</v>
      </c>
    </row>
    <row r="1843" spans="27:30" x14ac:dyDescent="0.3">
      <c r="AA1843">
        <f t="shared" si="112"/>
        <v>0</v>
      </c>
      <c r="AB1843">
        <f t="shared" si="113"/>
        <v>0</v>
      </c>
      <c r="AC1843">
        <f t="shared" si="114"/>
        <v>0</v>
      </c>
      <c r="AD1843">
        <f t="shared" si="115"/>
        <v>0</v>
      </c>
    </row>
    <row r="1844" spans="27:30" x14ac:dyDescent="0.3">
      <c r="AA1844">
        <f t="shared" si="112"/>
        <v>0</v>
      </c>
      <c r="AB1844">
        <f t="shared" si="113"/>
        <v>0</v>
      </c>
      <c r="AC1844">
        <f t="shared" si="114"/>
        <v>0</v>
      </c>
      <c r="AD1844">
        <f t="shared" si="115"/>
        <v>0</v>
      </c>
    </row>
    <row r="1845" spans="27:30" x14ac:dyDescent="0.3">
      <c r="AA1845">
        <f t="shared" si="112"/>
        <v>0</v>
      </c>
      <c r="AB1845">
        <f t="shared" si="113"/>
        <v>0</v>
      </c>
      <c r="AC1845">
        <f t="shared" si="114"/>
        <v>0</v>
      </c>
      <c r="AD1845">
        <f t="shared" si="115"/>
        <v>0</v>
      </c>
    </row>
    <row r="1846" spans="27:30" x14ac:dyDescent="0.3">
      <c r="AA1846">
        <f t="shared" si="112"/>
        <v>0</v>
      </c>
      <c r="AB1846">
        <f t="shared" si="113"/>
        <v>0</v>
      </c>
      <c r="AC1846">
        <f t="shared" si="114"/>
        <v>0</v>
      </c>
      <c r="AD1846">
        <f t="shared" si="115"/>
        <v>0</v>
      </c>
    </row>
    <row r="1847" spans="27:30" x14ac:dyDescent="0.3">
      <c r="AA1847">
        <f t="shared" si="112"/>
        <v>0</v>
      </c>
      <c r="AB1847">
        <f t="shared" si="113"/>
        <v>0</v>
      </c>
      <c r="AC1847">
        <f t="shared" si="114"/>
        <v>0</v>
      </c>
      <c r="AD1847">
        <f t="shared" si="115"/>
        <v>0</v>
      </c>
    </row>
    <row r="1848" spans="27:30" x14ac:dyDescent="0.3">
      <c r="AA1848">
        <f t="shared" si="112"/>
        <v>0</v>
      </c>
      <c r="AB1848">
        <f t="shared" si="113"/>
        <v>0</v>
      </c>
      <c r="AC1848">
        <f t="shared" si="114"/>
        <v>0</v>
      </c>
      <c r="AD1848">
        <f t="shared" si="115"/>
        <v>0</v>
      </c>
    </row>
    <row r="1849" spans="27:30" x14ac:dyDescent="0.3">
      <c r="AA1849">
        <f t="shared" si="112"/>
        <v>0</v>
      </c>
      <c r="AB1849">
        <f t="shared" si="113"/>
        <v>0</v>
      </c>
      <c r="AC1849">
        <f t="shared" si="114"/>
        <v>0</v>
      </c>
      <c r="AD1849">
        <f t="shared" si="115"/>
        <v>0</v>
      </c>
    </row>
    <row r="1850" spans="27:30" x14ac:dyDescent="0.3">
      <c r="AA1850">
        <f t="shared" si="112"/>
        <v>0</v>
      </c>
      <c r="AB1850">
        <f t="shared" si="113"/>
        <v>0</v>
      </c>
      <c r="AC1850">
        <f t="shared" si="114"/>
        <v>0</v>
      </c>
      <c r="AD1850">
        <f t="shared" si="115"/>
        <v>0</v>
      </c>
    </row>
    <row r="1851" spans="27:30" x14ac:dyDescent="0.3">
      <c r="AA1851">
        <f t="shared" si="112"/>
        <v>0</v>
      </c>
      <c r="AB1851">
        <f t="shared" si="113"/>
        <v>0</v>
      </c>
      <c r="AC1851">
        <f t="shared" si="114"/>
        <v>0</v>
      </c>
      <c r="AD1851">
        <f t="shared" si="115"/>
        <v>0</v>
      </c>
    </row>
    <row r="1852" spans="27:30" x14ac:dyDescent="0.3">
      <c r="AA1852">
        <f t="shared" si="112"/>
        <v>0</v>
      </c>
      <c r="AB1852">
        <f t="shared" si="113"/>
        <v>0</v>
      </c>
      <c r="AC1852">
        <f t="shared" si="114"/>
        <v>0</v>
      </c>
      <c r="AD1852">
        <f t="shared" si="115"/>
        <v>0</v>
      </c>
    </row>
    <row r="1853" spans="27:30" x14ac:dyDescent="0.3">
      <c r="AA1853">
        <f t="shared" si="112"/>
        <v>0</v>
      </c>
      <c r="AB1853">
        <f t="shared" si="113"/>
        <v>0</v>
      </c>
      <c r="AC1853">
        <f t="shared" si="114"/>
        <v>0</v>
      </c>
      <c r="AD1853">
        <f t="shared" si="115"/>
        <v>0</v>
      </c>
    </row>
    <row r="1854" spans="27:30" x14ac:dyDescent="0.3">
      <c r="AA1854">
        <f t="shared" si="112"/>
        <v>0</v>
      </c>
      <c r="AB1854">
        <f t="shared" si="113"/>
        <v>0</v>
      </c>
      <c r="AC1854">
        <f t="shared" si="114"/>
        <v>0</v>
      </c>
      <c r="AD1854">
        <f t="shared" si="115"/>
        <v>0</v>
      </c>
    </row>
    <row r="1855" spans="27:30" x14ac:dyDescent="0.3">
      <c r="AA1855">
        <f t="shared" si="112"/>
        <v>0</v>
      </c>
      <c r="AB1855">
        <f t="shared" si="113"/>
        <v>0</v>
      </c>
      <c r="AC1855">
        <f t="shared" si="114"/>
        <v>0</v>
      </c>
      <c r="AD1855">
        <f t="shared" si="115"/>
        <v>0</v>
      </c>
    </row>
    <row r="1856" spans="27:30" x14ac:dyDescent="0.3">
      <c r="AA1856">
        <f t="shared" si="112"/>
        <v>0</v>
      </c>
      <c r="AB1856">
        <f t="shared" si="113"/>
        <v>0</v>
      </c>
      <c r="AC1856">
        <f t="shared" si="114"/>
        <v>0</v>
      </c>
      <c r="AD1856">
        <f t="shared" si="115"/>
        <v>0</v>
      </c>
    </row>
    <row r="1857" spans="27:30" x14ac:dyDescent="0.3">
      <c r="AA1857">
        <f t="shared" si="112"/>
        <v>0</v>
      </c>
      <c r="AB1857">
        <f t="shared" si="113"/>
        <v>0</v>
      </c>
      <c r="AC1857">
        <f t="shared" si="114"/>
        <v>0</v>
      </c>
      <c r="AD1857">
        <f t="shared" si="115"/>
        <v>0</v>
      </c>
    </row>
    <row r="1858" spans="27:30" x14ac:dyDescent="0.3">
      <c r="AA1858">
        <f t="shared" si="112"/>
        <v>0</v>
      </c>
      <c r="AB1858">
        <f t="shared" si="113"/>
        <v>0</v>
      </c>
      <c r="AC1858">
        <f t="shared" si="114"/>
        <v>0</v>
      </c>
      <c r="AD1858">
        <f t="shared" si="115"/>
        <v>0</v>
      </c>
    </row>
    <row r="1859" spans="27:30" x14ac:dyDescent="0.3">
      <c r="AA1859">
        <f t="shared" si="112"/>
        <v>0</v>
      </c>
      <c r="AB1859">
        <f t="shared" si="113"/>
        <v>0</v>
      </c>
      <c r="AC1859">
        <f t="shared" si="114"/>
        <v>0</v>
      </c>
      <c r="AD1859">
        <f t="shared" si="115"/>
        <v>0</v>
      </c>
    </row>
    <row r="1860" spans="27:30" x14ac:dyDescent="0.3">
      <c r="AA1860">
        <f t="shared" si="112"/>
        <v>0</v>
      </c>
      <c r="AB1860">
        <f t="shared" si="113"/>
        <v>0</v>
      </c>
      <c r="AC1860">
        <f t="shared" si="114"/>
        <v>0</v>
      </c>
      <c r="AD1860">
        <f t="shared" si="115"/>
        <v>0</v>
      </c>
    </row>
    <row r="1861" spans="27:30" x14ac:dyDescent="0.3">
      <c r="AA1861">
        <f t="shared" ref="AA1861:AA1924" si="116">ROUND(Z1861,0)</f>
        <v>0</v>
      </c>
      <c r="AB1861">
        <f t="shared" ref="AB1861:AB1924" si="117">IF(AA1861=Y1861,0,1)</f>
        <v>0</v>
      </c>
      <c r="AC1861">
        <f t="shared" ref="AC1861:AC1924" si="118">IF(AA1861&lt;Y1861+5,IF(AA1861&gt;Y1861-5,0,1),1)</f>
        <v>0</v>
      </c>
      <c r="AD1861">
        <f t="shared" ref="AD1861:AD1924" si="119">IF(AA1861&lt;Y1861+10,IF(AA1861&gt;Y1861-10,0,1),1)</f>
        <v>0</v>
      </c>
    </row>
    <row r="1862" spans="27:30" x14ac:dyDescent="0.3">
      <c r="AA1862">
        <f t="shared" si="116"/>
        <v>0</v>
      </c>
      <c r="AB1862">
        <f t="shared" si="117"/>
        <v>0</v>
      </c>
      <c r="AC1862">
        <f t="shared" si="118"/>
        <v>0</v>
      </c>
      <c r="AD1862">
        <f t="shared" si="119"/>
        <v>0</v>
      </c>
    </row>
    <row r="1863" spans="27:30" x14ac:dyDescent="0.3">
      <c r="AA1863">
        <f t="shared" si="116"/>
        <v>0</v>
      </c>
      <c r="AB1863">
        <f t="shared" si="117"/>
        <v>0</v>
      </c>
      <c r="AC1863">
        <f t="shared" si="118"/>
        <v>0</v>
      </c>
      <c r="AD1863">
        <f t="shared" si="119"/>
        <v>0</v>
      </c>
    </row>
    <row r="1864" spans="27:30" x14ac:dyDescent="0.3">
      <c r="AA1864">
        <f t="shared" si="116"/>
        <v>0</v>
      </c>
      <c r="AB1864">
        <f t="shared" si="117"/>
        <v>0</v>
      </c>
      <c r="AC1864">
        <f t="shared" si="118"/>
        <v>0</v>
      </c>
      <c r="AD1864">
        <f t="shared" si="119"/>
        <v>0</v>
      </c>
    </row>
    <row r="1865" spans="27:30" x14ac:dyDescent="0.3">
      <c r="AA1865">
        <f t="shared" si="116"/>
        <v>0</v>
      </c>
      <c r="AB1865">
        <f t="shared" si="117"/>
        <v>0</v>
      </c>
      <c r="AC1865">
        <f t="shared" si="118"/>
        <v>0</v>
      </c>
      <c r="AD1865">
        <f t="shared" si="119"/>
        <v>0</v>
      </c>
    </row>
    <row r="1866" spans="27:30" x14ac:dyDescent="0.3">
      <c r="AA1866">
        <f t="shared" si="116"/>
        <v>0</v>
      </c>
      <c r="AB1866">
        <f t="shared" si="117"/>
        <v>0</v>
      </c>
      <c r="AC1866">
        <f t="shared" si="118"/>
        <v>0</v>
      </c>
      <c r="AD1866">
        <f t="shared" si="119"/>
        <v>0</v>
      </c>
    </row>
    <row r="1867" spans="27:30" x14ac:dyDescent="0.3">
      <c r="AA1867">
        <f t="shared" si="116"/>
        <v>0</v>
      </c>
      <c r="AB1867">
        <f t="shared" si="117"/>
        <v>0</v>
      </c>
      <c r="AC1867">
        <f t="shared" si="118"/>
        <v>0</v>
      </c>
      <c r="AD1867">
        <f t="shared" si="119"/>
        <v>0</v>
      </c>
    </row>
    <row r="1868" spans="27:30" x14ac:dyDescent="0.3">
      <c r="AA1868">
        <f t="shared" si="116"/>
        <v>0</v>
      </c>
      <c r="AB1868">
        <f t="shared" si="117"/>
        <v>0</v>
      </c>
      <c r="AC1868">
        <f t="shared" si="118"/>
        <v>0</v>
      </c>
      <c r="AD1868">
        <f t="shared" si="119"/>
        <v>0</v>
      </c>
    </row>
    <row r="1869" spans="27:30" x14ac:dyDescent="0.3">
      <c r="AA1869">
        <f t="shared" si="116"/>
        <v>0</v>
      </c>
      <c r="AB1869">
        <f t="shared" si="117"/>
        <v>0</v>
      </c>
      <c r="AC1869">
        <f t="shared" si="118"/>
        <v>0</v>
      </c>
      <c r="AD1869">
        <f t="shared" si="119"/>
        <v>0</v>
      </c>
    </row>
    <row r="1870" spans="27:30" x14ac:dyDescent="0.3">
      <c r="AA1870">
        <f t="shared" si="116"/>
        <v>0</v>
      </c>
      <c r="AB1870">
        <f t="shared" si="117"/>
        <v>0</v>
      </c>
      <c r="AC1870">
        <f t="shared" si="118"/>
        <v>0</v>
      </c>
      <c r="AD1870">
        <f t="shared" si="119"/>
        <v>0</v>
      </c>
    </row>
    <row r="1871" spans="27:30" x14ac:dyDescent="0.3">
      <c r="AA1871">
        <f t="shared" si="116"/>
        <v>0</v>
      </c>
      <c r="AB1871">
        <f t="shared" si="117"/>
        <v>0</v>
      </c>
      <c r="AC1871">
        <f t="shared" si="118"/>
        <v>0</v>
      </c>
      <c r="AD1871">
        <f t="shared" si="119"/>
        <v>0</v>
      </c>
    </row>
    <row r="1872" spans="27:30" x14ac:dyDescent="0.3">
      <c r="AA1872">
        <f t="shared" si="116"/>
        <v>0</v>
      </c>
      <c r="AB1872">
        <f t="shared" si="117"/>
        <v>0</v>
      </c>
      <c r="AC1872">
        <f t="shared" si="118"/>
        <v>0</v>
      </c>
      <c r="AD1872">
        <f t="shared" si="119"/>
        <v>0</v>
      </c>
    </row>
    <row r="1873" spans="27:30" x14ac:dyDescent="0.3">
      <c r="AA1873">
        <f t="shared" si="116"/>
        <v>0</v>
      </c>
      <c r="AB1873">
        <f t="shared" si="117"/>
        <v>0</v>
      </c>
      <c r="AC1873">
        <f t="shared" si="118"/>
        <v>0</v>
      </c>
      <c r="AD1873">
        <f t="shared" si="119"/>
        <v>0</v>
      </c>
    </row>
    <row r="1874" spans="27:30" x14ac:dyDescent="0.3">
      <c r="AA1874">
        <f t="shared" si="116"/>
        <v>0</v>
      </c>
      <c r="AB1874">
        <f t="shared" si="117"/>
        <v>0</v>
      </c>
      <c r="AC1874">
        <f t="shared" si="118"/>
        <v>0</v>
      </c>
      <c r="AD1874">
        <f t="shared" si="119"/>
        <v>0</v>
      </c>
    </row>
    <row r="1875" spans="27:30" x14ac:dyDescent="0.3">
      <c r="AA1875">
        <f t="shared" si="116"/>
        <v>0</v>
      </c>
      <c r="AB1875">
        <f t="shared" si="117"/>
        <v>0</v>
      </c>
      <c r="AC1875">
        <f t="shared" si="118"/>
        <v>0</v>
      </c>
      <c r="AD1875">
        <f t="shared" si="119"/>
        <v>0</v>
      </c>
    </row>
    <row r="1876" spans="27:30" x14ac:dyDescent="0.3">
      <c r="AA1876">
        <f t="shared" si="116"/>
        <v>0</v>
      </c>
      <c r="AB1876">
        <f t="shared" si="117"/>
        <v>0</v>
      </c>
      <c r="AC1876">
        <f t="shared" si="118"/>
        <v>0</v>
      </c>
      <c r="AD1876">
        <f t="shared" si="119"/>
        <v>0</v>
      </c>
    </row>
    <row r="1877" spans="27:30" x14ac:dyDescent="0.3">
      <c r="AA1877">
        <f t="shared" si="116"/>
        <v>0</v>
      </c>
      <c r="AB1877">
        <f t="shared" si="117"/>
        <v>0</v>
      </c>
      <c r="AC1877">
        <f t="shared" si="118"/>
        <v>0</v>
      </c>
      <c r="AD1877">
        <f t="shared" si="119"/>
        <v>0</v>
      </c>
    </row>
    <row r="1878" spans="27:30" x14ac:dyDescent="0.3">
      <c r="AA1878">
        <f t="shared" si="116"/>
        <v>0</v>
      </c>
      <c r="AB1878">
        <f t="shared" si="117"/>
        <v>0</v>
      </c>
      <c r="AC1878">
        <f t="shared" si="118"/>
        <v>0</v>
      </c>
      <c r="AD1878">
        <f t="shared" si="119"/>
        <v>0</v>
      </c>
    </row>
    <row r="1879" spans="27:30" x14ac:dyDescent="0.3">
      <c r="AA1879">
        <f t="shared" si="116"/>
        <v>0</v>
      </c>
      <c r="AB1879">
        <f t="shared" si="117"/>
        <v>0</v>
      </c>
      <c r="AC1879">
        <f t="shared" si="118"/>
        <v>0</v>
      </c>
      <c r="AD1879">
        <f t="shared" si="119"/>
        <v>0</v>
      </c>
    </row>
    <row r="1880" spans="27:30" x14ac:dyDescent="0.3">
      <c r="AA1880">
        <f t="shared" si="116"/>
        <v>0</v>
      </c>
      <c r="AB1880">
        <f t="shared" si="117"/>
        <v>0</v>
      </c>
      <c r="AC1880">
        <f t="shared" si="118"/>
        <v>0</v>
      </c>
      <c r="AD1880">
        <f t="shared" si="119"/>
        <v>0</v>
      </c>
    </row>
    <row r="1881" spans="27:30" x14ac:dyDescent="0.3">
      <c r="AA1881">
        <f t="shared" si="116"/>
        <v>0</v>
      </c>
      <c r="AB1881">
        <f t="shared" si="117"/>
        <v>0</v>
      </c>
      <c r="AC1881">
        <f t="shared" si="118"/>
        <v>0</v>
      </c>
      <c r="AD1881">
        <f t="shared" si="119"/>
        <v>0</v>
      </c>
    </row>
    <row r="1882" spans="27:30" x14ac:dyDescent="0.3">
      <c r="AA1882">
        <f t="shared" si="116"/>
        <v>0</v>
      </c>
      <c r="AB1882">
        <f t="shared" si="117"/>
        <v>0</v>
      </c>
      <c r="AC1882">
        <f t="shared" si="118"/>
        <v>0</v>
      </c>
      <c r="AD1882">
        <f t="shared" si="119"/>
        <v>0</v>
      </c>
    </row>
    <row r="1883" spans="27:30" x14ac:dyDescent="0.3">
      <c r="AA1883">
        <f t="shared" si="116"/>
        <v>0</v>
      </c>
      <c r="AB1883">
        <f t="shared" si="117"/>
        <v>0</v>
      </c>
      <c r="AC1883">
        <f t="shared" si="118"/>
        <v>0</v>
      </c>
      <c r="AD1883">
        <f t="shared" si="119"/>
        <v>0</v>
      </c>
    </row>
    <row r="1884" spans="27:30" x14ac:dyDescent="0.3">
      <c r="AA1884">
        <f t="shared" si="116"/>
        <v>0</v>
      </c>
      <c r="AB1884">
        <f t="shared" si="117"/>
        <v>0</v>
      </c>
      <c r="AC1884">
        <f t="shared" si="118"/>
        <v>0</v>
      </c>
      <c r="AD1884">
        <f t="shared" si="119"/>
        <v>0</v>
      </c>
    </row>
    <row r="1885" spans="27:30" x14ac:dyDescent="0.3">
      <c r="AA1885">
        <f t="shared" si="116"/>
        <v>0</v>
      </c>
      <c r="AB1885">
        <f t="shared" si="117"/>
        <v>0</v>
      </c>
      <c r="AC1885">
        <f t="shared" si="118"/>
        <v>0</v>
      </c>
      <c r="AD1885">
        <f t="shared" si="119"/>
        <v>0</v>
      </c>
    </row>
    <row r="1886" spans="27:30" x14ac:dyDescent="0.3">
      <c r="AA1886">
        <f t="shared" si="116"/>
        <v>0</v>
      </c>
      <c r="AB1886">
        <f t="shared" si="117"/>
        <v>0</v>
      </c>
      <c r="AC1886">
        <f t="shared" si="118"/>
        <v>0</v>
      </c>
      <c r="AD1886">
        <f t="shared" si="119"/>
        <v>0</v>
      </c>
    </row>
    <row r="1887" spans="27:30" x14ac:dyDescent="0.3">
      <c r="AA1887">
        <f t="shared" si="116"/>
        <v>0</v>
      </c>
      <c r="AB1887">
        <f t="shared" si="117"/>
        <v>0</v>
      </c>
      <c r="AC1887">
        <f t="shared" si="118"/>
        <v>0</v>
      </c>
      <c r="AD1887">
        <f t="shared" si="119"/>
        <v>0</v>
      </c>
    </row>
    <row r="1888" spans="27:30" x14ac:dyDescent="0.3">
      <c r="AA1888">
        <f t="shared" si="116"/>
        <v>0</v>
      </c>
      <c r="AB1888">
        <f t="shared" si="117"/>
        <v>0</v>
      </c>
      <c r="AC1888">
        <f t="shared" si="118"/>
        <v>0</v>
      </c>
      <c r="AD1888">
        <f t="shared" si="119"/>
        <v>0</v>
      </c>
    </row>
    <row r="1889" spans="27:30" x14ac:dyDescent="0.3">
      <c r="AA1889">
        <f t="shared" si="116"/>
        <v>0</v>
      </c>
      <c r="AB1889">
        <f t="shared" si="117"/>
        <v>0</v>
      </c>
      <c r="AC1889">
        <f t="shared" si="118"/>
        <v>0</v>
      </c>
      <c r="AD1889">
        <f t="shared" si="119"/>
        <v>0</v>
      </c>
    </row>
    <row r="1890" spans="27:30" x14ac:dyDescent="0.3">
      <c r="AA1890">
        <f t="shared" si="116"/>
        <v>0</v>
      </c>
      <c r="AB1890">
        <f t="shared" si="117"/>
        <v>0</v>
      </c>
      <c r="AC1890">
        <f t="shared" si="118"/>
        <v>0</v>
      </c>
      <c r="AD1890">
        <f t="shared" si="119"/>
        <v>0</v>
      </c>
    </row>
    <row r="1891" spans="27:30" x14ac:dyDescent="0.3">
      <c r="AA1891">
        <f t="shared" si="116"/>
        <v>0</v>
      </c>
      <c r="AB1891">
        <f t="shared" si="117"/>
        <v>0</v>
      </c>
      <c r="AC1891">
        <f t="shared" si="118"/>
        <v>0</v>
      </c>
      <c r="AD1891">
        <f t="shared" si="119"/>
        <v>0</v>
      </c>
    </row>
    <row r="1892" spans="27:30" x14ac:dyDescent="0.3">
      <c r="AA1892">
        <f t="shared" si="116"/>
        <v>0</v>
      </c>
      <c r="AB1892">
        <f t="shared" si="117"/>
        <v>0</v>
      </c>
      <c r="AC1892">
        <f t="shared" si="118"/>
        <v>0</v>
      </c>
      <c r="AD1892">
        <f t="shared" si="119"/>
        <v>0</v>
      </c>
    </row>
    <row r="1893" spans="27:30" x14ac:dyDescent="0.3">
      <c r="AA1893">
        <f t="shared" si="116"/>
        <v>0</v>
      </c>
      <c r="AB1893">
        <f t="shared" si="117"/>
        <v>0</v>
      </c>
      <c r="AC1893">
        <f t="shared" si="118"/>
        <v>0</v>
      </c>
      <c r="AD1893">
        <f t="shared" si="119"/>
        <v>0</v>
      </c>
    </row>
    <row r="1894" spans="27:30" x14ac:dyDescent="0.3">
      <c r="AA1894">
        <f t="shared" si="116"/>
        <v>0</v>
      </c>
      <c r="AB1894">
        <f t="shared" si="117"/>
        <v>0</v>
      </c>
      <c r="AC1894">
        <f t="shared" si="118"/>
        <v>0</v>
      </c>
      <c r="AD1894">
        <f t="shared" si="119"/>
        <v>0</v>
      </c>
    </row>
    <row r="1895" spans="27:30" x14ac:dyDescent="0.3">
      <c r="AA1895">
        <f t="shared" si="116"/>
        <v>0</v>
      </c>
      <c r="AB1895">
        <f t="shared" si="117"/>
        <v>0</v>
      </c>
      <c r="AC1895">
        <f t="shared" si="118"/>
        <v>0</v>
      </c>
      <c r="AD1895">
        <f t="shared" si="119"/>
        <v>0</v>
      </c>
    </row>
    <row r="1896" spans="27:30" x14ac:dyDescent="0.3">
      <c r="AA1896">
        <f t="shared" si="116"/>
        <v>0</v>
      </c>
      <c r="AB1896">
        <f t="shared" si="117"/>
        <v>0</v>
      </c>
      <c r="AC1896">
        <f t="shared" si="118"/>
        <v>0</v>
      </c>
      <c r="AD1896">
        <f t="shared" si="119"/>
        <v>0</v>
      </c>
    </row>
    <row r="1897" spans="27:30" x14ac:dyDescent="0.3">
      <c r="AA1897">
        <f t="shared" si="116"/>
        <v>0</v>
      </c>
      <c r="AB1897">
        <f t="shared" si="117"/>
        <v>0</v>
      </c>
      <c r="AC1897">
        <f t="shared" si="118"/>
        <v>0</v>
      </c>
      <c r="AD1897">
        <f t="shared" si="119"/>
        <v>0</v>
      </c>
    </row>
    <row r="1898" spans="27:30" x14ac:dyDescent="0.3">
      <c r="AA1898">
        <f t="shared" si="116"/>
        <v>0</v>
      </c>
      <c r="AB1898">
        <f t="shared" si="117"/>
        <v>0</v>
      </c>
      <c r="AC1898">
        <f t="shared" si="118"/>
        <v>0</v>
      </c>
      <c r="AD1898">
        <f t="shared" si="119"/>
        <v>0</v>
      </c>
    </row>
    <row r="1899" spans="27:30" x14ac:dyDescent="0.3">
      <c r="AA1899">
        <f t="shared" si="116"/>
        <v>0</v>
      </c>
      <c r="AB1899">
        <f t="shared" si="117"/>
        <v>0</v>
      </c>
      <c r="AC1899">
        <f t="shared" si="118"/>
        <v>0</v>
      </c>
      <c r="AD1899">
        <f t="shared" si="119"/>
        <v>0</v>
      </c>
    </row>
    <row r="1900" spans="27:30" x14ac:dyDescent="0.3">
      <c r="AA1900">
        <f t="shared" si="116"/>
        <v>0</v>
      </c>
      <c r="AB1900">
        <f t="shared" si="117"/>
        <v>0</v>
      </c>
      <c r="AC1900">
        <f t="shared" si="118"/>
        <v>0</v>
      </c>
      <c r="AD1900">
        <f t="shared" si="119"/>
        <v>0</v>
      </c>
    </row>
    <row r="1901" spans="27:30" x14ac:dyDescent="0.3">
      <c r="AA1901">
        <f t="shared" si="116"/>
        <v>0</v>
      </c>
      <c r="AB1901">
        <f t="shared" si="117"/>
        <v>0</v>
      </c>
      <c r="AC1901">
        <f t="shared" si="118"/>
        <v>0</v>
      </c>
      <c r="AD1901">
        <f t="shared" si="119"/>
        <v>0</v>
      </c>
    </row>
    <row r="1902" spans="27:30" x14ac:dyDescent="0.3">
      <c r="AA1902">
        <f t="shared" si="116"/>
        <v>0</v>
      </c>
      <c r="AB1902">
        <f t="shared" si="117"/>
        <v>0</v>
      </c>
      <c r="AC1902">
        <f t="shared" si="118"/>
        <v>0</v>
      </c>
      <c r="AD1902">
        <f t="shared" si="119"/>
        <v>0</v>
      </c>
    </row>
    <row r="1903" spans="27:30" x14ac:dyDescent="0.3">
      <c r="AA1903">
        <f t="shared" si="116"/>
        <v>0</v>
      </c>
      <c r="AB1903">
        <f t="shared" si="117"/>
        <v>0</v>
      </c>
      <c r="AC1903">
        <f t="shared" si="118"/>
        <v>0</v>
      </c>
      <c r="AD1903">
        <f t="shared" si="119"/>
        <v>0</v>
      </c>
    </row>
    <row r="1904" spans="27:30" x14ac:dyDescent="0.3">
      <c r="AA1904">
        <f t="shared" si="116"/>
        <v>0</v>
      </c>
      <c r="AB1904">
        <f t="shared" si="117"/>
        <v>0</v>
      </c>
      <c r="AC1904">
        <f t="shared" si="118"/>
        <v>0</v>
      </c>
      <c r="AD1904">
        <f t="shared" si="119"/>
        <v>0</v>
      </c>
    </row>
    <row r="1905" spans="27:30" x14ac:dyDescent="0.3">
      <c r="AA1905">
        <f t="shared" si="116"/>
        <v>0</v>
      </c>
      <c r="AB1905">
        <f t="shared" si="117"/>
        <v>0</v>
      </c>
      <c r="AC1905">
        <f t="shared" si="118"/>
        <v>0</v>
      </c>
      <c r="AD1905">
        <f t="shared" si="119"/>
        <v>0</v>
      </c>
    </row>
    <row r="1906" spans="27:30" x14ac:dyDescent="0.3">
      <c r="AA1906">
        <f t="shared" si="116"/>
        <v>0</v>
      </c>
      <c r="AB1906">
        <f t="shared" si="117"/>
        <v>0</v>
      </c>
      <c r="AC1906">
        <f t="shared" si="118"/>
        <v>0</v>
      </c>
      <c r="AD1906">
        <f t="shared" si="119"/>
        <v>0</v>
      </c>
    </row>
    <row r="1907" spans="27:30" x14ac:dyDescent="0.3">
      <c r="AA1907">
        <f t="shared" si="116"/>
        <v>0</v>
      </c>
      <c r="AB1907">
        <f t="shared" si="117"/>
        <v>0</v>
      </c>
      <c r="AC1907">
        <f t="shared" si="118"/>
        <v>0</v>
      </c>
      <c r="AD1907">
        <f t="shared" si="119"/>
        <v>0</v>
      </c>
    </row>
    <row r="1908" spans="27:30" x14ac:dyDescent="0.3">
      <c r="AA1908">
        <f t="shared" si="116"/>
        <v>0</v>
      </c>
      <c r="AB1908">
        <f t="shared" si="117"/>
        <v>0</v>
      </c>
      <c r="AC1908">
        <f t="shared" si="118"/>
        <v>0</v>
      </c>
      <c r="AD1908">
        <f t="shared" si="119"/>
        <v>0</v>
      </c>
    </row>
    <row r="1909" spans="27:30" x14ac:dyDescent="0.3">
      <c r="AA1909">
        <f t="shared" si="116"/>
        <v>0</v>
      </c>
      <c r="AB1909">
        <f t="shared" si="117"/>
        <v>0</v>
      </c>
      <c r="AC1909">
        <f t="shared" si="118"/>
        <v>0</v>
      </c>
      <c r="AD1909">
        <f t="shared" si="119"/>
        <v>0</v>
      </c>
    </row>
    <row r="1910" spans="27:30" x14ac:dyDescent="0.3">
      <c r="AA1910">
        <f t="shared" si="116"/>
        <v>0</v>
      </c>
      <c r="AB1910">
        <f t="shared" si="117"/>
        <v>0</v>
      </c>
      <c r="AC1910">
        <f t="shared" si="118"/>
        <v>0</v>
      </c>
      <c r="AD1910">
        <f t="shared" si="119"/>
        <v>0</v>
      </c>
    </row>
    <row r="1911" spans="27:30" x14ac:dyDescent="0.3">
      <c r="AA1911">
        <f t="shared" si="116"/>
        <v>0</v>
      </c>
      <c r="AB1911">
        <f t="shared" si="117"/>
        <v>0</v>
      </c>
      <c r="AC1911">
        <f t="shared" si="118"/>
        <v>0</v>
      </c>
      <c r="AD1911">
        <f t="shared" si="119"/>
        <v>0</v>
      </c>
    </row>
    <row r="1912" spans="27:30" x14ac:dyDescent="0.3">
      <c r="AA1912">
        <f t="shared" si="116"/>
        <v>0</v>
      </c>
      <c r="AB1912">
        <f t="shared" si="117"/>
        <v>0</v>
      </c>
      <c r="AC1912">
        <f t="shared" si="118"/>
        <v>0</v>
      </c>
      <c r="AD1912">
        <f t="shared" si="119"/>
        <v>0</v>
      </c>
    </row>
    <row r="1913" spans="27:30" x14ac:dyDescent="0.3">
      <c r="AA1913">
        <f t="shared" si="116"/>
        <v>0</v>
      </c>
      <c r="AB1913">
        <f t="shared" si="117"/>
        <v>0</v>
      </c>
      <c r="AC1913">
        <f t="shared" si="118"/>
        <v>0</v>
      </c>
      <c r="AD1913">
        <f t="shared" si="119"/>
        <v>0</v>
      </c>
    </row>
    <row r="1914" spans="27:30" x14ac:dyDescent="0.3">
      <c r="AA1914">
        <f t="shared" si="116"/>
        <v>0</v>
      </c>
      <c r="AB1914">
        <f t="shared" si="117"/>
        <v>0</v>
      </c>
      <c r="AC1914">
        <f t="shared" si="118"/>
        <v>0</v>
      </c>
      <c r="AD1914">
        <f t="shared" si="119"/>
        <v>0</v>
      </c>
    </row>
    <row r="1915" spans="27:30" x14ac:dyDescent="0.3">
      <c r="AA1915">
        <f t="shared" si="116"/>
        <v>0</v>
      </c>
      <c r="AB1915">
        <f t="shared" si="117"/>
        <v>0</v>
      </c>
      <c r="AC1915">
        <f t="shared" si="118"/>
        <v>0</v>
      </c>
      <c r="AD1915">
        <f t="shared" si="119"/>
        <v>0</v>
      </c>
    </row>
    <row r="1916" spans="27:30" x14ac:dyDescent="0.3">
      <c r="AA1916">
        <f t="shared" si="116"/>
        <v>0</v>
      </c>
      <c r="AB1916">
        <f t="shared" si="117"/>
        <v>0</v>
      </c>
      <c r="AC1916">
        <f t="shared" si="118"/>
        <v>0</v>
      </c>
      <c r="AD1916">
        <f t="shared" si="119"/>
        <v>0</v>
      </c>
    </row>
    <row r="1917" spans="27:30" x14ac:dyDescent="0.3">
      <c r="AA1917">
        <f t="shared" si="116"/>
        <v>0</v>
      </c>
      <c r="AB1917">
        <f t="shared" si="117"/>
        <v>0</v>
      </c>
      <c r="AC1917">
        <f t="shared" si="118"/>
        <v>0</v>
      </c>
      <c r="AD1917">
        <f t="shared" si="119"/>
        <v>0</v>
      </c>
    </row>
    <row r="1918" spans="27:30" x14ac:dyDescent="0.3">
      <c r="AA1918">
        <f t="shared" si="116"/>
        <v>0</v>
      </c>
      <c r="AB1918">
        <f t="shared" si="117"/>
        <v>0</v>
      </c>
      <c r="AC1918">
        <f t="shared" si="118"/>
        <v>0</v>
      </c>
      <c r="AD1918">
        <f t="shared" si="119"/>
        <v>0</v>
      </c>
    </row>
    <row r="1919" spans="27:30" x14ac:dyDescent="0.3">
      <c r="AA1919">
        <f t="shared" si="116"/>
        <v>0</v>
      </c>
      <c r="AB1919">
        <f t="shared" si="117"/>
        <v>0</v>
      </c>
      <c r="AC1919">
        <f t="shared" si="118"/>
        <v>0</v>
      </c>
      <c r="AD1919">
        <f t="shared" si="119"/>
        <v>0</v>
      </c>
    </row>
    <row r="1920" spans="27:30" x14ac:dyDescent="0.3">
      <c r="AA1920">
        <f t="shared" si="116"/>
        <v>0</v>
      </c>
      <c r="AB1920">
        <f t="shared" si="117"/>
        <v>0</v>
      </c>
      <c r="AC1920">
        <f t="shared" si="118"/>
        <v>0</v>
      </c>
      <c r="AD1920">
        <f t="shared" si="119"/>
        <v>0</v>
      </c>
    </row>
    <row r="1921" spans="27:30" x14ac:dyDescent="0.3">
      <c r="AA1921">
        <f t="shared" si="116"/>
        <v>0</v>
      </c>
      <c r="AB1921">
        <f t="shared" si="117"/>
        <v>0</v>
      </c>
      <c r="AC1921">
        <f t="shared" si="118"/>
        <v>0</v>
      </c>
      <c r="AD1921">
        <f t="shared" si="119"/>
        <v>0</v>
      </c>
    </row>
    <row r="1922" spans="27:30" x14ac:dyDescent="0.3">
      <c r="AA1922">
        <f t="shared" si="116"/>
        <v>0</v>
      </c>
      <c r="AB1922">
        <f t="shared" si="117"/>
        <v>0</v>
      </c>
      <c r="AC1922">
        <f t="shared" si="118"/>
        <v>0</v>
      </c>
      <c r="AD1922">
        <f t="shared" si="119"/>
        <v>0</v>
      </c>
    </row>
    <row r="1923" spans="27:30" x14ac:dyDescent="0.3">
      <c r="AA1923">
        <f t="shared" si="116"/>
        <v>0</v>
      </c>
      <c r="AB1923">
        <f t="shared" si="117"/>
        <v>0</v>
      </c>
      <c r="AC1923">
        <f t="shared" si="118"/>
        <v>0</v>
      </c>
      <c r="AD1923">
        <f t="shared" si="119"/>
        <v>0</v>
      </c>
    </row>
    <row r="1924" spans="27:30" x14ac:dyDescent="0.3">
      <c r="AA1924">
        <f t="shared" si="116"/>
        <v>0</v>
      </c>
      <c r="AB1924">
        <f t="shared" si="117"/>
        <v>0</v>
      </c>
      <c r="AC1924">
        <f t="shared" si="118"/>
        <v>0</v>
      </c>
      <c r="AD1924">
        <f t="shared" si="119"/>
        <v>0</v>
      </c>
    </row>
    <row r="1925" spans="27:30" x14ac:dyDescent="0.3">
      <c r="AA1925">
        <f t="shared" ref="AA1925:AA1988" si="120">ROUND(Z1925,0)</f>
        <v>0</v>
      </c>
      <c r="AB1925">
        <f t="shared" ref="AB1925:AB1988" si="121">IF(AA1925=Y1925,0,1)</f>
        <v>0</v>
      </c>
      <c r="AC1925">
        <f t="shared" ref="AC1925:AC1988" si="122">IF(AA1925&lt;Y1925+5,IF(AA1925&gt;Y1925-5,0,1),1)</f>
        <v>0</v>
      </c>
      <c r="AD1925">
        <f t="shared" ref="AD1925:AD1988" si="123">IF(AA1925&lt;Y1925+10,IF(AA1925&gt;Y1925-10,0,1),1)</f>
        <v>0</v>
      </c>
    </row>
    <row r="1926" spans="27:30" x14ac:dyDescent="0.3">
      <c r="AA1926">
        <f t="shared" si="120"/>
        <v>0</v>
      </c>
      <c r="AB1926">
        <f t="shared" si="121"/>
        <v>0</v>
      </c>
      <c r="AC1926">
        <f t="shared" si="122"/>
        <v>0</v>
      </c>
      <c r="AD1926">
        <f t="shared" si="123"/>
        <v>0</v>
      </c>
    </row>
    <row r="1927" spans="27:30" x14ac:dyDescent="0.3">
      <c r="AA1927">
        <f t="shared" si="120"/>
        <v>0</v>
      </c>
      <c r="AB1927">
        <f t="shared" si="121"/>
        <v>0</v>
      </c>
      <c r="AC1927">
        <f t="shared" si="122"/>
        <v>0</v>
      </c>
      <c r="AD1927">
        <f t="shared" si="123"/>
        <v>0</v>
      </c>
    </row>
    <row r="1928" spans="27:30" x14ac:dyDescent="0.3">
      <c r="AA1928">
        <f t="shared" si="120"/>
        <v>0</v>
      </c>
      <c r="AB1928">
        <f t="shared" si="121"/>
        <v>0</v>
      </c>
      <c r="AC1928">
        <f t="shared" si="122"/>
        <v>0</v>
      </c>
      <c r="AD1928">
        <f t="shared" si="123"/>
        <v>0</v>
      </c>
    </row>
    <row r="1929" spans="27:30" x14ac:dyDescent="0.3">
      <c r="AA1929">
        <f t="shared" si="120"/>
        <v>0</v>
      </c>
      <c r="AB1929">
        <f t="shared" si="121"/>
        <v>0</v>
      </c>
      <c r="AC1929">
        <f t="shared" si="122"/>
        <v>0</v>
      </c>
      <c r="AD1929">
        <f t="shared" si="123"/>
        <v>0</v>
      </c>
    </row>
    <row r="1930" spans="27:30" x14ac:dyDescent="0.3">
      <c r="AA1930">
        <f t="shared" si="120"/>
        <v>0</v>
      </c>
      <c r="AB1930">
        <f t="shared" si="121"/>
        <v>0</v>
      </c>
      <c r="AC1930">
        <f t="shared" si="122"/>
        <v>0</v>
      </c>
      <c r="AD1930">
        <f t="shared" si="123"/>
        <v>0</v>
      </c>
    </row>
    <row r="1931" spans="27:30" x14ac:dyDescent="0.3">
      <c r="AA1931">
        <f t="shared" si="120"/>
        <v>0</v>
      </c>
      <c r="AB1931">
        <f t="shared" si="121"/>
        <v>0</v>
      </c>
      <c r="AC1931">
        <f t="shared" si="122"/>
        <v>0</v>
      </c>
      <c r="AD1931">
        <f t="shared" si="123"/>
        <v>0</v>
      </c>
    </row>
    <row r="1932" spans="27:30" x14ac:dyDescent="0.3">
      <c r="AA1932">
        <f t="shared" si="120"/>
        <v>0</v>
      </c>
      <c r="AB1932">
        <f t="shared" si="121"/>
        <v>0</v>
      </c>
      <c r="AC1932">
        <f t="shared" si="122"/>
        <v>0</v>
      </c>
      <c r="AD1932">
        <f t="shared" si="123"/>
        <v>0</v>
      </c>
    </row>
    <row r="1933" spans="27:30" x14ac:dyDescent="0.3">
      <c r="AA1933">
        <f t="shared" si="120"/>
        <v>0</v>
      </c>
      <c r="AB1933">
        <f t="shared" si="121"/>
        <v>0</v>
      </c>
      <c r="AC1933">
        <f t="shared" si="122"/>
        <v>0</v>
      </c>
      <c r="AD1933">
        <f t="shared" si="123"/>
        <v>0</v>
      </c>
    </row>
    <row r="1934" spans="27:30" x14ac:dyDescent="0.3">
      <c r="AA1934">
        <f t="shared" si="120"/>
        <v>0</v>
      </c>
      <c r="AB1934">
        <f t="shared" si="121"/>
        <v>0</v>
      </c>
      <c r="AC1934">
        <f t="shared" si="122"/>
        <v>0</v>
      </c>
      <c r="AD1934">
        <f t="shared" si="123"/>
        <v>0</v>
      </c>
    </row>
    <row r="1935" spans="27:30" x14ac:dyDescent="0.3">
      <c r="AA1935">
        <f t="shared" si="120"/>
        <v>0</v>
      </c>
      <c r="AB1935">
        <f t="shared" si="121"/>
        <v>0</v>
      </c>
      <c r="AC1935">
        <f t="shared" si="122"/>
        <v>0</v>
      </c>
      <c r="AD1935">
        <f t="shared" si="123"/>
        <v>0</v>
      </c>
    </row>
    <row r="1936" spans="27:30" x14ac:dyDescent="0.3">
      <c r="AA1936">
        <f t="shared" si="120"/>
        <v>0</v>
      </c>
      <c r="AB1936">
        <f t="shared" si="121"/>
        <v>0</v>
      </c>
      <c r="AC1936">
        <f t="shared" si="122"/>
        <v>0</v>
      </c>
      <c r="AD1936">
        <f t="shared" si="123"/>
        <v>0</v>
      </c>
    </row>
    <row r="1937" spans="27:30" x14ac:dyDescent="0.3">
      <c r="AA1937">
        <f t="shared" si="120"/>
        <v>0</v>
      </c>
      <c r="AB1937">
        <f t="shared" si="121"/>
        <v>0</v>
      </c>
      <c r="AC1937">
        <f t="shared" si="122"/>
        <v>0</v>
      </c>
      <c r="AD1937">
        <f t="shared" si="123"/>
        <v>0</v>
      </c>
    </row>
    <row r="1938" spans="27:30" x14ac:dyDescent="0.3">
      <c r="AA1938">
        <f t="shared" si="120"/>
        <v>0</v>
      </c>
      <c r="AB1938">
        <f t="shared" si="121"/>
        <v>0</v>
      </c>
      <c r="AC1938">
        <f t="shared" si="122"/>
        <v>0</v>
      </c>
      <c r="AD1938">
        <f t="shared" si="123"/>
        <v>0</v>
      </c>
    </row>
    <row r="1939" spans="27:30" x14ac:dyDescent="0.3">
      <c r="AA1939">
        <f t="shared" si="120"/>
        <v>0</v>
      </c>
      <c r="AB1939">
        <f t="shared" si="121"/>
        <v>0</v>
      </c>
      <c r="AC1939">
        <f t="shared" si="122"/>
        <v>0</v>
      </c>
      <c r="AD1939">
        <f t="shared" si="123"/>
        <v>0</v>
      </c>
    </row>
    <row r="1940" spans="27:30" x14ac:dyDescent="0.3">
      <c r="AA1940">
        <f t="shared" si="120"/>
        <v>0</v>
      </c>
      <c r="AB1940">
        <f t="shared" si="121"/>
        <v>0</v>
      </c>
      <c r="AC1940">
        <f t="shared" si="122"/>
        <v>0</v>
      </c>
      <c r="AD1940">
        <f t="shared" si="123"/>
        <v>0</v>
      </c>
    </row>
    <row r="1941" spans="27:30" x14ac:dyDescent="0.3">
      <c r="AA1941">
        <f t="shared" si="120"/>
        <v>0</v>
      </c>
      <c r="AB1941">
        <f t="shared" si="121"/>
        <v>0</v>
      </c>
      <c r="AC1941">
        <f t="shared" si="122"/>
        <v>0</v>
      </c>
      <c r="AD1941">
        <f t="shared" si="123"/>
        <v>0</v>
      </c>
    </row>
    <row r="1942" spans="27:30" x14ac:dyDescent="0.3">
      <c r="AA1942">
        <f t="shared" si="120"/>
        <v>0</v>
      </c>
      <c r="AB1942">
        <f t="shared" si="121"/>
        <v>0</v>
      </c>
      <c r="AC1942">
        <f t="shared" si="122"/>
        <v>0</v>
      </c>
      <c r="AD1942">
        <f t="shared" si="123"/>
        <v>0</v>
      </c>
    </row>
    <row r="1943" spans="27:30" x14ac:dyDescent="0.3">
      <c r="AA1943">
        <f t="shared" si="120"/>
        <v>0</v>
      </c>
      <c r="AB1943">
        <f t="shared" si="121"/>
        <v>0</v>
      </c>
      <c r="AC1943">
        <f t="shared" si="122"/>
        <v>0</v>
      </c>
      <c r="AD1943">
        <f t="shared" si="123"/>
        <v>0</v>
      </c>
    </row>
    <row r="1944" spans="27:30" x14ac:dyDescent="0.3">
      <c r="AA1944">
        <f t="shared" si="120"/>
        <v>0</v>
      </c>
      <c r="AB1944">
        <f t="shared" si="121"/>
        <v>0</v>
      </c>
      <c r="AC1944">
        <f t="shared" si="122"/>
        <v>0</v>
      </c>
      <c r="AD1944">
        <f t="shared" si="123"/>
        <v>0</v>
      </c>
    </row>
    <row r="1945" spans="27:30" x14ac:dyDescent="0.3">
      <c r="AA1945">
        <f t="shared" si="120"/>
        <v>0</v>
      </c>
      <c r="AB1945">
        <f t="shared" si="121"/>
        <v>0</v>
      </c>
      <c r="AC1945">
        <f t="shared" si="122"/>
        <v>0</v>
      </c>
      <c r="AD1945">
        <f t="shared" si="123"/>
        <v>0</v>
      </c>
    </row>
    <row r="1946" spans="27:30" x14ac:dyDescent="0.3">
      <c r="AA1946">
        <f t="shared" si="120"/>
        <v>0</v>
      </c>
      <c r="AB1946">
        <f t="shared" si="121"/>
        <v>0</v>
      </c>
      <c r="AC1946">
        <f t="shared" si="122"/>
        <v>0</v>
      </c>
      <c r="AD1946">
        <f t="shared" si="123"/>
        <v>0</v>
      </c>
    </row>
    <row r="1947" spans="27:30" x14ac:dyDescent="0.3">
      <c r="AA1947">
        <f t="shared" si="120"/>
        <v>0</v>
      </c>
      <c r="AB1947">
        <f t="shared" si="121"/>
        <v>0</v>
      </c>
      <c r="AC1947">
        <f t="shared" si="122"/>
        <v>0</v>
      </c>
      <c r="AD1947">
        <f t="shared" si="123"/>
        <v>0</v>
      </c>
    </row>
    <row r="1948" spans="27:30" x14ac:dyDescent="0.3">
      <c r="AA1948">
        <f t="shared" si="120"/>
        <v>0</v>
      </c>
      <c r="AB1948">
        <f t="shared" si="121"/>
        <v>0</v>
      </c>
      <c r="AC1948">
        <f t="shared" si="122"/>
        <v>0</v>
      </c>
      <c r="AD1948">
        <f t="shared" si="123"/>
        <v>0</v>
      </c>
    </row>
    <row r="1949" spans="27:30" x14ac:dyDescent="0.3">
      <c r="AA1949">
        <f t="shared" si="120"/>
        <v>0</v>
      </c>
      <c r="AB1949">
        <f t="shared" si="121"/>
        <v>0</v>
      </c>
      <c r="AC1949">
        <f t="shared" si="122"/>
        <v>0</v>
      </c>
      <c r="AD1949">
        <f t="shared" si="123"/>
        <v>0</v>
      </c>
    </row>
    <row r="1950" spans="27:30" x14ac:dyDescent="0.3">
      <c r="AA1950">
        <f t="shared" si="120"/>
        <v>0</v>
      </c>
      <c r="AB1950">
        <f t="shared" si="121"/>
        <v>0</v>
      </c>
      <c r="AC1950">
        <f t="shared" si="122"/>
        <v>0</v>
      </c>
      <c r="AD1950">
        <f t="shared" si="123"/>
        <v>0</v>
      </c>
    </row>
    <row r="1951" spans="27:30" x14ac:dyDescent="0.3">
      <c r="AA1951">
        <f t="shared" si="120"/>
        <v>0</v>
      </c>
      <c r="AB1951">
        <f t="shared" si="121"/>
        <v>0</v>
      </c>
      <c r="AC1951">
        <f t="shared" si="122"/>
        <v>0</v>
      </c>
      <c r="AD1951">
        <f t="shared" si="123"/>
        <v>0</v>
      </c>
    </row>
    <row r="1952" spans="27:30" x14ac:dyDescent="0.3">
      <c r="AA1952">
        <f t="shared" si="120"/>
        <v>0</v>
      </c>
      <c r="AB1952">
        <f t="shared" si="121"/>
        <v>0</v>
      </c>
      <c r="AC1952">
        <f t="shared" si="122"/>
        <v>0</v>
      </c>
      <c r="AD1952">
        <f t="shared" si="123"/>
        <v>0</v>
      </c>
    </row>
    <row r="1953" spans="27:30" x14ac:dyDescent="0.3">
      <c r="AA1953">
        <f t="shared" si="120"/>
        <v>0</v>
      </c>
      <c r="AB1953">
        <f t="shared" si="121"/>
        <v>0</v>
      </c>
      <c r="AC1953">
        <f t="shared" si="122"/>
        <v>0</v>
      </c>
      <c r="AD1953">
        <f t="shared" si="123"/>
        <v>0</v>
      </c>
    </row>
    <row r="1954" spans="27:30" x14ac:dyDescent="0.3">
      <c r="AA1954">
        <f t="shared" si="120"/>
        <v>0</v>
      </c>
      <c r="AB1954">
        <f t="shared" si="121"/>
        <v>0</v>
      </c>
      <c r="AC1954">
        <f t="shared" si="122"/>
        <v>0</v>
      </c>
      <c r="AD1954">
        <f t="shared" si="123"/>
        <v>0</v>
      </c>
    </row>
    <row r="1955" spans="27:30" x14ac:dyDescent="0.3">
      <c r="AA1955">
        <f t="shared" si="120"/>
        <v>0</v>
      </c>
      <c r="AB1955">
        <f t="shared" si="121"/>
        <v>0</v>
      </c>
      <c r="AC1955">
        <f t="shared" si="122"/>
        <v>0</v>
      </c>
      <c r="AD1955">
        <f t="shared" si="123"/>
        <v>0</v>
      </c>
    </row>
    <row r="1956" spans="27:30" x14ac:dyDescent="0.3">
      <c r="AA1956">
        <f t="shared" si="120"/>
        <v>0</v>
      </c>
      <c r="AB1956">
        <f t="shared" si="121"/>
        <v>0</v>
      </c>
      <c r="AC1956">
        <f t="shared" si="122"/>
        <v>0</v>
      </c>
      <c r="AD1956">
        <f t="shared" si="123"/>
        <v>0</v>
      </c>
    </row>
    <row r="1957" spans="27:30" x14ac:dyDescent="0.3">
      <c r="AA1957">
        <f t="shared" si="120"/>
        <v>0</v>
      </c>
      <c r="AB1957">
        <f t="shared" si="121"/>
        <v>0</v>
      </c>
      <c r="AC1957">
        <f t="shared" si="122"/>
        <v>0</v>
      </c>
      <c r="AD1957">
        <f t="shared" si="123"/>
        <v>0</v>
      </c>
    </row>
    <row r="1958" spans="27:30" x14ac:dyDescent="0.3">
      <c r="AA1958">
        <f t="shared" si="120"/>
        <v>0</v>
      </c>
      <c r="AB1958">
        <f t="shared" si="121"/>
        <v>0</v>
      </c>
      <c r="AC1958">
        <f t="shared" si="122"/>
        <v>0</v>
      </c>
      <c r="AD1958">
        <f t="shared" si="123"/>
        <v>0</v>
      </c>
    </row>
    <row r="1959" spans="27:30" x14ac:dyDescent="0.3">
      <c r="AA1959">
        <f t="shared" si="120"/>
        <v>0</v>
      </c>
      <c r="AB1959">
        <f t="shared" si="121"/>
        <v>0</v>
      </c>
      <c r="AC1959">
        <f t="shared" si="122"/>
        <v>0</v>
      </c>
      <c r="AD1959">
        <f t="shared" si="123"/>
        <v>0</v>
      </c>
    </row>
    <row r="1960" spans="27:30" x14ac:dyDescent="0.3">
      <c r="AA1960">
        <f t="shared" si="120"/>
        <v>0</v>
      </c>
      <c r="AB1960">
        <f t="shared" si="121"/>
        <v>0</v>
      </c>
      <c r="AC1960">
        <f t="shared" si="122"/>
        <v>0</v>
      </c>
      <c r="AD1960">
        <f t="shared" si="123"/>
        <v>0</v>
      </c>
    </row>
    <row r="1961" spans="27:30" x14ac:dyDescent="0.3">
      <c r="AA1961">
        <f t="shared" si="120"/>
        <v>0</v>
      </c>
      <c r="AB1961">
        <f t="shared" si="121"/>
        <v>0</v>
      </c>
      <c r="AC1961">
        <f t="shared" si="122"/>
        <v>0</v>
      </c>
      <c r="AD1961">
        <f t="shared" si="123"/>
        <v>0</v>
      </c>
    </row>
    <row r="1962" spans="27:30" x14ac:dyDescent="0.3">
      <c r="AA1962">
        <f t="shared" si="120"/>
        <v>0</v>
      </c>
      <c r="AB1962">
        <f t="shared" si="121"/>
        <v>0</v>
      </c>
      <c r="AC1962">
        <f t="shared" si="122"/>
        <v>0</v>
      </c>
      <c r="AD1962">
        <f t="shared" si="123"/>
        <v>0</v>
      </c>
    </row>
    <row r="1963" spans="27:30" x14ac:dyDescent="0.3">
      <c r="AA1963">
        <f t="shared" si="120"/>
        <v>0</v>
      </c>
      <c r="AB1963">
        <f t="shared" si="121"/>
        <v>0</v>
      </c>
      <c r="AC1963">
        <f t="shared" si="122"/>
        <v>0</v>
      </c>
      <c r="AD1963">
        <f t="shared" si="123"/>
        <v>0</v>
      </c>
    </row>
    <row r="1964" spans="27:30" x14ac:dyDescent="0.3">
      <c r="AA1964">
        <f t="shared" si="120"/>
        <v>0</v>
      </c>
      <c r="AB1964">
        <f t="shared" si="121"/>
        <v>0</v>
      </c>
      <c r="AC1964">
        <f t="shared" si="122"/>
        <v>0</v>
      </c>
      <c r="AD1964">
        <f t="shared" si="123"/>
        <v>0</v>
      </c>
    </row>
    <row r="1965" spans="27:30" x14ac:dyDescent="0.3">
      <c r="AA1965">
        <f t="shared" si="120"/>
        <v>0</v>
      </c>
      <c r="AB1965">
        <f t="shared" si="121"/>
        <v>0</v>
      </c>
      <c r="AC1965">
        <f t="shared" si="122"/>
        <v>0</v>
      </c>
      <c r="AD1965">
        <f t="shared" si="123"/>
        <v>0</v>
      </c>
    </row>
    <row r="1966" spans="27:30" x14ac:dyDescent="0.3">
      <c r="AA1966">
        <f t="shared" si="120"/>
        <v>0</v>
      </c>
      <c r="AB1966">
        <f t="shared" si="121"/>
        <v>0</v>
      </c>
      <c r="AC1966">
        <f t="shared" si="122"/>
        <v>0</v>
      </c>
      <c r="AD1966">
        <f t="shared" si="123"/>
        <v>0</v>
      </c>
    </row>
    <row r="1967" spans="27:30" x14ac:dyDescent="0.3">
      <c r="AA1967">
        <f t="shared" si="120"/>
        <v>0</v>
      </c>
      <c r="AB1967">
        <f t="shared" si="121"/>
        <v>0</v>
      </c>
      <c r="AC1967">
        <f t="shared" si="122"/>
        <v>0</v>
      </c>
      <c r="AD1967">
        <f t="shared" si="123"/>
        <v>0</v>
      </c>
    </row>
    <row r="1968" spans="27:30" x14ac:dyDescent="0.3">
      <c r="AA1968">
        <f t="shared" si="120"/>
        <v>0</v>
      </c>
      <c r="AB1968">
        <f t="shared" si="121"/>
        <v>0</v>
      </c>
      <c r="AC1968">
        <f t="shared" si="122"/>
        <v>0</v>
      </c>
      <c r="AD1968">
        <f t="shared" si="123"/>
        <v>0</v>
      </c>
    </row>
    <row r="1969" spans="27:30" x14ac:dyDescent="0.3">
      <c r="AA1969">
        <f t="shared" si="120"/>
        <v>0</v>
      </c>
      <c r="AB1969">
        <f t="shared" si="121"/>
        <v>0</v>
      </c>
      <c r="AC1969">
        <f t="shared" si="122"/>
        <v>0</v>
      </c>
      <c r="AD1969">
        <f t="shared" si="123"/>
        <v>0</v>
      </c>
    </row>
    <row r="1970" spans="27:30" x14ac:dyDescent="0.3">
      <c r="AA1970">
        <f t="shared" si="120"/>
        <v>0</v>
      </c>
      <c r="AB1970">
        <f t="shared" si="121"/>
        <v>0</v>
      </c>
      <c r="AC1970">
        <f t="shared" si="122"/>
        <v>0</v>
      </c>
      <c r="AD1970">
        <f t="shared" si="123"/>
        <v>0</v>
      </c>
    </row>
    <row r="1971" spans="27:30" x14ac:dyDescent="0.3">
      <c r="AA1971">
        <f t="shared" si="120"/>
        <v>0</v>
      </c>
      <c r="AB1971">
        <f t="shared" si="121"/>
        <v>0</v>
      </c>
      <c r="AC1971">
        <f t="shared" si="122"/>
        <v>0</v>
      </c>
      <c r="AD1971">
        <f t="shared" si="123"/>
        <v>0</v>
      </c>
    </row>
    <row r="1972" spans="27:30" x14ac:dyDescent="0.3">
      <c r="AA1972">
        <f t="shared" si="120"/>
        <v>0</v>
      </c>
      <c r="AB1972">
        <f t="shared" si="121"/>
        <v>0</v>
      </c>
      <c r="AC1972">
        <f t="shared" si="122"/>
        <v>0</v>
      </c>
      <c r="AD1972">
        <f t="shared" si="123"/>
        <v>0</v>
      </c>
    </row>
    <row r="1973" spans="27:30" x14ac:dyDescent="0.3">
      <c r="AA1973">
        <f t="shared" si="120"/>
        <v>0</v>
      </c>
      <c r="AB1973">
        <f t="shared" si="121"/>
        <v>0</v>
      </c>
      <c r="AC1973">
        <f t="shared" si="122"/>
        <v>0</v>
      </c>
      <c r="AD1973">
        <f t="shared" si="123"/>
        <v>0</v>
      </c>
    </row>
    <row r="1974" spans="27:30" x14ac:dyDescent="0.3">
      <c r="AA1974">
        <f t="shared" si="120"/>
        <v>0</v>
      </c>
      <c r="AB1974">
        <f t="shared" si="121"/>
        <v>0</v>
      </c>
      <c r="AC1974">
        <f t="shared" si="122"/>
        <v>0</v>
      </c>
      <c r="AD1974">
        <f t="shared" si="123"/>
        <v>0</v>
      </c>
    </row>
    <row r="1975" spans="27:30" x14ac:dyDescent="0.3">
      <c r="AA1975">
        <f t="shared" si="120"/>
        <v>0</v>
      </c>
      <c r="AB1975">
        <f t="shared" si="121"/>
        <v>0</v>
      </c>
      <c r="AC1975">
        <f t="shared" si="122"/>
        <v>0</v>
      </c>
      <c r="AD1975">
        <f t="shared" si="123"/>
        <v>0</v>
      </c>
    </row>
    <row r="1976" spans="27:30" x14ac:dyDescent="0.3">
      <c r="AA1976">
        <f t="shared" si="120"/>
        <v>0</v>
      </c>
      <c r="AB1976">
        <f t="shared" si="121"/>
        <v>0</v>
      </c>
      <c r="AC1976">
        <f t="shared" si="122"/>
        <v>0</v>
      </c>
      <c r="AD1976">
        <f t="shared" si="123"/>
        <v>0</v>
      </c>
    </row>
    <row r="1977" spans="27:30" x14ac:dyDescent="0.3">
      <c r="AA1977">
        <f t="shared" si="120"/>
        <v>0</v>
      </c>
      <c r="AB1977">
        <f t="shared" si="121"/>
        <v>0</v>
      </c>
      <c r="AC1977">
        <f t="shared" si="122"/>
        <v>0</v>
      </c>
      <c r="AD1977">
        <f t="shared" si="123"/>
        <v>0</v>
      </c>
    </row>
    <row r="1978" spans="27:30" x14ac:dyDescent="0.3">
      <c r="AA1978">
        <f t="shared" si="120"/>
        <v>0</v>
      </c>
      <c r="AB1978">
        <f t="shared" si="121"/>
        <v>0</v>
      </c>
      <c r="AC1978">
        <f t="shared" si="122"/>
        <v>0</v>
      </c>
      <c r="AD1978">
        <f t="shared" si="123"/>
        <v>0</v>
      </c>
    </row>
    <row r="1979" spans="27:30" x14ac:dyDescent="0.3">
      <c r="AA1979">
        <f t="shared" si="120"/>
        <v>0</v>
      </c>
      <c r="AB1979">
        <f t="shared" si="121"/>
        <v>0</v>
      </c>
      <c r="AC1979">
        <f t="shared" si="122"/>
        <v>0</v>
      </c>
      <c r="AD1979">
        <f t="shared" si="123"/>
        <v>0</v>
      </c>
    </row>
    <row r="1980" spans="27:30" x14ac:dyDescent="0.3">
      <c r="AA1980">
        <f t="shared" si="120"/>
        <v>0</v>
      </c>
      <c r="AB1980">
        <f t="shared" si="121"/>
        <v>0</v>
      </c>
      <c r="AC1980">
        <f t="shared" si="122"/>
        <v>0</v>
      </c>
      <c r="AD1980">
        <f t="shared" si="123"/>
        <v>0</v>
      </c>
    </row>
    <row r="1981" spans="27:30" x14ac:dyDescent="0.3">
      <c r="AA1981">
        <f t="shared" si="120"/>
        <v>0</v>
      </c>
      <c r="AB1981">
        <f t="shared" si="121"/>
        <v>0</v>
      </c>
      <c r="AC1981">
        <f t="shared" si="122"/>
        <v>0</v>
      </c>
      <c r="AD1981">
        <f t="shared" si="123"/>
        <v>0</v>
      </c>
    </row>
    <row r="1982" spans="27:30" x14ac:dyDescent="0.3">
      <c r="AA1982">
        <f t="shared" si="120"/>
        <v>0</v>
      </c>
      <c r="AB1982">
        <f t="shared" si="121"/>
        <v>0</v>
      </c>
      <c r="AC1982">
        <f t="shared" si="122"/>
        <v>0</v>
      </c>
      <c r="AD1982">
        <f t="shared" si="123"/>
        <v>0</v>
      </c>
    </row>
    <row r="1983" spans="27:30" x14ac:dyDescent="0.3">
      <c r="AA1983">
        <f t="shared" si="120"/>
        <v>0</v>
      </c>
      <c r="AB1983">
        <f t="shared" si="121"/>
        <v>0</v>
      </c>
      <c r="AC1983">
        <f t="shared" si="122"/>
        <v>0</v>
      </c>
      <c r="AD1983">
        <f t="shared" si="123"/>
        <v>0</v>
      </c>
    </row>
    <row r="1984" spans="27:30" x14ac:dyDescent="0.3">
      <c r="AA1984">
        <f t="shared" si="120"/>
        <v>0</v>
      </c>
      <c r="AB1984">
        <f t="shared" si="121"/>
        <v>0</v>
      </c>
      <c r="AC1984">
        <f t="shared" si="122"/>
        <v>0</v>
      </c>
      <c r="AD1984">
        <f t="shared" si="123"/>
        <v>0</v>
      </c>
    </row>
    <row r="1985" spans="27:30" x14ac:dyDescent="0.3">
      <c r="AA1985">
        <f t="shared" si="120"/>
        <v>0</v>
      </c>
      <c r="AB1985">
        <f t="shared" si="121"/>
        <v>0</v>
      </c>
      <c r="AC1985">
        <f t="shared" si="122"/>
        <v>0</v>
      </c>
      <c r="AD1985">
        <f t="shared" si="123"/>
        <v>0</v>
      </c>
    </row>
    <row r="1986" spans="27:30" x14ac:dyDescent="0.3">
      <c r="AA1986">
        <f t="shared" si="120"/>
        <v>0</v>
      </c>
      <c r="AB1986">
        <f t="shared" si="121"/>
        <v>0</v>
      </c>
      <c r="AC1986">
        <f t="shared" si="122"/>
        <v>0</v>
      </c>
      <c r="AD1986">
        <f t="shared" si="123"/>
        <v>0</v>
      </c>
    </row>
    <row r="1987" spans="27:30" x14ac:dyDescent="0.3">
      <c r="AA1987">
        <f t="shared" si="120"/>
        <v>0</v>
      </c>
      <c r="AB1987">
        <f t="shared" si="121"/>
        <v>0</v>
      </c>
      <c r="AC1987">
        <f t="shared" si="122"/>
        <v>0</v>
      </c>
      <c r="AD1987">
        <f t="shared" si="123"/>
        <v>0</v>
      </c>
    </row>
    <row r="1988" spans="27:30" x14ac:dyDescent="0.3">
      <c r="AA1988">
        <f t="shared" si="120"/>
        <v>0</v>
      </c>
      <c r="AB1988">
        <f t="shared" si="121"/>
        <v>0</v>
      </c>
      <c r="AC1988">
        <f t="shared" si="122"/>
        <v>0</v>
      </c>
      <c r="AD1988">
        <f t="shared" si="123"/>
        <v>0</v>
      </c>
    </row>
    <row r="1989" spans="27:30" x14ac:dyDescent="0.3">
      <c r="AA1989">
        <f t="shared" ref="AA1989:AA2052" si="124">ROUND(Z1989,0)</f>
        <v>0</v>
      </c>
      <c r="AB1989">
        <f t="shared" ref="AB1989:AB2052" si="125">IF(AA1989=Y1989,0,1)</f>
        <v>0</v>
      </c>
      <c r="AC1989">
        <f t="shared" ref="AC1989:AC2052" si="126">IF(AA1989&lt;Y1989+5,IF(AA1989&gt;Y1989-5,0,1),1)</f>
        <v>0</v>
      </c>
      <c r="AD1989">
        <f t="shared" ref="AD1989:AD2052" si="127">IF(AA1989&lt;Y1989+10,IF(AA1989&gt;Y1989-10,0,1),1)</f>
        <v>0</v>
      </c>
    </row>
    <row r="1990" spans="27:30" x14ac:dyDescent="0.3">
      <c r="AA1990">
        <f t="shared" si="124"/>
        <v>0</v>
      </c>
      <c r="AB1990">
        <f t="shared" si="125"/>
        <v>0</v>
      </c>
      <c r="AC1990">
        <f t="shared" si="126"/>
        <v>0</v>
      </c>
      <c r="AD1990">
        <f t="shared" si="127"/>
        <v>0</v>
      </c>
    </row>
    <row r="1991" spans="27:30" x14ac:dyDescent="0.3">
      <c r="AA1991">
        <f t="shared" si="124"/>
        <v>0</v>
      </c>
      <c r="AB1991">
        <f t="shared" si="125"/>
        <v>0</v>
      </c>
      <c r="AC1991">
        <f t="shared" si="126"/>
        <v>0</v>
      </c>
      <c r="AD1991">
        <f t="shared" si="127"/>
        <v>0</v>
      </c>
    </row>
    <row r="1992" spans="27:30" x14ac:dyDescent="0.3">
      <c r="AA1992">
        <f t="shared" si="124"/>
        <v>0</v>
      </c>
      <c r="AB1992">
        <f t="shared" si="125"/>
        <v>0</v>
      </c>
      <c r="AC1992">
        <f t="shared" si="126"/>
        <v>0</v>
      </c>
      <c r="AD1992">
        <f t="shared" si="127"/>
        <v>0</v>
      </c>
    </row>
    <row r="1993" spans="27:30" x14ac:dyDescent="0.3">
      <c r="AA1993">
        <f t="shared" si="124"/>
        <v>0</v>
      </c>
      <c r="AB1993">
        <f t="shared" si="125"/>
        <v>0</v>
      </c>
      <c r="AC1993">
        <f t="shared" si="126"/>
        <v>0</v>
      </c>
      <c r="AD1993">
        <f t="shared" si="127"/>
        <v>0</v>
      </c>
    </row>
    <row r="1994" spans="27:30" x14ac:dyDescent="0.3">
      <c r="AA1994">
        <f t="shared" si="124"/>
        <v>0</v>
      </c>
      <c r="AB1994">
        <f t="shared" si="125"/>
        <v>0</v>
      </c>
      <c r="AC1994">
        <f t="shared" si="126"/>
        <v>0</v>
      </c>
      <c r="AD1994">
        <f t="shared" si="127"/>
        <v>0</v>
      </c>
    </row>
    <row r="1995" spans="27:30" x14ac:dyDescent="0.3">
      <c r="AA1995">
        <f t="shared" si="124"/>
        <v>0</v>
      </c>
      <c r="AB1995">
        <f t="shared" si="125"/>
        <v>0</v>
      </c>
      <c r="AC1995">
        <f t="shared" si="126"/>
        <v>0</v>
      </c>
      <c r="AD1995">
        <f t="shared" si="127"/>
        <v>0</v>
      </c>
    </row>
    <row r="1996" spans="27:30" x14ac:dyDescent="0.3">
      <c r="AA1996">
        <f t="shared" si="124"/>
        <v>0</v>
      </c>
      <c r="AB1996">
        <f t="shared" si="125"/>
        <v>0</v>
      </c>
      <c r="AC1996">
        <f t="shared" si="126"/>
        <v>0</v>
      </c>
      <c r="AD1996">
        <f t="shared" si="127"/>
        <v>0</v>
      </c>
    </row>
    <row r="1997" spans="27:30" x14ac:dyDescent="0.3">
      <c r="AA1997">
        <f t="shared" si="124"/>
        <v>0</v>
      </c>
      <c r="AB1997">
        <f t="shared" si="125"/>
        <v>0</v>
      </c>
      <c r="AC1997">
        <f t="shared" si="126"/>
        <v>0</v>
      </c>
      <c r="AD1997">
        <f t="shared" si="127"/>
        <v>0</v>
      </c>
    </row>
    <row r="1998" spans="27:30" x14ac:dyDescent="0.3">
      <c r="AA1998">
        <f t="shared" si="124"/>
        <v>0</v>
      </c>
      <c r="AB1998">
        <f t="shared" si="125"/>
        <v>0</v>
      </c>
      <c r="AC1998">
        <f t="shared" si="126"/>
        <v>0</v>
      </c>
      <c r="AD1998">
        <f t="shared" si="127"/>
        <v>0</v>
      </c>
    </row>
    <row r="1999" spans="27:30" x14ac:dyDescent="0.3">
      <c r="AA1999">
        <f t="shared" si="124"/>
        <v>0</v>
      </c>
      <c r="AB1999">
        <f t="shared" si="125"/>
        <v>0</v>
      </c>
      <c r="AC1999">
        <f t="shared" si="126"/>
        <v>0</v>
      </c>
      <c r="AD1999">
        <f t="shared" si="127"/>
        <v>0</v>
      </c>
    </row>
    <row r="2000" spans="27:30" x14ac:dyDescent="0.3">
      <c r="AA2000">
        <f t="shared" si="124"/>
        <v>0</v>
      </c>
      <c r="AB2000">
        <f t="shared" si="125"/>
        <v>0</v>
      </c>
      <c r="AC2000">
        <f t="shared" si="126"/>
        <v>0</v>
      </c>
      <c r="AD2000">
        <f t="shared" si="127"/>
        <v>0</v>
      </c>
    </row>
    <row r="2001" spans="27:30" x14ac:dyDescent="0.3">
      <c r="AA2001">
        <f t="shared" si="124"/>
        <v>0</v>
      </c>
      <c r="AB2001">
        <f t="shared" si="125"/>
        <v>0</v>
      </c>
      <c r="AC2001">
        <f t="shared" si="126"/>
        <v>0</v>
      </c>
      <c r="AD2001">
        <f t="shared" si="127"/>
        <v>0</v>
      </c>
    </row>
    <row r="2002" spans="27:30" x14ac:dyDescent="0.3">
      <c r="AA2002">
        <f t="shared" si="124"/>
        <v>0</v>
      </c>
      <c r="AB2002">
        <f t="shared" si="125"/>
        <v>0</v>
      </c>
      <c r="AC2002">
        <f t="shared" si="126"/>
        <v>0</v>
      </c>
      <c r="AD2002">
        <f t="shared" si="127"/>
        <v>0</v>
      </c>
    </row>
    <row r="2003" spans="27:30" x14ac:dyDescent="0.3">
      <c r="AA2003">
        <f t="shared" si="124"/>
        <v>0</v>
      </c>
      <c r="AB2003">
        <f t="shared" si="125"/>
        <v>0</v>
      </c>
      <c r="AC2003">
        <f t="shared" si="126"/>
        <v>0</v>
      </c>
      <c r="AD2003">
        <f t="shared" si="127"/>
        <v>0</v>
      </c>
    </row>
    <row r="2004" spans="27:30" x14ac:dyDescent="0.3">
      <c r="AA2004">
        <f t="shared" si="124"/>
        <v>0</v>
      </c>
      <c r="AB2004">
        <f t="shared" si="125"/>
        <v>0</v>
      </c>
      <c r="AC2004">
        <f t="shared" si="126"/>
        <v>0</v>
      </c>
      <c r="AD2004">
        <f t="shared" si="127"/>
        <v>0</v>
      </c>
    </row>
    <row r="2005" spans="27:30" x14ac:dyDescent="0.3">
      <c r="AA2005">
        <f t="shared" si="124"/>
        <v>0</v>
      </c>
      <c r="AB2005">
        <f t="shared" si="125"/>
        <v>0</v>
      </c>
      <c r="AC2005">
        <f t="shared" si="126"/>
        <v>0</v>
      </c>
      <c r="AD2005">
        <f t="shared" si="127"/>
        <v>0</v>
      </c>
    </row>
    <row r="2006" spans="27:30" x14ac:dyDescent="0.3">
      <c r="AA2006">
        <f t="shared" si="124"/>
        <v>0</v>
      </c>
      <c r="AB2006">
        <f t="shared" si="125"/>
        <v>0</v>
      </c>
      <c r="AC2006">
        <f t="shared" si="126"/>
        <v>0</v>
      </c>
      <c r="AD2006">
        <f t="shared" si="127"/>
        <v>0</v>
      </c>
    </row>
    <row r="2007" spans="27:30" x14ac:dyDescent="0.3">
      <c r="AA2007">
        <f t="shared" si="124"/>
        <v>0</v>
      </c>
      <c r="AB2007">
        <f t="shared" si="125"/>
        <v>0</v>
      </c>
      <c r="AC2007">
        <f t="shared" si="126"/>
        <v>0</v>
      </c>
      <c r="AD2007">
        <f t="shared" si="127"/>
        <v>0</v>
      </c>
    </row>
    <row r="2008" spans="27:30" x14ac:dyDescent="0.3">
      <c r="AA2008">
        <f t="shared" si="124"/>
        <v>0</v>
      </c>
      <c r="AB2008">
        <f t="shared" si="125"/>
        <v>0</v>
      </c>
      <c r="AC2008">
        <f t="shared" si="126"/>
        <v>0</v>
      </c>
      <c r="AD2008">
        <f t="shared" si="127"/>
        <v>0</v>
      </c>
    </row>
    <row r="2009" spans="27:30" x14ac:dyDescent="0.3">
      <c r="AA2009">
        <f t="shared" si="124"/>
        <v>0</v>
      </c>
      <c r="AB2009">
        <f t="shared" si="125"/>
        <v>0</v>
      </c>
      <c r="AC2009">
        <f t="shared" si="126"/>
        <v>0</v>
      </c>
      <c r="AD2009">
        <f t="shared" si="127"/>
        <v>0</v>
      </c>
    </row>
    <row r="2010" spans="27:30" x14ac:dyDescent="0.3">
      <c r="AA2010">
        <f t="shared" si="124"/>
        <v>0</v>
      </c>
      <c r="AB2010">
        <f t="shared" si="125"/>
        <v>0</v>
      </c>
      <c r="AC2010">
        <f t="shared" si="126"/>
        <v>0</v>
      </c>
      <c r="AD2010">
        <f t="shared" si="127"/>
        <v>0</v>
      </c>
    </row>
    <row r="2011" spans="27:30" x14ac:dyDescent="0.3">
      <c r="AA2011">
        <f t="shared" si="124"/>
        <v>0</v>
      </c>
      <c r="AB2011">
        <f t="shared" si="125"/>
        <v>0</v>
      </c>
      <c r="AC2011">
        <f t="shared" si="126"/>
        <v>0</v>
      </c>
      <c r="AD2011">
        <f t="shared" si="127"/>
        <v>0</v>
      </c>
    </row>
    <row r="2012" spans="27:30" x14ac:dyDescent="0.3">
      <c r="AA2012">
        <f t="shared" si="124"/>
        <v>0</v>
      </c>
      <c r="AB2012">
        <f t="shared" si="125"/>
        <v>0</v>
      </c>
      <c r="AC2012">
        <f t="shared" si="126"/>
        <v>0</v>
      </c>
      <c r="AD2012">
        <f t="shared" si="127"/>
        <v>0</v>
      </c>
    </row>
    <row r="2013" spans="27:30" x14ac:dyDescent="0.3">
      <c r="AA2013">
        <f t="shared" si="124"/>
        <v>0</v>
      </c>
      <c r="AB2013">
        <f t="shared" si="125"/>
        <v>0</v>
      </c>
      <c r="AC2013">
        <f t="shared" si="126"/>
        <v>0</v>
      </c>
      <c r="AD2013">
        <f t="shared" si="127"/>
        <v>0</v>
      </c>
    </row>
    <row r="2014" spans="27:30" x14ac:dyDescent="0.3">
      <c r="AA2014">
        <f t="shared" si="124"/>
        <v>0</v>
      </c>
      <c r="AB2014">
        <f t="shared" si="125"/>
        <v>0</v>
      </c>
      <c r="AC2014">
        <f t="shared" si="126"/>
        <v>0</v>
      </c>
      <c r="AD2014">
        <f t="shared" si="127"/>
        <v>0</v>
      </c>
    </row>
    <row r="2015" spans="27:30" x14ac:dyDescent="0.3">
      <c r="AA2015">
        <f t="shared" si="124"/>
        <v>0</v>
      </c>
      <c r="AB2015">
        <f t="shared" si="125"/>
        <v>0</v>
      </c>
      <c r="AC2015">
        <f t="shared" si="126"/>
        <v>0</v>
      </c>
      <c r="AD2015">
        <f t="shared" si="127"/>
        <v>0</v>
      </c>
    </row>
    <row r="2016" spans="27:30" x14ac:dyDescent="0.3">
      <c r="AA2016">
        <f t="shared" si="124"/>
        <v>0</v>
      </c>
      <c r="AB2016">
        <f t="shared" si="125"/>
        <v>0</v>
      </c>
      <c r="AC2016">
        <f t="shared" si="126"/>
        <v>0</v>
      </c>
      <c r="AD2016">
        <f t="shared" si="127"/>
        <v>0</v>
      </c>
    </row>
    <row r="2017" spans="27:30" x14ac:dyDescent="0.3">
      <c r="AA2017">
        <f t="shared" si="124"/>
        <v>0</v>
      </c>
      <c r="AB2017">
        <f t="shared" si="125"/>
        <v>0</v>
      </c>
      <c r="AC2017">
        <f t="shared" si="126"/>
        <v>0</v>
      </c>
      <c r="AD2017">
        <f t="shared" si="127"/>
        <v>0</v>
      </c>
    </row>
    <row r="2018" spans="27:30" x14ac:dyDescent="0.3">
      <c r="AA2018">
        <f t="shared" si="124"/>
        <v>0</v>
      </c>
      <c r="AB2018">
        <f t="shared" si="125"/>
        <v>0</v>
      </c>
      <c r="AC2018">
        <f t="shared" si="126"/>
        <v>0</v>
      </c>
      <c r="AD2018">
        <f t="shared" si="127"/>
        <v>0</v>
      </c>
    </row>
    <row r="2019" spans="27:30" x14ac:dyDescent="0.3">
      <c r="AA2019">
        <f t="shared" si="124"/>
        <v>0</v>
      </c>
      <c r="AB2019">
        <f t="shared" si="125"/>
        <v>0</v>
      </c>
      <c r="AC2019">
        <f t="shared" si="126"/>
        <v>0</v>
      </c>
      <c r="AD2019">
        <f t="shared" si="127"/>
        <v>0</v>
      </c>
    </row>
    <row r="2020" spans="27:30" x14ac:dyDescent="0.3">
      <c r="AA2020">
        <f t="shared" si="124"/>
        <v>0</v>
      </c>
      <c r="AB2020">
        <f t="shared" si="125"/>
        <v>0</v>
      </c>
      <c r="AC2020">
        <f t="shared" si="126"/>
        <v>0</v>
      </c>
      <c r="AD2020">
        <f t="shared" si="127"/>
        <v>0</v>
      </c>
    </row>
    <row r="2021" spans="27:30" x14ac:dyDescent="0.3">
      <c r="AA2021">
        <f t="shared" si="124"/>
        <v>0</v>
      </c>
      <c r="AB2021">
        <f t="shared" si="125"/>
        <v>0</v>
      </c>
      <c r="AC2021">
        <f t="shared" si="126"/>
        <v>0</v>
      </c>
      <c r="AD2021">
        <f t="shared" si="127"/>
        <v>0</v>
      </c>
    </row>
    <row r="2022" spans="27:30" x14ac:dyDescent="0.3">
      <c r="AA2022">
        <f t="shared" si="124"/>
        <v>0</v>
      </c>
      <c r="AB2022">
        <f t="shared" si="125"/>
        <v>0</v>
      </c>
      <c r="AC2022">
        <f t="shared" si="126"/>
        <v>0</v>
      </c>
      <c r="AD2022">
        <f t="shared" si="127"/>
        <v>0</v>
      </c>
    </row>
    <row r="2023" spans="27:30" x14ac:dyDescent="0.3">
      <c r="AA2023">
        <f t="shared" si="124"/>
        <v>0</v>
      </c>
      <c r="AB2023">
        <f t="shared" si="125"/>
        <v>0</v>
      </c>
      <c r="AC2023">
        <f t="shared" si="126"/>
        <v>0</v>
      </c>
      <c r="AD2023">
        <f t="shared" si="127"/>
        <v>0</v>
      </c>
    </row>
    <row r="2024" spans="27:30" x14ac:dyDescent="0.3">
      <c r="AA2024">
        <f t="shared" si="124"/>
        <v>0</v>
      </c>
      <c r="AB2024">
        <f t="shared" si="125"/>
        <v>0</v>
      </c>
      <c r="AC2024">
        <f t="shared" si="126"/>
        <v>0</v>
      </c>
      <c r="AD2024">
        <f t="shared" si="127"/>
        <v>0</v>
      </c>
    </row>
    <row r="2025" spans="27:30" x14ac:dyDescent="0.3">
      <c r="AA2025">
        <f t="shared" si="124"/>
        <v>0</v>
      </c>
      <c r="AB2025">
        <f t="shared" si="125"/>
        <v>0</v>
      </c>
      <c r="AC2025">
        <f t="shared" si="126"/>
        <v>0</v>
      </c>
      <c r="AD2025">
        <f t="shared" si="127"/>
        <v>0</v>
      </c>
    </row>
    <row r="2026" spans="27:30" x14ac:dyDescent="0.3">
      <c r="AA2026">
        <f t="shared" si="124"/>
        <v>0</v>
      </c>
      <c r="AB2026">
        <f t="shared" si="125"/>
        <v>0</v>
      </c>
      <c r="AC2026">
        <f t="shared" si="126"/>
        <v>0</v>
      </c>
      <c r="AD2026">
        <f t="shared" si="127"/>
        <v>0</v>
      </c>
    </row>
    <row r="2027" spans="27:30" x14ac:dyDescent="0.3">
      <c r="AA2027">
        <f t="shared" si="124"/>
        <v>0</v>
      </c>
      <c r="AB2027">
        <f t="shared" si="125"/>
        <v>0</v>
      </c>
      <c r="AC2027">
        <f t="shared" si="126"/>
        <v>0</v>
      </c>
      <c r="AD2027">
        <f t="shared" si="127"/>
        <v>0</v>
      </c>
    </row>
    <row r="2028" spans="27:30" x14ac:dyDescent="0.3">
      <c r="AA2028">
        <f t="shared" si="124"/>
        <v>0</v>
      </c>
      <c r="AB2028">
        <f t="shared" si="125"/>
        <v>0</v>
      </c>
      <c r="AC2028">
        <f t="shared" si="126"/>
        <v>0</v>
      </c>
      <c r="AD2028">
        <f t="shared" si="127"/>
        <v>0</v>
      </c>
    </row>
    <row r="2029" spans="27:30" x14ac:dyDescent="0.3">
      <c r="AA2029">
        <f t="shared" si="124"/>
        <v>0</v>
      </c>
      <c r="AB2029">
        <f t="shared" si="125"/>
        <v>0</v>
      </c>
      <c r="AC2029">
        <f t="shared" si="126"/>
        <v>0</v>
      </c>
      <c r="AD2029">
        <f t="shared" si="127"/>
        <v>0</v>
      </c>
    </row>
    <row r="2030" spans="27:30" x14ac:dyDescent="0.3">
      <c r="AA2030">
        <f t="shared" si="124"/>
        <v>0</v>
      </c>
      <c r="AB2030">
        <f t="shared" si="125"/>
        <v>0</v>
      </c>
      <c r="AC2030">
        <f t="shared" si="126"/>
        <v>0</v>
      </c>
      <c r="AD2030">
        <f t="shared" si="127"/>
        <v>0</v>
      </c>
    </row>
    <row r="2031" spans="27:30" x14ac:dyDescent="0.3">
      <c r="AA2031">
        <f t="shared" si="124"/>
        <v>0</v>
      </c>
      <c r="AB2031">
        <f t="shared" si="125"/>
        <v>0</v>
      </c>
      <c r="AC2031">
        <f t="shared" si="126"/>
        <v>0</v>
      </c>
      <c r="AD2031">
        <f t="shared" si="127"/>
        <v>0</v>
      </c>
    </row>
    <row r="2032" spans="27:30" x14ac:dyDescent="0.3">
      <c r="AA2032">
        <f t="shared" si="124"/>
        <v>0</v>
      </c>
      <c r="AB2032">
        <f t="shared" si="125"/>
        <v>0</v>
      </c>
      <c r="AC2032">
        <f t="shared" si="126"/>
        <v>0</v>
      </c>
      <c r="AD2032">
        <f t="shared" si="127"/>
        <v>0</v>
      </c>
    </row>
    <row r="2033" spans="27:30" x14ac:dyDescent="0.3">
      <c r="AA2033">
        <f t="shared" si="124"/>
        <v>0</v>
      </c>
      <c r="AB2033">
        <f t="shared" si="125"/>
        <v>0</v>
      </c>
      <c r="AC2033">
        <f t="shared" si="126"/>
        <v>0</v>
      </c>
      <c r="AD2033">
        <f t="shared" si="127"/>
        <v>0</v>
      </c>
    </row>
    <row r="2034" spans="27:30" x14ac:dyDescent="0.3">
      <c r="AA2034">
        <f t="shared" si="124"/>
        <v>0</v>
      </c>
      <c r="AB2034">
        <f t="shared" si="125"/>
        <v>0</v>
      </c>
      <c r="AC2034">
        <f t="shared" si="126"/>
        <v>0</v>
      </c>
      <c r="AD2034">
        <f t="shared" si="127"/>
        <v>0</v>
      </c>
    </row>
    <row r="2035" spans="27:30" x14ac:dyDescent="0.3">
      <c r="AA2035">
        <f t="shared" si="124"/>
        <v>0</v>
      </c>
      <c r="AB2035">
        <f t="shared" si="125"/>
        <v>0</v>
      </c>
      <c r="AC2035">
        <f t="shared" si="126"/>
        <v>0</v>
      </c>
      <c r="AD2035">
        <f t="shared" si="127"/>
        <v>0</v>
      </c>
    </row>
    <row r="2036" spans="27:30" x14ac:dyDescent="0.3">
      <c r="AA2036">
        <f t="shared" si="124"/>
        <v>0</v>
      </c>
      <c r="AB2036">
        <f t="shared" si="125"/>
        <v>0</v>
      </c>
      <c r="AC2036">
        <f t="shared" si="126"/>
        <v>0</v>
      </c>
      <c r="AD2036">
        <f t="shared" si="127"/>
        <v>0</v>
      </c>
    </row>
    <row r="2037" spans="27:30" x14ac:dyDescent="0.3">
      <c r="AA2037">
        <f t="shared" si="124"/>
        <v>0</v>
      </c>
      <c r="AB2037">
        <f t="shared" si="125"/>
        <v>0</v>
      </c>
      <c r="AC2037">
        <f t="shared" si="126"/>
        <v>0</v>
      </c>
      <c r="AD2037">
        <f t="shared" si="127"/>
        <v>0</v>
      </c>
    </row>
    <row r="2038" spans="27:30" x14ac:dyDescent="0.3">
      <c r="AA2038">
        <f t="shared" si="124"/>
        <v>0</v>
      </c>
      <c r="AB2038">
        <f t="shared" si="125"/>
        <v>0</v>
      </c>
      <c r="AC2038">
        <f t="shared" si="126"/>
        <v>0</v>
      </c>
      <c r="AD2038">
        <f t="shared" si="127"/>
        <v>0</v>
      </c>
    </row>
    <row r="2039" spans="27:30" x14ac:dyDescent="0.3">
      <c r="AA2039">
        <f t="shared" si="124"/>
        <v>0</v>
      </c>
      <c r="AB2039">
        <f t="shared" si="125"/>
        <v>0</v>
      </c>
      <c r="AC2039">
        <f t="shared" si="126"/>
        <v>0</v>
      </c>
      <c r="AD2039">
        <f t="shared" si="127"/>
        <v>0</v>
      </c>
    </row>
    <row r="2040" spans="27:30" x14ac:dyDescent="0.3">
      <c r="AA2040">
        <f t="shared" si="124"/>
        <v>0</v>
      </c>
      <c r="AB2040">
        <f t="shared" si="125"/>
        <v>0</v>
      </c>
      <c r="AC2040">
        <f t="shared" si="126"/>
        <v>0</v>
      </c>
      <c r="AD2040">
        <f t="shared" si="127"/>
        <v>0</v>
      </c>
    </row>
    <row r="2041" spans="27:30" x14ac:dyDescent="0.3">
      <c r="AA2041">
        <f t="shared" si="124"/>
        <v>0</v>
      </c>
      <c r="AB2041">
        <f t="shared" si="125"/>
        <v>0</v>
      </c>
      <c r="AC2041">
        <f t="shared" si="126"/>
        <v>0</v>
      </c>
      <c r="AD2041">
        <f t="shared" si="127"/>
        <v>0</v>
      </c>
    </row>
    <row r="2042" spans="27:30" x14ac:dyDescent="0.3">
      <c r="AA2042">
        <f t="shared" si="124"/>
        <v>0</v>
      </c>
      <c r="AB2042">
        <f t="shared" si="125"/>
        <v>0</v>
      </c>
      <c r="AC2042">
        <f t="shared" si="126"/>
        <v>0</v>
      </c>
      <c r="AD2042">
        <f t="shared" si="127"/>
        <v>0</v>
      </c>
    </row>
    <row r="2043" spans="27:30" x14ac:dyDescent="0.3">
      <c r="AA2043">
        <f t="shared" si="124"/>
        <v>0</v>
      </c>
      <c r="AB2043">
        <f t="shared" si="125"/>
        <v>0</v>
      </c>
      <c r="AC2043">
        <f t="shared" si="126"/>
        <v>0</v>
      </c>
      <c r="AD2043">
        <f t="shared" si="127"/>
        <v>0</v>
      </c>
    </row>
    <row r="2044" spans="27:30" x14ac:dyDescent="0.3">
      <c r="AA2044">
        <f t="shared" si="124"/>
        <v>0</v>
      </c>
      <c r="AB2044">
        <f t="shared" si="125"/>
        <v>0</v>
      </c>
      <c r="AC2044">
        <f t="shared" si="126"/>
        <v>0</v>
      </c>
      <c r="AD2044">
        <f t="shared" si="127"/>
        <v>0</v>
      </c>
    </row>
    <row r="2045" spans="27:30" x14ac:dyDescent="0.3">
      <c r="AA2045">
        <f t="shared" si="124"/>
        <v>0</v>
      </c>
      <c r="AB2045">
        <f t="shared" si="125"/>
        <v>0</v>
      </c>
      <c r="AC2045">
        <f t="shared" si="126"/>
        <v>0</v>
      </c>
      <c r="AD2045">
        <f t="shared" si="127"/>
        <v>0</v>
      </c>
    </row>
    <row r="2046" spans="27:30" x14ac:dyDescent="0.3">
      <c r="AA2046">
        <f t="shared" si="124"/>
        <v>0</v>
      </c>
      <c r="AB2046">
        <f t="shared" si="125"/>
        <v>0</v>
      </c>
      <c r="AC2046">
        <f t="shared" si="126"/>
        <v>0</v>
      </c>
      <c r="AD2046">
        <f t="shared" si="127"/>
        <v>0</v>
      </c>
    </row>
    <row r="2047" spans="27:30" x14ac:dyDescent="0.3">
      <c r="AA2047">
        <f t="shared" si="124"/>
        <v>0</v>
      </c>
      <c r="AB2047">
        <f t="shared" si="125"/>
        <v>0</v>
      </c>
      <c r="AC2047">
        <f t="shared" si="126"/>
        <v>0</v>
      </c>
      <c r="AD2047">
        <f t="shared" si="127"/>
        <v>0</v>
      </c>
    </row>
    <row r="2048" spans="27:30" x14ac:dyDescent="0.3">
      <c r="AA2048">
        <f t="shared" si="124"/>
        <v>0</v>
      </c>
      <c r="AB2048">
        <f t="shared" si="125"/>
        <v>0</v>
      </c>
      <c r="AC2048">
        <f t="shared" si="126"/>
        <v>0</v>
      </c>
      <c r="AD2048">
        <f t="shared" si="127"/>
        <v>0</v>
      </c>
    </row>
    <row r="2049" spans="27:30" x14ac:dyDescent="0.3">
      <c r="AA2049">
        <f t="shared" si="124"/>
        <v>0</v>
      </c>
      <c r="AB2049">
        <f t="shared" si="125"/>
        <v>0</v>
      </c>
      <c r="AC2049">
        <f t="shared" si="126"/>
        <v>0</v>
      </c>
      <c r="AD2049">
        <f t="shared" si="127"/>
        <v>0</v>
      </c>
    </row>
    <row r="2050" spans="27:30" x14ac:dyDescent="0.3">
      <c r="AA2050">
        <f t="shared" si="124"/>
        <v>0</v>
      </c>
      <c r="AB2050">
        <f t="shared" si="125"/>
        <v>0</v>
      </c>
      <c r="AC2050">
        <f t="shared" si="126"/>
        <v>0</v>
      </c>
      <c r="AD2050">
        <f t="shared" si="127"/>
        <v>0</v>
      </c>
    </row>
    <row r="2051" spans="27:30" x14ac:dyDescent="0.3">
      <c r="AA2051">
        <f t="shared" si="124"/>
        <v>0</v>
      </c>
      <c r="AB2051">
        <f t="shared" si="125"/>
        <v>0</v>
      </c>
      <c r="AC2051">
        <f t="shared" si="126"/>
        <v>0</v>
      </c>
      <c r="AD2051">
        <f t="shared" si="127"/>
        <v>0</v>
      </c>
    </row>
    <row r="2052" spans="27:30" x14ac:dyDescent="0.3">
      <c r="AA2052">
        <f t="shared" si="124"/>
        <v>0</v>
      </c>
      <c r="AB2052">
        <f t="shared" si="125"/>
        <v>0</v>
      </c>
      <c r="AC2052">
        <f t="shared" si="126"/>
        <v>0</v>
      </c>
      <c r="AD2052">
        <f t="shared" si="127"/>
        <v>0</v>
      </c>
    </row>
    <row r="2053" spans="27:30" x14ac:dyDescent="0.3">
      <c r="AA2053">
        <f t="shared" ref="AA2053:AA2116" si="128">ROUND(Z2053,0)</f>
        <v>0</v>
      </c>
      <c r="AB2053">
        <f t="shared" ref="AB2053:AB2116" si="129">IF(AA2053=Y2053,0,1)</f>
        <v>0</v>
      </c>
      <c r="AC2053">
        <f t="shared" ref="AC2053:AC2116" si="130">IF(AA2053&lt;Y2053+5,IF(AA2053&gt;Y2053-5,0,1),1)</f>
        <v>0</v>
      </c>
      <c r="AD2053">
        <f t="shared" ref="AD2053:AD2116" si="131">IF(AA2053&lt;Y2053+10,IF(AA2053&gt;Y2053-10,0,1),1)</f>
        <v>0</v>
      </c>
    </row>
    <row r="2054" spans="27:30" x14ac:dyDescent="0.3">
      <c r="AA2054">
        <f t="shared" si="128"/>
        <v>0</v>
      </c>
      <c r="AB2054">
        <f t="shared" si="129"/>
        <v>0</v>
      </c>
      <c r="AC2054">
        <f t="shared" si="130"/>
        <v>0</v>
      </c>
      <c r="AD2054">
        <f t="shared" si="131"/>
        <v>0</v>
      </c>
    </row>
    <row r="2055" spans="27:30" x14ac:dyDescent="0.3">
      <c r="AA2055">
        <f t="shared" si="128"/>
        <v>0</v>
      </c>
      <c r="AB2055">
        <f t="shared" si="129"/>
        <v>0</v>
      </c>
      <c r="AC2055">
        <f t="shared" si="130"/>
        <v>0</v>
      </c>
      <c r="AD2055">
        <f t="shared" si="131"/>
        <v>0</v>
      </c>
    </row>
    <row r="2056" spans="27:30" x14ac:dyDescent="0.3">
      <c r="AA2056">
        <f t="shared" si="128"/>
        <v>0</v>
      </c>
      <c r="AB2056">
        <f t="shared" si="129"/>
        <v>0</v>
      </c>
      <c r="AC2056">
        <f t="shared" si="130"/>
        <v>0</v>
      </c>
      <c r="AD2056">
        <f t="shared" si="131"/>
        <v>0</v>
      </c>
    </row>
    <row r="2057" spans="27:30" x14ac:dyDescent="0.3">
      <c r="AA2057">
        <f t="shared" si="128"/>
        <v>0</v>
      </c>
      <c r="AB2057">
        <f t="shared" si="129"/>
        <v>0</v>
      </c>
      <c r="AC2057">
        <f t="shared" si="130"/>
        <v>0</v>
      </c>
      <c r="AD2057">
        <f t="shared" si="131"/>
        <v>0</v>
      </c>
    </row>
    <row r="2058" spans="27:30" x14ac:dyDescent="0.3">
      <c r="AA2058">
        <f t="shared" si="128"/>
        <v>0</v>
      </c>
      <c r="AB2058">
        <f t="shared" si="129"/>
        <v>0</v>
      </c>
      <c r="AC2058">
        <f t="shared" si="130"/>
        <v>0</v>
      </c>
      <c r="AD2058">
        <f t="shared" si="131"/>
        <v>0</v>
      </c>
    </row>
    <row r="2059" spans="27:30" x14ac:dyDescent="0.3">
      <c r="AA2059">
        <f t="shared" si="128"/>
        <v>0</v>
      </c>
      <c r="AB2059">
        <f t="shared" si="129"/>
        <v>0</v>
      </c>
      <c r="AC2059">
        <f t="shared" si="130"/>
        <v>0</v>
      </c>
      <c r="AD2059">
        <f t="shared" si="131"/>
        <v>0</v>
      </c>
    </row>
    <row r="2060" spans="27:30" x14ac:dyDescent="0.3">
      <c r="AA2060">
        <f t="shared" si="128"/>
        <v>0</v>
      </c>
      <c r="AB2060">
        <f t="shared" si="129"/>
        <v>0</v>
      </c>
      <c r="AC2060">
        <f t="shared" si="130"/>
        <v>0</v>
      </c>
      <c r="AD2060">
        <f t="shared" si="131"/>
        <v>0</v>
      </c>
    </row>
    <row r="2061" spans="27:30" x14ac:dyDescent="0.3">
      <c r="AA2061">
        <f t="shared" si="128"/>
        <v>0</v>
      </c>
      <c r="AB2061">
        <f t="shared" si="129"/>
        <v>0</v>
      </c>
      <c r="AC2061">
        <f t="shared" si="130"/>
        <v>0</v>
      </c>
      <c r="AD2061">
        <f t="shared" si="131"/>
        <v>0</v>
      </c>
    </row>
    <row r="2062" spans="27:30" x14ac:dyDescent="0.3">
      <c r="AA2062">
        <f t="shared" si="128"/>
        <v>0</v>
      </c>
      <c r="AB2062">
        <f t="shared" si="129"/>
        <v>0</v>
      </c>
      <c r="AC2062">
        <f t="shared" si="130"/>
        <v>0</v>
      </c>
      <c r="AD2062">
        <f t="shared" si="131"/>
        <v>0</v>
      </c>
    </row>
    <row r="2063" spans="27:30" x14ac:dyDescent="0.3">
      <c r="AA2063">
        <f t="shared" si="128"/>
        <v>0</v>
      </c>
      <c r="AB2063">
        <f t="shared" si="129"/>
        <v>0</v>
      </c>
      <c r="AC2063">
        <f t="shared" si="130"/>
        <v>0</v>
      </c>
      <c r="AD2063">
        <f t="shared" si="131"/>
        <v>0</v>
      </c>
    </row>
    <row r="2064" spans="27:30" x14ac:dyDescent="0.3">
      <c r="AA2064">
        <f t="shared" si="128"/>
        <v>0</v>
      </c>
      <c r="AB2064">
        <f t="shared" si="129"/>
        <v>0</v>
      </c>
      <c r="AC2064">
        <f t="shared" si="130"/>
        <v>0</v>
      </c>
      <c r="AD2064">
        <f t="shared" si="131"/>
        <v>0</v>
      </c>
    </row>
    <row r="2065" spans="27:30" x14ac:dyDescent="0.3">
      <c r="AA2065">
        <f t="shared" si="128"/>
        <v>0</v>
      </c>
      <c r="AB2065">
        <f t="shared" si="129"/>
        <v>0</v>
      </c>
      <c r="AC2065">
        <f t="shared" si="130"/>
        <v>0</v>
      </c>
      <c r="AD2065">
        <f t="shared" si="131"/>
        <v>0</v>
      </c>
    </row>
    <row r="2066" spans="27:30" x14ac:dyDescent="0.3">
      <c r="AA2066">
        <f t="shared" si="128"/>
        <v>0</v>
      </c>
      <c r="AB2066">
        <f t="shared" si="129"/>
        <v>0</v>
      </c>
      <c r="AC2066">
        <f t="shared" si="130"/>
        <v>0</v>
      </c>
      <c r="AD2066">
        <f t="shared" si="131"/>
        <v>0</v>
      </c>
    </row>
    <row r="2067" spans="27:30" x14ac:dyDescent="0.3">
      <c r="AA2067">
        <f t="shared" si="128"/>
        <v>0</v>
      </c>
      <c r="AB2067">
        <f t="shared" si="129"/>
        <v>0</v>
      </c>
      <c r="AC2067">
        <f t="shared" si="130"/>
        <v>0</v>
      </c>
      <c r="AD2067">
        <f t="shared" si="131"/>
        <v>0</v>
      </c>
    </row>
    <row r="2068" spans="27:30" x14ac:dyDescent="0.3">
      <c r="AA2068">
        <f t="shared" si="128"/>
        <v>0</v>
      </c>
      <c r="AB2068">
        <f t="shared" si="129"/>
        <v>0</v>
      </c>
      <c r="AC2068">
        <f t="shared" si="130"/>
        <v>0</v>
      </c>
      <c r="AD2068">
        <f t="shared" si="131"/>
        <v>0</v>
      </c>
    </row>
    <row r="2069" spans="27:30" x14ac:dyDescent="0.3">
      <c r="AA2069">
        <f t="shared" si="128"/>
        <v>0</v>
      </c>
      <c r="AB2069">
        <f t="shared" si="129"/>
        <v>0</v>
      </c>
      <c r="AC2069">
        <f t="shared" si="130"/>
        <v>0</v>
      </c>
      <c r="AD2069">
        <f t="shared" si="131"/>
        <v>0</v>
      </c>
    </row>
    <row r="2070" spans="27:30" x14ac:dyDescent="0.3">
      <c r="AA2070">
        <f t="shared" si="128"/>
        <v>0</v>
      </c>
      <c r="AB2070">
        <f t="shared" si="129"/>
        <v>0</v>
      </c>
      <c r="AC2070">
        <f t="shared" si="130"/>
        <v>0</v>
      </c>
      <c r="AD2070">
        <f t="shared" si="131"/>
        <v>0</v>
      </c>
    </row>
    <row r="2071" spans="27:30" x14ac:dyDescent="0.3">
      <c r="AA2071">
        <f t="shared" si="128"/>
        <v>0</v>
      </c>
      <c r="AB2071">
        <f t="shared" si="129"/>
        <v>0</v>
      </c>
      <c r="AC2071">
        <f t="shared" si="130"/>
        <v>0</v>
      </c>
      <c r="AD2071">
        <f t="shared" si="131"/>
        <v>0</v>
      </c>
    </row>
    <row r="2072" spans="27:30" x14ac:dyDescent="0.3">
      <c r="AA2072">
        <f t="shared" si="128"/>
        <v>0</v>
      </c>
      <c r="AB2072">
        <f t="shared" si="129"/>
        <v>0</v>
      </c>
      <c r="AC2072">
        <f t="shared" si="130"/>
        <v>0</v>
      </c>
      <c r="AD2072">
        <f t="shared" si="131"/>
        <v>0</v>
      </c>
    </row>
    <row r="2073" spans="27:30" x14ac:dyDescent="0.3">
      <c r="AA2073">
        <f t="shared" si="128"/>
        <v>0</v>
      </c>
      <c r="AB2073">
        <f t="shared" si="129"/>
        <v>0</v>
      </c>
      <c r="AC2073">
        <f t="shared" si="130"/>
        <v>0</v>
      </c>
      <c r="AD2073">
        <f t="shared" si="131"/>
        <v>0</v>
      </c>
    </row>
    <row r="2074" spans="27:30" x14ac:dyDescent="0.3">
      <c r="AA2074">
        <f t="shared" si="128"/>
        <v>0</v>
      </c>
      <c r="AB2074">
        <f t="shared" si="129"/>
        <v>0</v>
      </c>
      <c r="AC2074">
        <f t="shared" si="130"/>
        <v>0</v>
      </c>
      <c r="AD2074">
        <f t="shared" si="131"/>
        <v>0</v>
      </c>
    </row>
    <row r="2075" spans="27:30" x14ac:dyDescent="0.3">
      <c r="AA2075">
        <f t="shared" si="128"/>
        <v>0</v>
      </c>
      <c r="AB2075">
        <f t="shared" si="129"/>
        <v>0</v>
      </c>
      <c r="AC2075">
        <f t="shared" si="130"/>
        <v>0</v>
      </c>
      <c r="AD2075">
        <f t="shared" si="131"/>
        <v>0</v>
      </c>
    </row>
    <row r="2076" spans="27:30" x14ac:dyDescent="0.3">
      <c r="AA2076">
        <f t="shared" si="128"/>
        <v>0</v>
      </c>
      <c r="AB2076">
        <f t="shared" si="129"/>
        <v>0</v>
      </c>
      <c r="AC2076">
        <f t="shared" si="130"/>
        <v>0</v>
      </c>
      <c r="AD2076">
        <f t="shared" si="131"/>
        <v>0</v>
      </c>
    </row>
    <row r="2077" spans="27:30" x14ac:dyDescent="0.3">
      <c r="AA2077">
        <f t="shared" si="128"/>
        <v>0</v>
      </c>
      <c r="AB2077">
        <f t="shared" si="129"/>
        <v>0</v>
      </c>
      <c r="AC2077">
        <f t="shared" si="130"/>
        <v>0</v>
      </c>
      <c r="AD2077">
        <f t="shared" si="131"/>
        <v>0</v>
      </c>
    </row>
    <row r="2078" spans="27:30" x14ac:dyDescent="0.3">
      <c r="AA2078">
        <f t="shared" si="128"/>
        <v>0</v>
      </c>
      <c r="AB2078">
        <f t="shared" si="129"/>
        <v>0</v>
      </c>
      <c r="AC2078">
        <f t="shared" si="130"/>
        <v>0</v>
      </c>
      <c r="AD2078">
        <f t="shared" si="131"/>
        <v>0</v>
      </c>
    </row>
    <row r="2079" spans="27:30" x14ac:dyDescent="0.3">
      <c r="AA2079">
        <f t="shared" si="128"/>
        <v>0</v>
      </c>
      <c r="AB2079">
        <f t="shared" si="129"/>
        <v>0</v>
      </c>
      <c r="AC2079">
        <f t="shared" si="130"/>
        <v>0</v>
      </c>
      <c r="AD2079">
        <f t="shared" si="131"/>
        <v>0</v>
      </c>
    </row>
    <row r="2080" spans="27:30" x14ac:dyDescent="0.3">
      <c r="AA2080">
        <f t="shared" si="128"/>
        <v>0</v>
      </c>
      <c r="AB2080">
        <f t="shared" si="129"/>
        <v>0</v>
      </c>
      <c r="AC2080">
        <f t="shared" si="130"/>
        <v>0</v>
      </c>
      <c r="AD2080">
        <f t="shared" si="131"/>
        <v>0</v>
      </c>
    </row>
    <row r="2081" spans="27:30" x14ac:dyDescent="0.3">
      <c r="AA2081">
        <f t="shared" si="128"/>
        <v>0</v>
      </c>
      <c r="AB2081">
        <f t="shared" si="129"/>
        <v>0</v>
      </c>
      <c r="AC2081">
        <f t="shared" si="130"/>
        <v>0</v>
      </c>
      <c r="AD2081">
        <f t="shared" si="131"/>
        <v>0</v>
      </c>
    </row>
    <row r="2082" spans="27:30" x14ac:dyDescent="0.3">
      <c r="AA2082">
        <f t="shared" si="128"/>
        <v>0</v>
      </c>
      <c r="AB2082">
        <f t="shared" si="129"/>
        <v>0</v>
      </c>
      <c r="AC2082">
        <f t="shared" si="130"/>
        <v>0</v>
      </c>
      <c r="AD2082">
        <f t="shared" si="131"/>
        <v>0</v>
      </c>
    </row>
    <row r="2083" spans="27:30" x14ac:dyDescent="0.3">
      <c r="AA2083">
        <f t="shared" si="128"/>
        <v>0</v>
      </c>
      <c r="AB2083">
        <f t="shared" si="129"/>
        <v>0</v>
      </c>
      <c r="AC2083">
        <f t="shared" si="130"/>
        <v>0</v>
      </c>
      <c r="AD2083">
        <f t="shared" si="131"/>
        <v>0</v>
      </c>
    </row>
    <row r="2084" spans="27:30" x14ac:dyDescent="0.3">
      <c r="AA2084">
        <f t="shared" si="128"/>
        <v>0</v>
      </c>
      <c r="AB2084">
        <f t="shared" si="129"/>
        <v>0</v>
      </c>
      <c r="AC2084">
        <f t="shared" si="130"/>
        <v>0</v>
      </c>
      <c r="AD2084">
        <f t="shared" si="131"/>
        <v>0</v>
      </c>
    </row>
    <row r="2085" spans="27:30" x14ac:dyDescent="0.3">
      <c r="AA2085">
        <f t="shared" si="128"/>
        <v>0</v>
      </c>
      <c r="AB2085">
        <f t="shared" si="129"/>
        <v>0</v>
      </c>
      <c r="AC2085">
        <f t="shared" si="130"/>
        <v>0</v>
      </c>
      <c r="AD2085">
        <f t="shared" si="131"/>
        <v>0</v>
      </c>
    </row>
    <row r="2086" spans="27:30" x14ac:dyDescent="0.3">
      <c r="AA2086">
        <f t="shared" si="128"/>
        <v>0</v>
      </c>
      <c r="AB2086">
        <f t="shared" si="129"/>
        <v>0</v>
      </c>
      <c r="AC2086">
        <f t="shared" si="130"/>
        <v>0</v>
      </c>
      <c r="AD2086">
        <f t="shared" si="131"/>
        <v>0</v>
      </c>
    </row>
    <row r="2087" spans="27:30" x14ac:dyDescent="0.3">
      <c r="AA2087">
        <f t="shared" si="128"/>
        <v>0</v>
      </c>
      <c r="AB2087">
        <f t="shared" si="129"/>
        <v>0</v>
      </c>
      <c r="AC2087">
        <f t="shared" si="130"/>
        <v>0</v>
      </c>
      <c r="AD2087">
        <f t="shared" si="131"/>
        <v>0</v>
      </c>
    </row>
    <row r="2088" spans="27:30" x14ac:dyDescent="0.3">
      <c r="AA2088">
        <f t="shared" si="128"/>
        <v>0</v>
      </c>
      <c r="AB2088">
        <f t="shared" si="129"/>
        <v>0</v>
      </c>
      <c r="AC2088">
        <f t="shared" si="130"/>
        <v>0</v>
      </c>
      <c r="AD2088">
        <f t="shared" si="131"/>
        <v>0</v>
      </c>
    </row>
    <row r="2089" spans="27:30" x14ac:dyDescent="0.3">
      <c r="AA2089">
        <f t="shared" si="128"/>
        <v>0</v>
      </c>
      <c r="AB2089">
        <f t="shared" si="129"/>
        <v>0</v>
      </c>
      <c r="AC2089">
        <f t="shared" si="130"/>
        <v>0</v>
      </c>
      <c r="AD2089">
        <f t="shared" si="131"/>
        <v>0</v>
      </c>
    </row>
    <row r="2090" spans="27:30" x14ac:dyDescent="0.3">
      <c r="AA2090">
        <f t="shared" si="128"/>
        <v>0</v>
      </c>
      <c r="AB2090">
        <f t="shared" si="129"/>
        <v>0</v>
      </c>
      <c r="AC2090">
        <f t="shared" si="130"/>
        <v>0</v>
      </c>
      <c r="AD2090">
        <f t="shared" si="131"/>
        <v>0</v>
      </c>
    </row>
    <row r="2091" spans="27:30" x14ac:dyDescent="0.3">
      <c r="AA2091">
        <f t="shared" si="128"/>
        <v>0</v>
      </c>
      <c r="AB2091">
        <f t="shared" si="129"/>
        <v>0</v>
      </c>
      <c r="AC2091">
        <f t="shared" si="130"/>
        <v>0</v>
      </c>
      <c r="AD2091">
        <f t="shared" si="131"/>
        <v>0</v>
      </c>
    </row>
    <row r="2092" spans="27:30" x14ac:dyDescent="0.3">
      <c r="AA2092">
        <f t="shared" si="128"/>
        <v>0</v>
      </c>
      <c r="AB2092">
        <f t="shared" si="129"/>
        <v>0</v>
      </c>
      <c r="AC2092">
        <f t="shared" si="130"/>
        <v>0</v>
      </c>
      <c r="AD2092">
        <f t="shared" si="131"/>
        <v>0</v>
      </c>
    </row>
    <row r="2093" spans="27:30" x14ac:dyDescent="0.3">
      <c r="AA2093">
        <f t="shared" si="128"/>
        <v>0</v>
      </c>
      <c r="AB2093">
        <f t="shared" si="129"/>
        <v>0</v>
      </c>
      <c r="AC2093">
        <f t="shared" si="130"/>
        <v>0</v>
      </c>
      <c r="AD2093">
        <f t="shared" si="131"/>
        <v>0</v>
      </c>
    </row>
    <row r="2094" spans="27:30" x14ac:dyDescent="0.3">
      <c r="AA2094">
        <f t="shared" si="128"/>
        <v>0</v>
      </c>
      <c r="AB2094">
        <f t="shared" si="129"/>
        <v>0</v>
      </c>
      <c r="AC2094">
        <f t="shared" si="130"/>
        <v>0</v>
      </c>
      <c r="AD2094">
        <f t="shared" si="131"/>
        <v>0</v>
      </c>
    </row>
    <row r="2095" spans="27:30" x14ac:dyDescent="0.3">
      <c r="AA2095">
        <f t="shared" si="128"/>
        <v>0</v>
      </c>
      <c r="AB2095">
        <f t="shared" si="129"/>
        <v>0</v>
      </c>
      <c r="AC2095">
        <f t="shared" si="130"/>
        <v>0</v>
      </c>
      <c r="AD2095">
        <f t="shared" si="131"/>
        <v>0</v>
      </c>
    </row>
    <row r="2096" spans="27:30" x14ac:dyDescent="0.3">
      <c r="AA2096">
        <f t="shared" si="128"/>
        <v>0</v>
      </c>
      <c r="AB2096">
        <f t="shared" si="129"/>
        <v>0</v>
      </c>
      <c r="AC2096">
        <f t="shared" si="130"/>
        <v>0</v>
      </c>
      <c r="AD2096">
        <f t="shared" si="131"/>
        <v>0</v>
      </c>
    </row>
    <row r="2097" spans="27:30" x14ac:dyDescent="0.3">
      <c r="AA2097">
        <f t="shared" si="128"/>
        <v>0</v>
      </c>
      <c r="AB2097">
        <f t="shared" si="129"/>
        <v>0</v>
      </c>
      <c r="AC2097">
        <f t="shared" si="130"/>
        <v>0</v>
      </c>
      <c r="AD2097">
        <f t="shared" si="131"/>
        <v>0</v>
      </c>
    </row>
    <row r="2098" spans="27:30" x14ac:dyDescent="0.3">
      <c r="AA2098">
        <f t="shared" si="128"/>
        <v>0</v>
      </c>
      <c r="AB2098">
        <f t="shared" si="129"/>
        <v>0</v>
      </c>
      <c r="AC2098">
        <f t="shared" si="130"/>
        <v>0</v>
      </c>
      <c r="AD2098">
        <f t="shared" si="131"/>
        <v>0</v>
      </c>
    </row>
    <row r="2099" spans="27:30" x14ac:dyDescent="0.3">
      <c r="AA2099">
        <f t="shared" si="128"/>
        <v>0</v>
      </c>
      <c r="AB2099">
        <f t="shared" si="129"/>
        <v>0</v>
      </c>
      <c r="AC2099">
        <f t="shared" si="130"/>
        <v>0</v>
      </c>
      <c r="AD2099">
        <f t="shared" si="131"/>
        <v>0</v>
      </c>
    </row>
    <row r="2100" spans="27:30" x14ac:dyDescent="0.3">
      <c r="AA2100">
        <f t="shared" si="128"/>
        <v>0</v>
      </c>
      <c r="AB2100">
        <f t="shared" si="129"/>
        <v>0</v>
      </c>
      <c r="AC2100">
        <f t="shared" si="130"/>
        <v>0</v>
      </c>
      <c r="AD2100">
        <f t="shared" si="131"/>
        <v>0</v>
      </c>
    </row>
    <row r="2101" spans="27:30" x14ac:dyDescent="0.3">
      <c r="AA2101">
        <f t="shared" si="128"/>
        <v>0</v>
      </c>
      <c r="AB2101">
        <f t="shared" si="129"/>
        <v>0</v>
      </c>
      <c r="AC2101">
        <f t="shared" si="130"/>
        <v>0</v>
      </c>
      <c r="AD2101">
        <f t="shared" si="131"/>
        <v>0</v>
      </c>
    </row>
    <row r="2102" spans="27:30" x14ac:dyDescent="0.3">
      <c r="AA2102">
        <f t="shared" si="128"/>
        <v>0</v>
      </c>
      <c r="AB2102">
        <f t="shared" si="129"/>
        <v>0</v>
      </c>
      <c r="AC2102">
        <f t="shared" si="130"/>
        <v>0</v>
      </c>
      <c r="AD2102">
        <f t="shared" si="131"/>
        <v>0</v>
      </c>
    </row>
    <row r="2103" spans="27:30" x14ac:dyDescent="0.3">
      <c r="AA2103">
        <f t="shared" si="128"/>
        <v>0</v>
      </c>
      <c r="AB2103">
        <f t="shared" si="129"/>
        <v>0</v>
      </c>
      <c r="AC2103">
        <f t="shared" si="130"/>
        <v>0</v>
      </c>
      <c r="AD2103">
        <f t="shared" si="131"/>
        <v>0</v>
      </c>
    </row>
    <row r="2104" spans="27:30" x14ac:dyDescent="0.3">
      <c r="AA2104">
        <f t="shared" si="128"/>
        <v>0</v>
      </c>
      <c r="AB2104">
        <f t="shared" si="129"/>
        <v>0</v>
      </c>
      <c r="AC2104">
        <f t="shared" si="130"/>
        <v>0</v>
      </c>
      <c r="AD2104">
        <f t="shared" si="131"/>
        <v>0</v>
      </c>
    </row>
    <row r="2105" spans="27:30" x14ac:dyDescent="0.3">
      <c r="AA2105">
        <f t="shared" si="128"/>
        <v>0</v>
      </c>
      <c r="AB2105">
        <f t="shared" si="129"/>
        <v>0</v>
      </c>
      <c r="AC2105">
        <f t="shared" si="130"/>
        <v>0</v>
      </c>
      <c r="AD2105">
        <f t="shared" si="131"/>
        <v>0</v>
      </c>
    </row>
    <row r="2106" spans="27:30" x14ac:dyDescent="0.3">
      <c r="AA2106">
        <f t="shared" si="128"/>
        <v>0</v>
      </c>
      <c r="AB2106">
        <f t="shared" si="129"/>
        <v>0</v>
      </c>
      <c r="AC2106">
        <f t="shared" si="130"/>
        <v>0</v>
      </c>
      <c r="AD2106">
        <f t="shared" si="131"/>
        <v>0</v>
      </c>
    </row>
    <row r="2107" spans="27:30" x14ac:dyDescent="0.3">
      <c r="AA2107">
        <f t="shared" si="128"/>
        <v>0</v>
      </c>
      <c r="AB2107">
        <f t="shared" si="129"/>
        <v>0</v>
      </c>
      <c r="AC2107">
        <f t="shared" si="130"/>
        <v>0</v>
      </c>
      <c r="AD2107">
        <f t="shared" si="131"/>
        <v>0</v>
      </c>
    </row>
    <row r="2108" spans="27:30" x14ac:dyDescent="0.3">
      <c r="AA2108">
        <f t="shared" si="128"/>
        <v>0</v>
      </c>
      <c r="AB2108">
        <f t="shared" si="129"/>
        <v>0</v>
      </c>
      <c r="AC2108">
        <f t="shared" si="130"/>
        <v>0</v>
      </c>
      <c r="AD2108">
        <f t="shared" si="131"/>
        <v>0</v>
      </c>
    </row>
    <row r="2109" spans="27:30" x14ac:dyDescent="0.3">
      <c r="AA2109">
        <f t="shared" si="128"/>
        <v>0</v>
      </c>
      <c r="AB2109">
        <f t="shared" si="129"/>
        <v>0</v>
      </c>
      <c r="AC2109">
        <f t="shared" si="130"/>
        <v>0</v>
      </c>
      <c r="AD2109">
        <f t="shared" si="131"/>
        <v>0</v>
      </c>
    </row>
    <row r="2110" spans="27:30" x14ac:dyDescent="0.3">
      <c r="AA2110">
        <f t="shared" si="128"/>
        <v>0</v>
      </c>
      <c r="AB2110">
        <f t="shared" si="129"/>
        <v>0</v>
      </c>
      <c r="AC2110">
        <f t="shared" si="130"/>
        <v>0</v>
      </c>
      <c r="AD2110">
        <f t="shared" si="131"/>
        <v>0</v>
      </c>
    </row>
    <row r="2111" spans="27:30" x14ac:dyDescent="0.3">
      <c r="AA2111">
        <f t="shared" si="128"/>
        <v>0</v>
      </c>
      <c r="AB2111">
        <f t="shared" si="129"/>
        <v>0</v>
      </c>
      <c r="AC2111">
        <f t="shared" si="130"/>
        <v>0</v>
      </c>
      <c r="AD2111">
        <f t="shared" si="131"/>
        <v>0</v>
      </c>
    </row>
    <row r="2112" spans="27:30" x14ac:dyDescent="0.3">
      <c r="AA2112">
        <f t="shared" si="128"/>
        <v>0</v>
      </c>
      <c r="AB2112">
        <f t="shared" si="129"/>
        <v>0</v>
      </c>
      <c r="AC2112">
        <f t="shared" si="130"/>
        <v>0</v>
      </c>
      <c r="AD2112">
        <f t="shared" si="131"/>
        <v>0</v>
      </c>
    </row>
    <row r="2113" spans="27:30" x14ac:dyDescent="0.3">
      <c r="AA2113">
        <f t="shared" si="128"/>
        <v>0</v>
      </c>
      <c r="AB2113">
        <f t="shared" si="129"/>
        <v>0</v>
      </c>
      <c r="AC2113">
        <f t="shared" si="130"/>
        <v>0</v>
      </c>
      <c r="AD2113">
        <f t="shared" si="131"/>
        <v>0</v>
      </c>
    </row>
    <row r="2114" spans="27:30" x14ac:dyDescent="0.3">
      <c r="AA2114">
        <f t="shared" si="128"/>
        <v>0</v>
      </c>
      <c r="AB2114">
        <f t="shared" si="129"/>
        <v>0</v>
      </c>
      <c r="AC2114">
        <f t="shared" si="130"/>
        <v>0</v>
      </c>
      <c r="AD2114">
        <f t="shared" si="131"/>
        <v>0</v>
      </c>
    </row>
    <row r="2115" spans="27:30" x14ac:dyDescent="0.3">
      <c r="AA2115">
        <f t="shared" si="128"/>
        <v>0</v>
      </c>
      <c r="AB2115">
        <f t="shared" si="129"/>
        <v>0</v>
      </c>
      <c r="AC2115">
        <f t="shared" si="130"/>
        <v>0</v>
      </c>
      <c r="AD2115">
        <f t="shared" si="131"/>
        <v>0</v>
      </c>
    </row>
    <row r="2116" spans="27:30" x14ac:dyDescent="0.3">
      <c r="AA2116">
        <f t="shared" si="128"/>
        <v>0</v>
      </c>
      <c r="AB2116">
        <f t="shared" si="129"/>
        <v>0</v>
      </c>
      <c r="AC2116">
        <f t="shared" si="130"/>
        <v>0</v>
      </c>
      <c r="AD2116">
        <f t="shared" si="131"/>
        <v>0</v>
      </c>
    </row>
    <row r="2117" spans="27:30" x14ac:dyDescent="0.3">
      <c r="AA2117">
        <f t="shared" ref="AA2117:AA2180" si="132">ROUND(Z2117,0)</f>
        <v>0</v>
      </c>
      <c r="AB2117">
        <f t="shared" ref="AB2117:AB2180" si="133">IF(AA2117=Y2117,0,1)</f>
        <v>0</v>
      </c>
      <c r="AC2117">
        <f t="shared" ref="AC2117:AC2180" si="134">IF(AA2117&lt;Y2117+5,IF(AA2117&gt;Y2117-5,0,1),1)</f>
        <v>0</v>
      </c>
      <c r="AD2117">
        <f t="shared" ref="AD2117:AD2180" si="135">IF(AA2117&lt;Y2117+10,IF(AA2117&gt;Y2117-10,0,1),1)</f>
        <v>0</v>
      </c>
    </row>
    <row r="2118" spans="27:30" x14ac:dyDescent="0.3">
      <c r="AA2118">
        <f t="shared" si="132"/>
        <v>0</v>
      </c>
      <c r="AB2118">
        <f t="shared" si="133"/>
        <v>0</v>
      </c>
      <c r="AC2118">
        <f t="shared" si="134"/>
        <v>0</v>
      </c>
      <c r="AD2118">
        <f t="shared" si="135"/>
        <v>0</v>
      </c>
    </row>
    <row r="2119" spans="27:30" x14ac:dyDescent="0.3">
      <c r="AA2119">
        <f t="shared" si="132"/>
        <v>0</v>
      </c>
      <c r="AB2119">
        <f t="shared" si="133"/>
        <v>0</v>
      </c>
      <c r="AC2119">
        <f t="shared" si="134"/>
        <v>0</v>
      </c>
      <c r="AD2119">
        <f t="shared" si="135"/>
        <v>0</v>
      </c>
    </row>
    <row r="2120" spans="27:30" x14ac:dyDescent="0.3">
      <c r="AA2120">
        <f t="shared" si="132"/>
        <v>0</v>
      </c>
      <c r="AB2120">
        <f t="shared" si="133"/>
        <v>0</v>
      </c>
      <c r="AC2120">
        <f t="shared" si="134"/>
        <v>0</v>
      </c>
      <c r="AD2120">
        <f t="shared" si="135"/>
        <v>0</v>
      </c>
    </row>
    <row r="2121" spans="27:30" x14ac:dyDescent="0.3">
      <c r="AA2121">
        <f t="shared" si="132"/>
        <v>0</v>
      </c>
      <c r="AB2121">
        <f t="shared" si="133"/>
        <v>0</v>
      </c>
      <c r="AC2121">
        <f t="shared" si="134"/>
        <v>0</v>
      </c>
      <c r="AD2121">
        <f t="shared" si="135"/>
        <v>0</v>
      </c>
    </row>
    <row r="2122" spans="27:30" x14ac:dyDescent="0.3">
      <c r="AA2122">
        <f t="shared" si="132"/>
        <v>0</v>
      </c>
      <c r="AB2122">
        <f t="shared" si="133"/>
        <v>0</v>
      </c>
      <c r="AC2122">
        <f t="shared" si="134"/>
        <v>0</v>
      </c>
      <c r="AD2122">
        <f t="shared" si="135"/>
        <v>0</v>
      </c>
    </row>
    <row r="2123" spans="27:30" x14ac:dyDescent="0.3">
      <c r="AA2123">
        <f t="shared" si="132"/>
        <v>0</v>
      </c>
      <c r="AB2123">
        <f t="shared" si="133"/>
        <v>0</v>
      </c>
      <c r="AC2123">
        <f t="shared" si="134"/>
        <v>0</v>
      </c>
      <c r="AD2123">
        <f t="shared" si="135"/>
        <v>0</v>
      </c>
    </row>
    <row r="2124" spans="27:30" x14ac:dyDescent="0.3">
      <c r="AA2124">
        <f t="shared" si="132"/>
        <v>0</v>
      </c>
      <c r="AB2124">
        <f t="shared" si="133"/>
        <v>0</v>
      </c>
      <c r="AC2124">
        <f t="shared" si="134"/>
        <v>0</v>
      </c>
      <c r="AD2124">
        <f t="shared" si="135"/>
        <v>0</v>
      </c>
    </row>
    <row r="2125" spans="27:30" x14ac:dyDescent="0.3">
      <c r="AA2125">
        <f t="shared" si="132"/>
        <v>0</v>
      </c>
      <c r="AB2125">
        <f t="shared" si="133"/>
        <v>0</v>
      </c>
      <c r="AC2125">
        <f t="shared" si="134"/>
        <v>0</v>
      </c>
      <c r="AD2125">
        <f t="shared" si="135"/>
        <v>0</v>
      </c>
    </row>
    <row r="2126" spans="27:30" x14ac:dyDescent="0.3">
      <c r="AA2126">
        <f t="shared" si="132"/>
        <v>0</v>
      </c>
      <c r="AB2126">
        <f t="shared" si="133"/>
        <v>0</v>
      </c>
      <c r="AC2126">
        <f t="shared" si="134"/>
        <v>0</v>
      </c>
      <c r="AD2126">
        <f t="shared" si="135"/>
        <v>0</v>
      </c>
    </row>
    <row r="2127" spans="27:30" x14ac:dyDescent="0.3">
      <c r="AA2127">
        <f t="shared" si="132"/>
        <v>0</v>
      </c>
      <c r="AB2127">
        <f t="shared" si="133"/>
        <v>0</v>
      </c>
      <c r="AC2127">
        <f t="shared" si="134"/>
        <v>0</v>
      </c>
      <c r="AD2127">
        <f t="shared" si="135"/>
        <v>0</v>
      </c>
    </row>
    <row r="2128" spans="27:30" x14ac:dyDescent="0.3">
      <c r="AA2128">
        <f t="shared" si="132"/>
        <v>0</v>
      </c>
      <c r="AB2128">
        <f t="shared" si="133"/>
        <v>0</v>
      </c>
      <c r="AC2128">
        <f t="shared" si="134"/>
        <v>0</v>
      </c>
      <c r="AD2128">
        <f t="shared" si="135"/>
        <v>0</v>
      </c>
    </row>
    <row r="2129" spans="27:30" x14ac:dyDescent="0.3">
      <c r="AA2129">
        <f t="shared" si="132"/>
        <v>0</v>
      </c>
      <c r="AB2129">
        <f t="shared" si="133"/>
        <v>0</v>
      </c>
      <c r="AC2129">
        <f t="shared" si="134"/>
        <v>0</v>
      </c>
      <c r="AD2129">
        <f t="shared" si="135"/>
        <v>0</v>
      </c>
    </row>
    <row r="2130" spans="27:30" x14ac:dyDescent="0.3">
      <c r="AA2130">
        <f t="shared" si="132"/>
        <v>0</v>
      </c>
      <c r="AB2130">
        <f t="shared" si="133"/>
        <v>0</v>
      </c>
      <c r="AC2130">
        <f t="shared" si="134"/>
        <v>0</v>
      </c>
      <c r="AD2130">
        <f t="shared" si="135"/>
        <v>0</v>
      </c>
    </row>
    <row r="2131" spans="27:30" x14ac:dyDescent="0.3">
      <c r="AA2131">
        <f t="shared" si="132"/>
        <v>0</v>
      </c>
      <c r="AB2131">
        <f t="shared" si="133"/>
        <v>0</v>
      </c>
      <c r="AC2131">
        <f t="shared" si="134"/>
        <v>0</v>
      </c>
      <c r="AD2131">
        <f t="shared" si="135"/>
        <v>0</v>
      </c>
    </row>
    <row r="2132" spans="27:30" x14ac:dyDescent="0.3">
      <c r="AA2132">
        <f t="shared" si="132"/>
        <v>0</v>
      </c>
      <c r="AB2132">
        <f t="shared" si="133"/>
        <v>0</v>
      </c>
      <c r="AC2132">
        <f t="shared" si="134"/>
        <v>0</v>
      </c>
      <c r="AD2132">
        <f t="shared" si="135"/>
        <v>0</v>
      </c>
    </row>
    <row r="2133" spans="27:30" x14ac:dyDescent="0.3">
      <c r="AA2133">
        <f t="shared" si="132"/>
        <v>0</v>
      </c>
      <c r="AB2133">
        <f t="shared" si="133"/>
        <v>0</v>
      </c>
      <c r="AC2133">
        <f t="shared" si="134"/>
        <v>0</v>
      </c>
      <c r="AD2133">
        <f t="shared" si="135"/>
        <v>0</v>
      </c>
    </row>
    <row r="2134" spans="27:30" x14ac:dyDescent="0.3">
      <c r="AA2134">
        <f t="shared" si="132"/>
        <v>0</v>
      </c>
      <c r="AB2134">
        <f t="shared" si="133"/>
        <v>0</v>
      </c>
      <c r="AC2134">
        <f t="shared" si="134"/>
        <v>0</v>
      </c>
      <c r="AD2134">
        <f t="shared" si="135"/>
        <v>0</v>
      </c>
    </row>
    <row r="2135" spans="27:30" x14ac:dyDescent="0.3">
      <c r="AA2135">
        <f t="shared" si="132"/>
        <v>0</v>
      </c>
      <c r="AB2135">
        <f t="shared" si="133"/>
        <v>0</v>
      </c>
      <c r="AC2135">
        <f t="shared" si="134"/>
        <v>0</v>
      </c>
      <c r="AD2135">
        <f t="shared" si="135"/>
        <v>0</v>
      </c>
    </row>
    <row r="2136" spans="27:30" x14ac:dyDescent="0.3">
      <c r="AA2136">
        <f t="shared" si="132"/>
        <v>0</v>
      </c>
      <c r="AB2136">
        <f t="shared" si="133"/>
        <v>0</v>
      </c>
      <c r="AC2136">
        <f t="shared" si="134"/>
        <v>0</v>
      </c>
      <c r="AD2136">
        <f t="shared" si="135"/>
        <v>0</v>
      </c>
    </row>
    <row r="2137" spans="27:30" x14ac:dyDescent="0.3">
      <c r="AA2137">
        <f t="shared" si="132"/>
        <v>0</v>
      </c>
      <c r="AB2137">
        <f t="shared" si="133"/>
        <v>0</v>
      </c>
      <c r="AC2137">
        <f t="shared" si="134"/>
        <v>0</v>
      </c>
      <c r="AD2137">
        <f t="shared" si="135"/>
        <v>0</v>
      </c>
    </row>
    <row r="2138" spans="27:30" x14ac:dyDescent="0.3">
      <c r="AA2138">
        <f t="shared" si="132"/>
        <v>0</v>
      </c>
      <c r="AB2138">
        <f t="shared" si="133"/>
        <v>0</v>
      </c>
      <c r="AC2138">
        <f t="shared" si="134"/>
        <v>0</v>
      </c>
      <c r="AD2138">
        <f t="shared" si="135"/>
        <v>0</v>
      </c>
    </row>
    <row r="2139" spans="27:30" x14ac:dyDescent="0.3">
      <c r="AA2139">
        <f t="shared" si="132"/>
        <v>0</v>
      </c>
      <c r="AB2139">
        <f t="shared" si="133"/>
        <v>0</v>
      </c>
      <c r="AC2139">
        <f t="shared" si="134"/>
        <v>0</v>
      </c>
      <c r="AD2139">
        <f t="shared" si="135"/>
        <v>0</v>
      </c>
    </row>
    <row r="2140" spans="27:30" x14ac:dyDescent="0.3">
      <c r="AA2140">
        <f t="shared" si="132"/>
        <v>0</v>
      </c>
      <c r="AB2140">
        <f t="shared" si="133"/>
        <v>0</v>
      </c>
      <c r="AC2140">
        <f t="shared" si="134"/>
        <v>0</v>
      </c>
      <c r="AD2140">
        <f t="shared" si="135"/>
        <v>0</v>
      </c>
    </row>
    <row r="2141" spans="27:30" x14ac:dyDescent="0.3">
      <c r="AA2141">
        <f t="shared" si="132"/>
        <v>0</v>
      </c>
      <c r="AB2141">
        <f t="shared" si="133"/>
        <v>0</v>
      </c>
      <c r="AC2141">
        <f t="shared" si="134"/>
        <v>0</v>
      </c>
      <c r="AD2141">
        <f t="shared" si="135"/>
        <v>0</v>
      </c>
    </row>
    <row r="2142" spans="27:30" x14ac:dyDescent="0.3">
      <c r="AA2142">
        <f t="shared" si="132"/>
        <v>0</v>
      </c>
      <c r="AB2142">
        <f t="shared" si="133"/>
        <v>0</v>
      </c>
      <c r="AC2142">
        <f t="shared" si="134"/>
        <v>0</v>
      </c>
      <c r="AD2142">
        <f t="shared" si="135"/>
        <v>0</v>
      </c>
    </row>
    <row r="2143" spans="27:30" x14ac:dyDescent="0.3">
      <c r="AA2143">
        <f t="shared" si="132"/>
        <v>0</v>
      </c>
      <c r="AB2143">
        <f t="shared" si="133"/>
        <v>0</v>
      </c>
      <c r="AC2143">
        <f t="shared" si="134"/>
        <v>0</v>
      </c>
      <c r="AD2143">
        <f t="shared" si="135"/>
        <v>0</v>
      </c>
    </row>
    <row r="2144" spans="27:30" x14ac:dyDescent="0.3">
      <c r="AA2144">
        <f t="shared" si="132"/>
        <v>0</v>
      </c>
      <c r="AB2144">
        <f t="shared" si="133"/>
        <v>0</v>
      </c>
      <c r="AC2144">
        <f t="shared" si="134"/>
        <v>0</v>
      </c>
      <c r="AD2144">
        <f t="shared" si="135"/>
        <v>0</v>
      </c>
    </row>
    <row r="2145" spans="27:30" x14ac:dyDescent="0.3">
      <c r="AA2145">
        <f t="shared" si="132"/>
        <v>0</v>
      </c>
      <c r="AB2145">
        <f t="shared" si="133"/>
        <v>0</v>
      </c>
      <c r="AC2145">
        <f t="shared" si="134"/>
        <v>0</v>
      </c>
      <c r="AD2145">
        <f t="shared" si="135"/>
        <v>0</v>
      </c>
    </row>
    <row r="2146" spans="27:30" x14ac:dyDescent="0.3">
      <c r="AA2146">
        <f t="shared" si="132"/>
        <v>0</v>
      </c>
      <c r="AB2146">
        <f t="shared" si="133"/>
        <v>0</v>
      </c>
      <c r="AC2146">
        <f t="shared" si="134"/>
        <v>0</v>
      </c>
      <c r="AD2146">
        <f t="shared" si="135"/>
        <v>0</v>
      </c>
    </row>
    <row r="2147" spans="27:30" x14ac:dyDescent="0.3">
      <c r="AA2147">
        <f t="shared" si="132"/>
        <v>0</v>
      </c>
      <c r="AB2147">
        <f t="shared" si="133"/>
        <v>0</v>
      </c>
      <c r="AC2147">
        <f t="shared" si="134"/>
        <v>0</v>
      </c>
      <c r="AD2147">
        <f t="shared" si="135"/>
        <v>0</v>
      </c>
    </row>
    <row r="2148" spans="27:30" x14ac:dyDescent="0.3">
      <c r="AA2148">
        <f t="shared" si="132"/>
        <v>0</v>
      </c>
      <c r="AB2148">
        <f t="shared" si="133"/>
        <v>0</v>
      </c>
      <c r="AC2148">
        <f t="shared" si="134"/>
        <v>0</v>
      </c>
      <c r="AD2148">
        <f t="shared" si="135"/>
        <v>0</v>
      </c>
    </row>
    <row r="2149" spans="27:30" x14ac:dyDescent="0.3">
      <c r="AA2149">
        <f t="shared" si="132"/>
        <v>0</v>
      </c>
      <c r="AB2149">
        <f t="shared" si="133"/>
        <v>0</v>
      </c>
      <c r="AC2149">
        <f t="shared" si="134"/>
        <v>0</v>
      </c>
      <c r="AD2149">
        <f t="shared" si="135"/>
        <v>0</v>
      </c>
    </row>
    <row r="2150" spans="27:30" x14ac:dyDescent="0.3">
      <c r="AA2150">
        <f t="shared" si="132"/>
        <v>0</v>
      </c>
      <c r="AB2150">
        <f t="shared" si="133"/>
        <v>0</v>
      </c>
      <c r="AC2150">
        <f t="shared" si="134"/>
        <v>0</v>
      </c>
      <c r="AD2150">
        <f t="shared" si="135"/>
        <v>0</v>
      </c>
    </row>
    <row r="2151" spans="27:30" x14ac:dyDescent="0.3">
      <c r="AA2151">
        <f t="shared" si="132"/>
        <v>0</v>
      </c>
      <c r="AB2151">
        <f t="shared" si="133"/>
        <v>0</v>
      </c>
      <c r="AC2151">
        <f t="shared" si="134"/>
        <v>0</v>
      </c>
      <c r="AD2151">
        <f t="shared" si="135"/>
        <v>0</v>
      </c>
    </row>
    <row r="2152" spans="27:30" x14ac:dyDescent="0.3">
      <c r="AA2152">
        <f t="shared" si="132"/>
        <v>0</v>
      </c>
      <c r="AB2152">
        <f t="shared" si="133"/>
        <v>0</v>
      </c>
      <c r="AC2152">
        <f t="shared" si="134"/>
        <v>0</v>
      </c>
      <c r="AD2152">
        <f t="shared" si="135"/>
        <v>0</v>
      </c>
    </row>
    <row r="2153" spans="27:30" x14ac:dyDescent="0.3">
      <c r="AA2153">
        <f t="shared" si="132"/>
        <v>0</v>
      </c>
      <c r="AB2153">
        <f t="shared" si="133"/>
        <v>0</v>
      </c>
      <c r="AC2153">
        <f t="shared" si="134"/>
        <v>0</v>
      </c>
      <c r="AD2153">
        <f t="shared" si="135"/>
        <v>0</v>
      </c>
    </row>
    <row r="2154" spans="27:30" x14ac:dyDescent="0.3">
      <c r="AA2154">
        <f t="shared" si="132"/>
        <v>0</v>
      </c>
      <c r="AB2154">
        <f t="shared" si="133"/>
        <v>0</v>
      </c>
      <c r="AC2154">
        <f t="shared" si="134"/>
        <v>0</v>
      </c>
      <c r="AD2154">
        <f t="shared" si="135"/>
        <v>0</v>
      </c>
    </row>
    <row r="2155" spans="27:30" x14ac:dyDescent="0.3">
      <c r="AA2155">
        <f t="shared" si="132"/>
        <v>0</v>
      </c>
      <c r="AB2155">
        <f t="shared" si="133"/>
        <v>0</v>
      </c>
      <c r="AC2155">
        <f t="shared" si="134"/>
        <v>0</v>
      </c>
      <c r="AD2155">
        <f t="shared" si="135"/>
        <v>0</v>
      </c>
    </row>
    <row r="2156" spans="27:30" x14ac:dyDescent="0.3">
      <c r="AA2156">
        <f t="shared" si="132"/>
        <v>0</v>
      </c>
      <c r="AB2156">
        <f t="shared" si="133"/>
        <v>0</v>
      </c>
      <c r="AC2156">
        <f t="shared" si="134"/>
        <v>0</v>
      </c>
      <c r="AD2156">
        <f t="shared" si="135"/>
        <v>0</v>
      </c>
    </row>
    <row r="2157" spans="27:30" x14ac:dyDescent="0.3">
      <c r="AA2157">
        <f t="shared" si="132"/>
        <v>0</v>
      </c>
      <c r="AB2157">
        <f t="shared" si="133"/>
        <v>0</v>
      </c>
      <c r="AC2157">
        <f t="shared" si="134"/>
        <v>0</v>
      </c>
      <c r="AD2157">
        <f t="shared" si="135"/>
        <v>0</v>
      </c>
    </row>
    <row r="2158" spans="27:30" x14ac:dyDescent="0.3">
      <c r="AA2158">
        <f t="shared" si="132"/>
        <v>0</v>
      </c>
      <c r="AB2158">
        <f t="shared" si="133"/>
        <v>0</v>
      </c>
      <c r="AC2158">
        <f t="shared" si="134"/>
        <v>0</v>
      </c>
      <c r="AD2158">
        <f t="shared" si="135"/>
        <v>0</v>
      </c>
    </row>
    <row r="2159" spans="27:30" x14ac:dyDescent="0.3">
      <c r="AA2159">
        <f t="shared" si="132"/>
        <v>0</v>
      </c>
      <c r="AB2159">
        <f t="shared" si="133"/>
        <v>0</v>
      </c>
      <c r="AC2159">
        <f t="shared" si="134"/>
        <v>0</v>
      </c>
      <c r="AD2159">
        <f t="shared" si="135"/>
        <v>0</v>
      </c>
    </row>
    <row r="2160" spans="27:30" x14ac:dyDescent="0.3">
      <c r="AA2160">
        <f t="shared" si="132"/>
        <v>0</v>
      </c>
      <c r="AB2160">
        <f t="shared" si="133"/>
        <v>0</v>
      </c>
      <c r="AC2160">
        <f t="shared" si="134"/>
        <v>0</v>
      </c>
      <c r="AD2160">
        <f t="shared" si="135"/>
        <v>0</v>
      </c>
    </row>
    <row r="2161" spans="27:30" x14ac:dyDescent="0.3">
      <c r="AA2161">
        <f t="shared" si="132"/>
        <v>0</v>
      </c>
      <c r="AB2161">
        <f t="shared" si="133"/>
        <v>0</v>
      </c>
      <c r="AC2161">
        <f t="shared" si="134"/>
        <v>0</v>
      </c>
      <c r="AD2161">
        <f t="shared" si="135"/>
        <v>0</v>
      </c>
    </row>
    <row r="2162" spans="27:30" x14ac:dyDescent="0.3">
      <c r="AA2162">
        <f t="shared" si="132"/>
        <v>0</v>
      </c>
      <c r="AB2162">
        <f t="shared" si="133"/>
        <v>0</v>
      </c>
      <c r="AC2162">
        <f t="shared" si="134"/>
        <v>0</v>
      </c>
      <c r="AD2162">
        <f t="shared" si="135"/>
        <v>0</v>
      </c>
    </row>
    <row r="2163" spans="27:30" x14ac:dyDescent="0.3">
      <c r="AA2163">
        <f t="shared" si="132"/>
        <v>0</v>
      </c>
      <c r="AB2163">
        <f t="shared" si="133"/>
        <v>0</v>
      </c>
      <c r="AC2163">
        <f t="shared" si="134"/>
        <v>0</v>
      </c>
      <c r="AD2163">
        <f t="shared" si="135"/>
        <v>0</v>
      </c>
    </row>
    <row r="2164" spans="27:30" x14ac:dyDescent="0.3">
      <c r="AA2164">
        <f t="shared" si="132"/>
        <v>0</v>
      </c>
      <c r="AB2164">
        <f t="shared" si="133"/>
        <v>0</v>
      </c>
      <c r="AC2164">
        <f t="shared" si="134"/>
        <v>0</v>
      </c>
      <c r="AD2164">
        <f t="shared" si="135"/>
        <v>0</v>
      </c>
    </row>
    <row r="2165" spans="27:30" x14ac:dyDescent="0.3">
      <c r="AA2165">
        <f t="shared" si="132"/>
        <v>0</v>
      </c>
      <c r="AB2165">
        <f t="shared" si="133"/>
        <v>0</v>
      </c>
      <c r="AC2165">
        <f t="shared" si="134"/>
        <v>0</v>
      </c>
      <c r="AD2165">
        <f t="shared" si="135"/>
        <v>0</v>
      </c>
    </row>
    <row r="2166" spans="27:30" x14ac:dyDescent="0.3">
      <c r="AA2166">
        <f t="shared" si="132"/>
        <v>0</v>
      </c>
      <c r="AB2166">
        <f t="shared" si="133"/>
        <v>0</v>
      </c>
      <c r="AC2166">
        <f t="shared" si="134"/>
        <v>0</v>
      </c>
      <c r="AD2166">
        <f t="shared" si="135"/>
        <v>0</v>
      </c>
    </row>
    <row r="2167" spans="27:30" x14ac:dyDescent="0.3">
      <c r="AA2167">
        <f t="shared" si="132"/>
        <v>0</v>
      </c>
      <c r="AB2167">
        <f t="shared" si="133"/>
        <v>0</v>
      </c>
      <c r="AC2167">
        <f t="shared" si="134"/>
        <v>0</v>
      </c>
      <c r="AD2167">
        <f t="shared" si="135"/>
        <v>0</v>
      </c>
    </row>
    <row r="2168" spans="27:30" x14ac:dyDescent="0.3">
      <c r="AA2168">
        <f t="shared" si="132"/>
        <v>0</v>
      </c>
      <c r="AB2168">
        <f t="shared" si="133"/>
        <v>0</v>
      </c>
      <c r="AC2168">
        <f t="shared" si="134"/>
        <v>0</v>
      </c>
      <c r="AD2168">
        <f t="shared" si="135"/>
        <v>0</v>
      </c>
    </row>
    <row r="2169" spans="27:30" x14ac:dyDescent="0.3">
      <c r="AA2169">
        <f t="shared" si="132"/>
        <v>0</v>
      </c>
      <c r="AB2169">
        <f t="shared" si="133"/>
        <v>0</v>
      </c>
      <c r="AC2169">
        <f t="shared" si="134"/>
        <v>0</v>
      </c>
      <c r="AD2169">
        <f t="shared" si="135"/>
        <v>0</v>
      </c>
    </row>
    <row r="2170" spans="27:30" x14ac:dyDescent="0.3">
      <c r="AA2170">
        <f t="shared" si="132"/>
        <v>0</v>
      </c>
      <c r="AB2170">
        <f t="shared" si="133"/>
        <v>0</v>
      </c>
      <c r="AC2170">
        <f t="shared" si="134"/>
        <v>0</v>
      </c>
      <c r="AD2170">
        <f t="shared" si="135"/>
        <v>0</v>
      </c>
    </row>
    <row r="2171" spans="27:30" x14ac:dyDescent="0.3">
      <c r="AA2171">
        <f t="shared" si="132"/>
        <v>0</v>
      </c>
      <c r="AB2171">
        <f t="shared" si="133"/>
        <v>0</v>
      </c>
      <c r="AC2171">
        <f t="shared" si="134"/>
        <v>0</v>
      </c>
      <c r="AD2171">
        <f t="shared" si="135"/>
        <v>0</v>
      </c>
    </row>
    <row r="2172" spans="27:30" x14ac:dyDescent="0.3">
      <c r="AA2172">
        <f t="shared" si="132"/>
        <v>0</v>
      </c>
      <c r="AB2172">
        <f t="shared" si="133"/>
        <v>0</v>
      </c>
      <c r="AC2172">
        <f t="shared" si="134"/>
        <v>0</v>
      </c>
      <c r="AD2172">
        <f t="shared" si="135"/>
        <v>0</v>
      </c>
    </row>
    <row r="2173" spans="27:30" x14ac:dyDescent="0.3">
      <c r="AA2173">
        <f t="shared" si="132"/>
        <v>0</v>
      </c>
      <c r="AB2173">
        <f t="shared" si="133"/>
        <v>0</v>
      </c>
      <c r="AC2173">
        <f t="shared" si="134"/>
        <v>0</v>
      </c>
      <c r="AD2173">
        <f t="shared" si="135"/>
        <v>0</v>
      </c>
    </row>
    <row r="2174" spans="27:30" x14ac:dyDescent="0.3">
      <c r="AA2174">
        <f t="shared" si="132"/>
        <v>0</v>
      </c>
      <c r="AB2174">
        <f t="shared" si="133"/>
        <v>0</v>
      </c>
      <c r="AC2174">
        <f t="shared" si="134"/>
        <v>0</v>
      </c>
      <c r="AD2174">
        <f t="shared" si="135"/>
        <v>0</v>
      </c>
    </row>
    <row r="2175" spans="27:30" x14ac:dyDescent="0.3">
      <c r="AA2175">
        <f t="shared" si="132"/>
        <v>0</v>
      </c>
      <c r="AB2175">
        <f t="shared" si="133"/>
        <v>0</v>
      </c>
      <c r="AC2175">
        <f t="shared" si="134"/>
        <v>0</v>
      </c>
      <c r="AD2175">
        <f t="shared" si="135"/>
        <v>0</v>
      </c>
    </row>
    <row r="2176" spans="27:30" x14ac:dyDescent="0.3">
      <c r="AA2176">
        <f t="shared" si="132"/>
        <v>0</v>
      </c>
      <c r="AB2176">
        <f t="shared" si="133"/>
        <v>0</v>
      </c>
      <c r="AC2176">
        <f t="shared" si="134"/>
        <v>0</v>
      </c>
      <c r="AD2176">
        <f t="shared" si="135"/>
        <v>0</v>
      </c>
    </row>
    <row r="2177" spans="27:30" x14ac:dyDescent="0.3">
      <c r="AA2177">
        <f t="shared" si="132"/>
        <v>0</v>
      </c>
      <c r="AB2177">
        <f t="shared" si="133"/>
        <v>0</v>
      </c>
      <c r="AC2177">
        <f t="shared" si="134"/>
        <v>0</v>
      </c>
      <c r="AD2177">
        <f t="shared" si="135"/>
        <v>0</v>
      </c>
    </row>
    <row r="2178" spans="27:30" x14ac:dyDescent="0.3">
      <c r="AA2178">
        <f t="shared" si="132"/>
        <v>0</v>
      </c>
      <c r="AB2178">
        <f t="shared" si="133"/>
        <v>0</v>
      </c>
      <c r="AC2178">
        <f t="shared" si="134"/>
        <v>0</v>
      </c>
      <c r="AD2178">
        <f t="shared" si="135"/>
        <v>0</v>
      </c>
    </row>
    <row r="2179" spans="27:30" x14ac:dyDescent="0.3">
      <c r="AA2179">
        <f t="shared" si="132"/>
        <v>0</v>
      </c>
      <c r="AB2179">
        <f t="shared" si="133"/>
        <v>0</v>
      </c>
      <c r="AC2179">
        <f t="shared" si="134"/>
        <v>0</v>
      </c>
      <c r="AD2179">
        <f t="shared" si="135"/>
        <v>0</v>
      </c>
    </row>
    <row r="2180" spans="27:30" x14ac:dyDescent="0.3">
      <c r="AA2180">
        <f t="shared" si="132"/>
        <v>0</v>
      </c>
      <c r="AB2180">
        <f t="shared" si="133"/>
        <v>0</v>
      </c>
      <c r="AC2180">
        <f t="shared" si="134"/>
        <v>0</v>
      </c>
      <c r="AD2180">
        <f t="shared" si="135"/>
        <v>0</v>
      </c>
    </row>
    <row r="2181" spans="27:30" x14ac:dyDescent="0.3">
      <c r="AA2181">
        <f t="shared" ref="AA2181:AA2244" si="136">ROUND(Z2181,0)</f>
        <v>0</v>
      </c>
      <c r="AB2181">
        <f t="shared" ref="AB2181:AB2244" si="137">IF(AA2181=Y2181,0,1)</f>
        <v>0</v>
      </c>
      <c r="AC2181">
        <f t="shared" ref="AC2181:AC2244" si="138">IF(AA2181&lt;Y2181+5,IF(AA2181&gt;Y2181-5,0,1),1)</f>
        <v>0</v>
      </c>
      <c r="AD2181">
        <f t="shared" ref="AD2181:AD2244" si="139">IF(AA2181&lt;Y2181+10,IF(AA2181&gt;Y2181-10,0,1),1)</f>
        <v>0</v>
      </c>
    </row>
    <row r="2182" spans="27:30" x14ac:dyDescent="0.3">
      <c r="AA2182">
        <f t="shared" si="136"/>
        <v>0</v>
      </c>
      <c r="AB2182">
        <f t="shared" si="137"/>
        <v>0</v>
      </c>
      <c r="AC2182">
        <f t="shared" si="138"/>
        <v>0</v>
      </c>
      <c r="AD2182">
        <f t="shared" si="139"/>
        <v>0</v>
      </c>
    </row>
    <row r="2183" spans="27:30" x14ac:dyDescent="0.3">
      <c r="AA2183">
        <f t="shared" si="136"/>
        <v>0</v>
      </c>
      <c r="AB2183">
        <f t="shared" si="137"/>
        <v>0</v>
      </c>
      <c r="AC2183">
        <f t="shared" si="138"/>
        <v>0</v>
      </c>
      <c r="AD2183">
        <f t="shared" si="139"/>
        <v>0</v>
      </c>
    </row>
    <row r="2184" spans="27:30" x14ac:dyDescent="0.3">
      <c r="AA2184">
        <f t="shared" si="136"/>
        <v>0</v>
      </c>
      <c r="AB2184">
        <f t="shared" si="137"/>
        <v>0</v>
      </c>
      <c r="AC2184">
        <f t="shared" si="138"/>
        <v>0</v>
      </c>
      <c r="AD2184">
        <f t="shared" si="139"/>
        <v>0</v>
      </c>
    </row>
    <row r="2185" spans="27:30" x14ac:dyDescent="0.3">
      <c r="AA2185">
        <f t="shared" si="136"/>
        <v>0</v>
      </c>
      <c r="AB2185">
        <f t="shared" si="137"/>
        <v>0</v>
      </c>
      <c r="AC2185">
        <f t="shared" si="138"/>
        <v>0</v>
      </c>
      <c r="AD2185">
        <f t="shared" si="139"/>
        <v>0</v>
      </c>
    </row>
    <row r="2186" spans="27:30" x14ac:dyDescent="0.3">
      <c r="AA2186">
        <f t="shared" si="136"/>
        <v>0</v>
      </c>
      <c r="AB2186">
        <f t="shared" si="137"/>
        <v>0</v>
      </c>
      <c r="AC2186">
        <f t="shared" si="138"/>
        <v>0</v>
      </c>
      <c r="AD2186">
        <f t="shared" si="139"/>
        <v>0</v>
      </c>
    </row>
    <row r="2187" spans="27:30" x14ac:dyDescent="0.3">
      <c r="AA2187">
        <f t="shared" si="136"/>
        <v>0</v>
      </c>
      <c r="AB2187">
        <f t="shared" si="137"/>
        <v>0</v>
      </c>
      <c r="AC2187">
        <f t="shared" si="138"/>
        <v>0</v>
      </c>
      <c r="AD2187">
        <f t="shared" si="139"/>
        <v>0</v>
      </c>
    </row>
    <row r="2188" spans="27:30" x14ac:dyDescent="0.3">
      <c r="AA2188">
        <f t="shared" si="136"/>
        <v>0</v>
      </c>
      <c r="AB2188">
        <f t="shared" si="137"/>
        <v>0</v>
      </c>
      <c r="AC2188">
        <f t="shared" si="138"/>
        <v>0</v>
      </c>
      <c r="AD2188">
        <f t="shared" si="139"/>
        <v>0</v>
      </c>
    </row>
    <row r="2189" spans="27:30" x14ac:dyDescent="0.3">
      <c r="AA2189">
        <f t="shared" si="136"/>
        <v>0</v>
      </c>
      <c r="AB2189">
        <f t="shared" si="137"/>
        <v>0</v>
      </c>
      <c r="AC2189">
        <f t="shared" si="138"/>
        <v>0</v>
      </c>
      <c r="AD2189">
        <f t="shared" si="139"/>
        <v>0</v>
      </c>
    </row>
    <row r="2190" spans="27:30" x14ac:dyDescent="0.3">
      <c r="AA2190">
        <f t="shared" si="136"/>
        <v>0</v>
      </c>
      <c r="AB2190">
        <f t="shared" si="137"/>
        <v>0</v>
      </c>
      <c r="AC2190">
        <f t="shared" si="138"/>
        <v>0</v>
      </c>
      <c r="AD2190">
        <f t="shared" si="139"/>
        <v>0</v>
      </c>
    </row>
    <row r="2191" spans="27:30" x14ac:dyDescent="0.3">
      <c r="AA2191">
        <f t="shared" si="136"/>
        <v>0</v>
      </c>
      <c r="AB2191">
        <f t="shared" si="137"/>
        <v>0</v>
      </c>
      <c r="AC2191">
        <f t="shared" si="138"/>
        <v>0</v>
      </c>
      <c r="AD2191">
        <f t="shared" si="139"/>
        <v>0</v>
      </c>
    </row>
    <row r="2192" spans="27:30" x14ac:dyDescent="0.3">
      <c r="AA2192">
        <f t="shared" si="136"/>
        <v>0</v>
      </c>
      <c r="AB2192">
        <f t="shared" si="137"/>
        <v>0</v>
      </c>
      <c r="AC2192">
        <f t="shared" si="138"/>
        <v>0</v>
      </c>
      <c r="AD2192">
        <f t="shared" si="139"/>
        <v>0</v>
      </c>
    </row>
    <row r="2193" spans="27:30" x14ac:dyDescent="0.3">
      <c r="AA2193">
        <f t="shared" si="136"/>
        <v>0</v>
      </c>
      <c r="AB2193">
        <f t="shared" si="137"/>
        <v>0</v>
      </c>
      <c r="AC2193">
        <f t="shared" si="138"/>
        <v>0</v>
      </c>
      <c r="AD2193">
        <f t="shared" si="139"/>
        <v>0</v>
      </c>
    </row>
    <row r="2194" spans="27:30" x14ac:dyDescent="0.3">
      <c r="AA2194">
        <f t="shared" si="136"/>
        <v>0</v>
      </c>
      <c r="AB2194">
        <f t="shared" si="137"/>
        <v>0</v>
      </c>
      <c r="AC2194">
        <f t="shared" si="138"/>
        <v>0</v>
      </c>
      <c r="AD2194">
        <f t="shared" si="139"/>
        <v>0</v>
      </c>
    </row>
    <row r="2195" spans="27:30" x14ac:dyDescent="0.3">
      <c r="AA2195">
        <f t="shared" si="136"/>
        <v>0</v>
      </c>
      <c r="AB2195">
        <f t="shared" si="137"/>
        <v>0</v>
      </c>
      <c r="AC2195">
        <f t="shared" si="138"/>
        <v>0</v>
      </c>
      <c r="AD2195">
        <f t="shared" si="139"/>
        <v>0</v>
      </c>
    </row>
    <row r="2196" spans="27:30" x14ac:dyDescent="0.3">
      <c r="AA2196">
        <f t="shared" si="136"/>
        <v>0</v>
      </c>
      <c r="AB2196">
        <f t="shared" si="137"/>
        <v>0</v>
      </c>
      <c r="AC2196">
        <f t="shared" si="138"/>
        <v>0</v>
      </c>
      <c r="AD2196">
        <f t="shared" si="139"/>
        <v>0</v>
      </c>
    </row>
    <row r="2197" spans="27:30" x14ac:dyDescent="0.3">
      <c r="AA2197">
        <f t="shared" si="136"/>
        <v>0</v>
      </c>
      <c r="AB2197">
        <f t="shared" si="137"/>
        <v>0</v>
      </c>
      <c r="AC2197">
        <f t="shared" si="138"/>
        <v>0</v>
      </c>
      <c r="AD2197">
        <f t="shared" si="139"/>
        <v>0</v>
      </c>
    </row>
    <row r="2198" spans="27:30" x14ac:dyDescent="0.3">
      <c r="AA2198">
        <f t="shared" si="136"/>
        <v>0</v>
      </c>
      <c r="AB2198">
        <f t="shared" si="137"/>
        <v>0</v>
      </c>
      <c r="AC2198">
        <f t="shared" si="138"/>
        <v>0</v>
      </c>
      <c r="AD2198">
        <f t="shared" si="139"/>
        <v>0</v>
      </c>
    </row>
    <row r="2199" spans="27:30" x14ac:dyDescent="0.3">
      <c r="AA2199">
        <f t="shared" si="136"/>
        <v>0</v>
      </c>
      <c r="AB2199">
        <f t="shared" si="137"/>
        <v>0</v>
      </c>
      <c r="AC2199">
        <f t="shared" si="138"/>
        <v>0</v>
      </c>
      <c r="AD2199">
        <f t="shared" si="139"/>
        <v>0</v>
      </c>
    </row>
    <row r="2200" spans="27:30" x14ac:dyDescent="0.3">
      <c r="AA2200">
        <f t="shared" si="136"/>
        <v>0</v>
      </c>
      <c r="AB2200">
        <f t="shared" si="137"/>
        <v>0</v>
      </c>
      <c r="AC2200">
        <f t="shared" si="138"/>
        <v>0</v>
      </c>
      <c r="AD2200">
        <f t="shared" si="139"/>
        <v>0</v>
      </c>
    </row>
    <row r="2201" spans="27:30" x14ac:dyDescent="0.3">
      <c r="AA2201">
        <f t="shared" si="136"/>
        <v>0</v>
      </c>
      <c r="AB2201">
        <f t="shared" si="137"/>
        <v>0</v>
      </c>
      <c r="AC2201">
        <f t="shared" si="138"/>
        <v>0</v>
      </c>
      <c r="AD2201">
        <f t="shared" si="139"/>
        <v>0</v>
      </c>
    </row>
    <row r="2202" spans="27:30" x14ac:dyDescent="0.3">
      <c r="AA2202">
        <f t="shared" si="136"/>
        <v>0</v>
      </c>
      <c r="AB2202">
        <f t="shared" si="137"/>
        <v>0</v>
      </c>
      <c r="AC2202">
        <f t="shared" si="138"/>
        <v>0</v>
      </c>
      <c r="AD2202">
        <f t="shared" si="139"/>
        <v>0</v>
      </c>
    </row>
    <row r="2203" spans="27:30" x14ac:dyDescent="0.3">
      <c r="AA2203">
        <f t="shared" si="136"/>
        <v>0</v>
      </c>
      <c r="AB2203">
        <f t="shared" si="137"/>
        <v>0</v>
      </c>
      <c r="AC2203">
        <f t="shared" si="138"/>
        <v>0</v>
      </c>
      <c r="AD2203">
        <f t="shared" si="139"/>
        <v>0</v>
      </c>
    </row>
    <row r="2204" spans="27:30" x14ac:dyDescent="0.3">
      <c r="AA2204">
        <f t="shared" si="136"/>
        <v>0</v>
      </c>
      <c r="AB2204">
        <f t="shared" si="137"/>
        <v>0</v>
      </c>
      <c r="AC2204">
        <f t="shared" si="138"/>
        <v>0</v>
      </c>
      <c r="AD2204">
        <f t="shared" si="139"/>
        <v>0</v>
      </c>
    </row>
    <row r="2205" spans="27:30" x14ac:dyDescent="0.3">
      <c r="AA2205">
        <f t="shared" si="136"/>
        <v>0</v>
      </c>
      <c r="AB2205">
        <f t="shared" si="137"/>
        <v>0</v>
      </c>
      <c r="AC2205">
        <f t="shared" si="138"/>
        <v>0</v>
      </c>
      <c r="AD2205">
        <f t="shared" si="139"/>
        <v>0</v>
      </c>
    </row>
    <row r="2206" spans="27:30" x14ac:dyDescent="0.3">
      <c r="AA2206">
        <f t="shared" si="136"/>
        <v>0</v>
      </c>
      <c r="AB2206">
        <f t="shared" si="137"/>
        <v>0</v>
      </c>
      <c r="AC2206">
        <f t="shared" si="138"/>
        <v>0</v>
      </c>
      <c r="AD2206">
        <f t="shared" si="139"/>
        <v>0</v>
      </c>
    </row>
    <row r="2207" spans="27:30" x14ac:dyDescent="0.3">
      <c r="AA2207">
        <f t="shared" si="136"/>
        <v>0</v>
      </c>
      <c r="AB2207">
        <f t="shared" si="137"/>
        <v>0</v>
      </c>
      <c r="AC2207">
        <f t="shared" si="138"/>
        <v>0</v>
      </c>
      <c r="AD2207">
        <f t="shared" si="139"/>
        <v>0</v>
      </c>
    </row>
    <row r="2208" spans="27:30" x14ac:dyDescent="0.3">
      <c r="AA2208">
        <f t="shared" si="136"/>
        <v>0</v>
      </c>
      <c r="AB2208">
        <f t="shared" si="137"/>
        <v>0</v>
      </c>
      <c r="AC2208">
        <f t="shared" si="138"/>
        <v>0</v>
      </c>
      <c r="AD2208">
        <f t="shared" si="139"/>
        <v>0</v>
      </c>
    </row>
    <row r="2209" spans="27:30" x14ac:dyDescent="0.3">
      <c r="AA2209">
        <f t="shared" si="136"/>
        <v>0</v>
      </c>
      <c r="AB2209">
        <f t="shared" si="137"/>
        <v>0</v>
      </c>
      <c r="AC2209">
        <f t="shared" si="138"/>
        <v>0</v>
      </c>
      <c r="AD2209">
        <f t="shared" si="139"/>
        <v>0</v>
      </c>
    </row>
    <row r="2210" spans="27:30" x14ac:dyDescent="0.3">
      <c r="AA2210">
        <f t="shared" si="136"/>
        <v>0</v>
      </c>
      <c r="AB2210">
        <f t="shared" si="137"/>
        <v>0</v>
      </c>
      <c r="AC2210">
        <f t="shared" si="138"/>
        <v>0</v>
      </c>
      <c r="AD2210">
        <f t="shared" si="139"/>
        <v>0</v>
      </c>
    </row>
    <row r="2211" spans="27:30" x14ac:dyDescent="0.3">
      <c r="AA2211">
        <f t="shared" si="136"/>
        <v>0</v>
      </c>
      <c r="AB2211">
        <f t="shared" si="137"/>
        <v>0</v>
      </c>
      <c r="AC2211">
        <f t="shared" si="138"/>
        <v>0</v>
      </c>
      <c r="AD2211">
        <f t="shared" si="139"/>
        <v>0</v>
      </c>
    </row>
    <row r="2212" spans="27:30" x14ac:dyDescent="0.3">
      <c r="AA2212">
        <f t="shared" si="136"/>
        <v>0</v>
      </c>
      <c r="AB2212">
        <f t="shared" si="137"/>
        <v>0</v>
      </c>
      <c r="AC2212">
        <f t="shared" si="138"/>
        <v>0</v>
      </c>
      <c r="AD2212">
        <f t="shared" si="139"/>
        <v>0</v>
      </c>
    </row>
    <row r="2213" spans="27:30" x14ac:dyDescent="0.3">
      <c r="AA2213">
        <f t="shared" si="136"/>
        <v>0</v>
      </c>
      <c r="AB2213">
        <f t="shared" si="137"/>
        <v>0</v>
      </c>
      <c r="AC2213">
        <f t="shared" si="138"/>
        <v>0</v>
      </c>
      <c r="AD2213">
        <f t="shared" si="139"/>
        <v>0</v>
      </c>
    </row>
    <row r="2214" spans="27:30" x14ac:dyDescent="0.3">
      <c r="AA2214">
        <f t="shared" si="136"/>
        <v>0</v>
      </c>
      <c r="AB2214">
        <f t="shared" si="137"/>
        <v>0</v>
      </c>
      <c r="AC2214">
        <f t="shared" si="138"/>
        <v>0</v>
      </c>
      <c r="AD2214">
        <f t="shared" si="139"/>
        <v>0</v>
      </c>
    </row>
    <row r="2215" spans="27:30" x14ac:dyDescent="0.3">
      <c r="AA2215">
        <f t="shared" si="136"/>
        <v>0</v>
      </c>
      <c r="AB2215">
        <f t="shared" si="137"/>
        <v>0</v>
      </c>
      <c r="AC2215">
        <f t="shared" si="138"/>
        <v>0</v>
      </c>
      <c r="AD2215">
        <f t="shared" si="139"/>
        <v>0</v>
      </c>
    </row>
    <row r="2216" spans="27:30" x14ac:dyDescent="0.3">
      <c r="AA2216">
        <f t="shared" si="136"/>
        <v>0</v>
      </c>
      <c r="AB2216">
        <f t="shared" si="137"/>
        <v>0</v>
      </c>
      <c r="AC2216">
        <f t="shared" si="138"/>
        <v>0</v>
      </c>
      <c r="AD2216">
        <f t="shared" si="139"/>
        <v>0</v>
      </c>
    </row>
    <row r="2217" spans="27:30" x14ac:dyDescent="0.3">
      <c r="AA2217">
        <f t="shared" si="136"/>
        <v>0</v>
      </c>
      <c r="AB2217">
        <f t="shared" si="137"/>
        <v>0</v>
      </c>
      <c r="AC2217">
        <f t="shared" si="138"/>
        <v>0</v>
      </c>
      <c r="AD2217">
        <f t="shared" si="139"/>
        <v>0</v>
      </c>
    </row>
    <row r="2218" spans="27:30" x14ac:dyDescent="0.3">
      <c r="AA2218">
        <f t="shared" si="136"/>
        <v>0</v>
      </c>
      <c r="AB2218">
        <f t="shared" si="137"/>
        <v>0</v>
      </c>
      <c r="AC2218">
        <f t="shared" si="138"/>
        <v>0</v>
      </c>
      <c r="AD2218">
        <f t="shared" si="139"/>
        <v>0</v>
      </c>
    </row>
    <row r="2219" spans="27:30" x14ac:dyDescent="0.3">
      <c r="AA2219">
        <f t="shared" si="136"/>
        <v>0</v>
      </c>
      <c r="AB2219">
        <f t="shared" si="137"/>
        <v>0</v>
      </c>
      <c r="AC2219">
        <f t="shared" si="138"/>
        <v>0</v>
      </c>
      <c r="AD2219">
        <f t="shared" si="139"/>
        <v>0</v>
      </c>
    </row>
    <row r="2220" spans="27:30" x14ac:dyDescent="0.3">
      <c r="AA2220">
        <f t="shared" si="136"/>
        <v>0</v>
      </c>
      <c r="AB2220">
        <f t="shared" si="137"/>
        <v>0</v>
      </c>
      <c r="AC2220">
        <f t="shared" si="138"/>
        <v>0</v>
      </c>
      <c r="AD2220">
        <f t="shared" si="139"/>
        <v>0</v>
      </c>
    </row>
    <row r="2221" spans="27:30" x14ac:dyDescent="0.3">
      <c r="AA2221">
        <f t="shared" si="136"/>
        <v>0</v>
      </c>
      <c r="AB2221">
        <f t="shared" si="137"/>
        <v>0</v>
      </c>
      <c r="AC2221">
        <f t="shared" si="138"/>
        <v>0</v>
      </c>
      <c r="AD2221">
        <f t="shared" si="139"/>
        <v>0</v>
      </c>
    </row>
    <row r="2222" spans="27:30" x14ac:dyDescent="0.3">
      <c r="AA2222">
        <f t="shared" si="136"/>
        <v>0</v>
      </c>
      <c r="AB2222">
        <f t="shared" si="137"/>
        <v>0</v>
      </c>
      <c r="AC2222">
        <f t="shared" si="138"/>
        <v>0</v>
      </c>
      <c r="AD2222">
        <f t="shared" si="139"/>
        <v>0</v>
      </c>
    </row>
    <row r="2223" spans="27:30" x14ac:dyDescent="0.3">
      <c r="AA2223">
        <f t="shared" si="136"/>
        <v>0</v>
      </c>
      <c r="AB2223">
        <f t="shared" si="137"/>
        <v>0</v>
      </c>
      <c r="AC2223">
        <f t="shared" si="138"/>
        <v>0</v>
      </c>
      <c r="AD2223">
        <f t="shared" si="139"/>
        <v>0</v>
      </c>
    </row>
    <row r="2224" spans="27:30" x14ac:dyDescent="0.3">
      <c r="AA2224">
        <f t="shared" si="136"/>
        <v>0</v>
      </c>
      <c r="AB2224">
        <f t="shared" si="137"/>
        <v>0</v>
      </c>
      <c r="AC2224">
        <f t="shared" si="138"/>
        <v>0</v>
      </c>
      <c r="AD2224">
        <f t="shared" si="139"/>
        <v>0</v>
      </c>
    </row>
    <row r="2225" spans="27:30" x14ac:dyDescent="0.3">
      <c r="AA2225">
        <f t="shared" si="136"/>
        <v>0</v>
      </c>
      <c r="AB2225">
        <f t="shared" si="137"/>
        <v>0</v>
      </c>
      <c r="AC2225">
        <f t="shared" si="138"/>
        <v>0</v>
      </c>
      <c r="AD2225">
        <f t="shared" si="139"/>
        <v>0</v>
      </c>
    </row>
    <row r="2226" spans="27:30" x14ac:dyDescent="0.3">
      <c r="AA2226">
        <f t="shared" si="136"/>
        <v>0</v>
      </c>
      <c r="AB2226">
        <f t="shared" si="137"/>
        <v>0</v>
      </c>
      <c r="AC2226">
        <f t="shared" si="138"/>
        <v>0</v>
      </c>
      <c r="AD2226">
        <f t="shared" si="139"/>
        <v>0</v>
      </c>
    </row>
    <row r="2227" spans="27:30" x14ac:dyDescent="0.3">
      <c r="AA2227">
        <f t="shared" si="136"/>
        <v>0</v>
      </c>
      <c r="AB2227">
        <f t="shared" si="137"/>
        <v>0</v>
      </c>
      <c r="AC2227">
        <f t="shared" si="138"/>
        <v>0</v>
      </c>
      <c r="AD2227">
        <f t="shared" si="139"/>
        <v>0</v>
      </c>
    </row>
    <row r="2228" spans="27:30" x14ac:dyDescent="0.3">
      <c r="AA2228">
        <f t="shared" si="136"/>
        <v>0</v>
      </c>
      <c r="AB2228">
        <f t="shared" si="137"/>
        <v>0</v>
      </c>
      <c r="AC2228">
        <f t="shared" si="138"/>
        <v>0</v>
      </c>
      <c r="AD2228">
        <f t="shared" si="139"/>
        <v>0</v>
      </c>
    </row>
    <row r="2229" spans="27:30" x14ac:dyDescent="0.3">
      <c r="AA2229">
        <f t="shared" si="136"/>
        <v>0</v>
      </c>
      <c r="AB2229">
        <f t="shared" si="137"/>
        <v>0</v>
      </c>
      <c r="AC2229">
        <f t="shared" si="138"/>
        <v>0</v>
      </c>
      <c r="AD2229">
        <f t="shared" si="139"/>
        <v>0</v>
      </c>
    </row>
    <row r="2230" spans="27:30" x14ac:dyDescent="0.3">
      <c r="AA2230">
        <f t="shared" si="136"/>
        <v>0</v>
      </c>
      <c r="AB2230">
        <f t="shared" si="137"/>
        <v>0</v>
      </c>
      <c r="AC2230">
        <f t="shared" si="138"/>
        <v>0</v>
      </c>
      <c r="AD2230">
        <f t="shared" si="139"/>
        <v>0</v>
      </c>
    </row>
    <row r="2231" spans="27:30" x14ac:dyDescent="0.3">
      <c r="AA2231">
        <f t="shared" si="136"/>
        <v>0</v>
      </c>
      <c r="AB2231">
        <f t="shared" si="137"/>
        <v>0</v>
      </c>
      <c r="AC2231">
        <f t="shared" si="138"/>
        <v>0</v>
      </c>
      <c r="AD2231">
        <f t="shared" si="139"/>
        <v>0</v>
      </c>
    </row>
    <row r="2232" spans="27:30" x14ac:dyDescent="0.3">
      <c r="AA2232">
        <f t="shared" si="136"/>
        <v>0</v>
      </c>
      <c r="AB2232">
        <f t="shared" si="137"/>
        <v>0</v>
      </c>
      <c r="AC2232">
        <f t="shared" si="138"/>
        <v>0</v>
      </c>
      <c r="AD2232">
        <f t="shared" si="139"/>
        <v>0</v>
      </c>
    </row>
    <row r="2233" spans="27:30" x14ac:dyDescent="0.3">
      <c r="AA2233">
        <f t="shared" si="136"/>
        <v>0</v>
      </c>
      <c r="AB2233">
        <f t="shared" si="137"/>
        <v>0</v>
      </c>
      <c r="AC2233">
        <f t="shared" si="138"/>
        <v>0</v>
      </c>
      <c r="AD2233">
        <f t="shared" si="139"/>
        <v>0</v>
      </c>
    </row>
    <row r="2234" spans="27:30" x14ac:dyDescent="0.3">
      <c r="AA2234">
        <f t="shared" si="136"/>
        <v>0</v>
      </c>
      <c r="AB2234">
        <f t="shared" si="137"/>
        <v>0</v>
      </c>
      <c r="AC2234">
        <f t="shared" si="138"/>
        <v>0</v>
      </c>
      <c r="AD2234">
        <f t="shared" si="139"/>
        <v>0</v>
      </c>
    </row>
    <row r="2235" spans="27:30" x14ac:dyDescent="0.3">
      <c r="AA2235">
        <f t="shared" si="136"/>
        <v>0</v>
      </c>
      <c r="AB2235">
        <f t="shared" si="137"/>
        <v>0</v>
      </c>
      <c r="AC2235">
        <f t="shared" si="138"/>
        <v>0</v>
      </c>
      <c r="AD2235">
        <f t="shared" si="139"/>
        <v>0</v>
      </c>
    </row>
    <row r="2236" spans="27:30" x14ac:dyDescent="0.3">
      <c r="AA2236">
        <f t="shared" si="136"/>
        <v>0</v>
      </c>
      <c r="AB2236">
        <f t="shared" si="137"/>
        <v>0</v>
      </c>
      <c r="AC2236">
        <f t="shared" si="138"/>
        <v>0</v>
      </c>
      <c r="AD2236">
        <f t="shared" si="139"/>
        <v>0</v>
      </c>
    </row>
    <row r="2237" spans="27:30" x14ac:dyDescent="0.3">
      <c r="AA2237">
        <f t="shared" si="136"/>
        <v>0</v>
      </c>
      <c r="AB2237">
        <f t="shared" si="137"/>
        <v>0</v>
      </c>
      <c r="AC2237">
        <f t="shared" si="138"/>
        <v>0</v>
      </c>
      <c r="AD2237">
        <f t="shared" si="139"/>
        <v>0</v>
      </c>
    </row>
    <row r="2238" spans="27:30" x14ac:dyDescent="0.3">
      <c r="AA2238">
        <f t="shared" si="136"/>
        <v>0</v>
      </c>
      <c r="AB2238">
        <f t="shared" si="137"/>
        <v>0</v>
      </c>
      <c r="AC2238">
        <f t="shared" si="138"/>
        <v>0</v>
      </c>
      <c r="AD2238">
        <f t="shared" si="139"/>
        <v>0</v>
      </c>
    </row>
    <row r="2239" spans="27:30" x14ac:dyDescent="0.3">
      <c r="AA2239">
        <f t="shared" si="136"/>
        <v>0</v>
      </c>
      <c r="AB2239">
        <f t="shared" si="137"/>
        <v>0</v>
      </c>
      <c r="AC2239">
        <f t="shared" si="138"/>
        <v>0</v>
      </c>
      <c r="AD2239">
        <f t="shared" si="139"/>
        <v>0</v>
      </c>
    </row>
    <row r="2240" spans="27:30" x14ac:dyDescent="0.3">
      <c r="AA2240">
        <f t="shared" si="136"/>
        <v>0</v>
      </c>
      <c r="AB2240">
        <f t="shared" si="137"/>
        <v>0</v>
      </c>
      <c r="AC2240">
        <f t="shared" si="138"/>
        <v>0</v>
      </c>
      <c r="AD2240">
        <f t="shared" si="139"/>
        <v>0</v>
      </c>
    </row>
    <row r="2241" spans="27:30" x14ac:dyDescent="0.3">
      <c r="AA2241">
        <f t="shared" si="136"/>
        <v>0</v>
      </c>
      <c r="AB2241">
        <f t="shared" si="137"/>
        <v>0</v>
      </c>
      <c r="AC2241">
        <f t="shared" si="138"/>
        <v>0</v>
      </c>
      <c r="AD2241">
        <f t="shared" si="139"/>
        <v>0</v>
      </c>
    </row>
    <row r="2242" spans="27:30" x14ac:dyDescent="0.3">
      <c r="AA2242">
        <f t="shared" si="136"/>
        <v>0</v>
      </c>
      <c r="AB2242">
        <f t="shared" si="137"/>
        <v>0</v>
      </c>
      <c r="AC2242">
        <f t="shared" si="138"/>
        <v>0</v>
      </c>
      <c r="AD2242">
        <f t="shared" si="139"/>
        <v>0</v>
      </c>
    </row>
    <row r="2243" spans="27:30" x14ac:dyDescent="0.3">
      <c r="AA2243">
        <f t="shared" si="136"/>
        <v>0</v>
      </c>
      <c r="AB2243">
        <f t="shared" si="137"/>
        <v>0</v>
      </c>
      <c r="AC2243">
        <f t="shared" si="138"/>
        <v>0</v>
      </c>
      <c r="AD2243">
        <f t="shared" si="139"/>
        <v>0</v>
      </c>
    </row>
    <row r="2244" spans="27:30" x14ac:dyDescent="0.3">
      <c r="AA2244">
        <f t="shared" si="136"/>
        <v>0</v>
      </c>
      <c r="AB2244">
        <f t="shared" si="137"/>
        <v>0</v>
      </c>
      <c r="AC2244">
        <f t="shared" si="138"/>
        <v>0</v>
      </c>
      <c r="AD2244">
        <f t="shared" si="139"/>
        <v>0</v>
      </c>
    </row>
    <row r="2245" spans="27:30" x14ac:dyDescent="0.3">
      <c r="AA2245">
        <f t="shared" ref="AA2245:AA2308" si="140">ROUND(Z2245,0)</f>
        <v>0</v>
      </c>
      <c r="AB2245">
        <f t="shared" ref="AB2245:AB2308" si="141">IF(AA2245=Y2245,0,1)</f>
        <v>0</v>
      </c>
      <c r="AC2245">
        <f t="shared" ref="AC2245:AC2308" si="142">IF(AA2245&lt;Y2245+5,IF(AA2245&gt;Y2245-5,0,1),1)</f>
        <v>0</v>
      </c>
      <c r="AD2245">
        <f t="shared" ref="AD2245:AD2308" si="143">IF(AA2245&lt;Y2245+10,IF(AA2245&gt;Y2245-10,0,1),1)</f>
        <v>0</v>
      </c>
    </row>
    <row r="2246" spans="27:30" x14ac:dyDescent="0.3">
      <c r="AA2246">
        <f t="shared" si="140"/>
        <v>0</v>
      </c>
      <c r="AB2246">
        <f t="shared" si="141"/>
        <v>0</v>
      </c>
      <c r="AC2246">
        <f t="shared" si="142"/>
        <v>0</v>
      </c>
      <c r="AD2246">
        <f t="shared" si="143"/>
        <v>0</v>
      </c>
    </row>
    <row r="2247" spans="27:30" x14ac:dyDescent="0.3">
      <c r="AA2247">
        <f t="shared" si="140"/>
        <v>0</v>
      </c>
      <c r="AB2247">
        <f t="shared" si="141"/>
        <v>0</v>
      </c>
      <c r="AC2247">
        <f t="shared" si="142"/>
        <v>0</v>
      </c>
      <c r="AD2247">
        <f t="shared" si="143"/>
        <v>0</v>
      </c>
    </row>
    <row r="2248" spans="27:30" x14ac:dyDescent="0.3">
      <c r="AA2248">
        <f t="shared" si="140"/>
        <v>0</v>
      </c>
      <c r="AB2248">
        <f t="shared" si="141"/>
        <v>0</v>
      </c>
      <c r="AC2248">
        <f t="shared" si="142"/>
        <v>0</v>
      </c>
      <c r="AD2248">
        <f t="shared" si="143"/>
        <v>0</v>
      </c>
    </row>
    <row r="2249" spans="27:30" x14ac:dyDescent="0.3">
      <c r="AA2249">
        <f t="shared" si="140"/>
        <v>0</v>
      </c>
      <c r="AB2249">
        <f t="shared" si="141"/>
        <v>0</v>
      </c>
      <c r="AC2249">
        <f t="shared" si="142"/>
        <v>0</v>
      </c>
      <c r="AD2249">
        <f t="shared" si="143"/>
        <v>0</v>
      </c>
    </row>
    <row r="2250" spans="27:30" x14ac:dyDescent="0.3">
      <c r="AA2250">
        <f t="shared" si="140"/>
        <v>0</v>
      </c>
      <c r="AB2250">
        <f t="shared" si="141"/>
        <v>0</v>
      </c>
      <c r="AC2250">
        <f t="shared" si="142"/>
        <v>0</v>
      </c>
      <c r="AD2250">
        <f t="shared" si="143"/>
        <v>0</v>
      </c>
    </row>
    <row r="2251" spans="27:30" x14ac:dyDescent="0.3">
      <c r="AA2251">
        <f t="shared" si="140"/>
        <v>0</v>
      </c>
      <c r="AB2251">
        <f t="shared" si="141"/>
        <v>0</v>
      </c>
      <c r="AC2251">
        <f t="shared" si="142"/>
        <v>0</v>
      </c>
      <c r="AD2251">
        <f t="shared" si="143"/>
        <v>0</v>
      </c>
    </row>
    <row r="2252" spans="27:30" x14ac:dyDescent="0.3">
      <c r="AA2252">
        <f t="shared" si="140"/>
        <v>0</v>
      </c>
      <c r="AB2252">
        <f t="shared" si="141"/>
        <v>0</v>
      </c>
      <c r="AC2252">
        <f t="shared" si="142"/>
        <v>0</v>
      </c>
      <c r="AD2252">
        <f t="shared" si="143"/>
        <v>0</v>
      </c>
    </row>
    <row r="2253" spans="27:30" x14ac:dyDescent="0.3">
      <c r="AA2253">
        <f t="shared" si="140"/>
        <v>0</v>
      </c>
      <c r="AB2253">
        <f t="shared" si="141"/>
        <v>0</v>
      </c>
      <c r="AC2253">
        <f t="shared" si="142"/>
        <v>0</v>
      </c>
      <c r="AD2253">
        <f t="shared" si="143"/>
        <v>0</v>
      </c>
    </row>
    <row r="2254" spans="27:30" x14ac:dyDescent="0.3">
      <c r="AA2254">
        <f t="shared" si="140"/>
        <v>0</v>
      </c>
      <c r="AB2254">
        <f t="shared" si="141"/>
        <v>0</v>
      </c>
      <c r="AC2254">
        <f t="shared" si="142"/>
        <v>0</v>
      </c>
      <c r="AD2254">
        <f t="shared" si="143"/>
        <v>0</v>
      </c>
    </row>
    <row r="2255" spans="27:30" x14ac:dyDescent="0.3">
      <c r="AA2255">
        <f t="shared" si="140"/>
        <v>0</v>
      </c>
      <c r="AB2255">
        <f t="shared" si="141"/>
        <v>0</v>
      </c>
      <c r="AC2255">
        <f t="shared" si="142"/>
        <v>0</v>
      </c>
      <c r="AD2255">
        <f t="shared" si="143"/>
        <v>0</v>
      </c>
    </row>
    <row r="2256" spans="27:30" x14ac:dyDescent="0.3">
      <c r="AA2256">
        <f t="shared" si="140"/>
        <v>0</v>
      </c>
      <c r="AB2256">
        <f t="shared" si="141"/>
        <v>0</v>
      </c>
      <c r="AC2256">
        <f t="shared" si="142"/>
        <v>0</v>
      </c>
      <c r="AD2256">
        <f t="shared" si="143"/>
        <v>0</v>
      </c>
    </row>
    <row r="2257" spans="27:30" x14ac:dyDescent="0.3">
      <c r="AA2257">
        <f t="shared" si="140"/>
        <v>0</v>
      </c>
      <c r="AB2257">
        <f t="shared" si="141"/>
        <v>0</v>
      </c>
      <c r="AC2257">
        <f t="shared" si="142"/>
        <v>0</v>
      </c>
      <c r="AD2257">
        <f t="shared" si="143"/>
        <v>0</v>
      </c>
    </row>
    <row r="2258" spans="27:30" x14ac:dyDescent="0.3">
      <c r="AA2258">
        <f t="shared" si="140"/>
        <v>0</v>
      </c>
      <c r="AB2258">
        <f t="shared" si="141"/>
        <v>0</v>
      </c>
      <c r="AC2258">
        <f t="shared" si="142"/>
        <v>0</v>
      </c>
      <c r="AD2258">
        <f t="shared" si="143"/>
        <v>0</v>
      </c>
    </row>
    <row r="2259" spans="27:30" x14ac:dyDescent="0.3">
      <c r="AA2259">
        <f t="shared" si="140"/>
        <v>0</v>
      </c>
      <c r="AB2259">
        <f t="shared" si="141"/>
        <v>0</v>
      </c>
      <c r="AC2259">
        <f t="shared" si="142"/>
        <v>0</v>
      </c>
      <c r="AD2259">
        <f t="shared" si="143"/>
        <v>0</v>
      </c>
    </row>
    <row r="2260" spans="27:30" x14ac:dyDescent="0.3">
      <c r="AA2260">
        <f t="shared" si="140"/>
        <v>0</v>
      </c>
      <c r="AB2260">
        <f t="shared" si="141"/>
        <v>0</v>
      </c>
      <c r="AC2260">
        <f t="shared" si="142"/>
        <v>0</v>
      </c>
      <c r="AD2260">
        <f t="shared" si="143"/>
        <v>0</v>
      </c>
    </row>
    <row r="2261" spans="27:30" x14ac:dyDescent="0.3">
      <c r="AA2261">
        <f t="shared" si="140"/>
        <v>0</v>
      </c>
      <c r="AB2261">
        <f t="shared" si="141"/>
        <v>0</v>
      </c>
      <c r="AC2261">
        <f t="shared" si="142"/>
        <v>0</v>
      </c>
      <c r="AD2261">
        <f t="shared" si="143"/>
        <v>0</v>
      </c>
    </row>
    <row r="2262" spans="27:30" x14ac:dyDescent="0.3">
      <c r="AA2262">
        <f t="shared" si="140"/>
        <v>0</v>
      </c>
      <c r="AB2262">
        <f t="shared" si="141"/>
        <v>0</v>
      </c>
      <c r="AC2262">
        <f t="shared" si="142"/>
        <v>0</v>
      </c>
      <c r="AD2262">
        <f t="shared" si="143"/>
        <v>0</v>
      </c>
    </row>
    <row r="2263" spans="27:30" x14ac:dyDescent="0.3">
      <c r="AA2263">
        <f t="shared" si="140"/>
        <v>0</v>
      </c>
      <c r="AB2263">
        <f t="shared" si="141"/>
        <v>0</v>
      </c>
      <c r="AC2263">
        <f t="shared" si="142"/>
        <v>0</v>
      </c>
      <c r="AD2263">
        <f t="shared" si="143"/>
        <v>0</v>
      </c>
    </row>
    <row r="2264" spans="27:30" x14ac:dyDescent="0.3">
      <c r="AA2264">
        <f t="shared" si="140"/>
        <v>0</v>
      </c>
      <c r="AB2264">
        <f t="shared" si="141"/>
        <v>0</v>
      </c>
      <c r="AC2264">
        <f t="shared" si="142"/>
        <v>0</v>
      </c>
      <c r="AD2264">
        <f t="shared" si="143"/>
        <v>0</v>
      </c>
    </row>
    <row r="2265" spans="27:30" x14ac:dyDescent="0.3">
      <c r="AA2265">
        <f t="shared" si="140"/>
        <v>0</v>
      </c>
      <c r="AB2265">
        <f t="shared" si="141"/>
        <v>0</v>
      </c>
      <c r="AC2265">
        <f t="shared" si="142"/>
        <v>0</v>
      </c>
      <c r="AD2265">
        <f t="shared" si="143"/>
        <v>0</v>
      </c>
    </row>
    <row r="2266" spans="27:30" x14ac:dyDescent="0.3">
      <c r="AA2266">
        <f t="shared" si="140"/>
        <v>0</v>
      </c>
      <c r="AB2266">
        <f t="shared" si="141"/>
        <v>0</v>
      </c>
      <c r="AC2266">
        <f t="shared" si="142"/>
        <v>0</v>
      </c>
      <c r="AD2266">
        <f t="shared" si="143"/>
        <v>0</v>
      </c>
    </row>
    <row r="2267" spans="27:30" x14ac:dyDescent="0.3">
      <c r="AA2267">
        <f t="shared" si="140"/>
        <v>0</v>
      </c>
      <c r="AB2267">
        <f t="shared" si="141"/>
        <v>0</v>
      </c>
      <c r="AC2267">
        <f t="shared" si="142"/>
        <v>0</v>
      </c>
      <c r="AD2267">
        <f t="shared" si="143"/>
        <v>0</v>
      </c>
    </row>
    <row r="2268" spans="27:30" x14ac:dyDescent="0.3">
      <c r="AA2268">
        <f t="shared" si="140"/>
        <v>0</v>
      </c>
      <c r="AB2268">
        <f t="shared" si="141"/>
        <v>0</v>
      </c>
      <c r="AC2268">
        <f t="shared" si="142"/>
        <v>0</v>
      </c>
      <c r="AD2268">
        <f t="shared" si="143"/>
        <v>0</v>
      </c>
    </row>
    <row r="2269" spans="27:30" x14ac:dyDescent="0.3">
      <c r="AA2269">
        <f t="shared" si="140"/>
        <v>0</v>
      </c>
      <c r="AB2269">
        <f t="shared" si="141"/>
        <v>0</v>
      </c>
      <c r="AC2269">
        <f t="shared" si="142"/>
        <v>0</v>
      </c>
      <c r="AD2269">
        <f t="shared" si="143"/>
        <v>0</v>
      </c>
    </row>
    <row r="2270" spans="27:30" x14ac:dyDescent="0.3">
      <c r="AA2270">
        <f t="shared" si="140"/>
        <v>0</v>
      </c>
      <c r="AB2270">
        <f t="shared" si="141"/>
        <v>0</v>
      </c>
      <c r="AC2270">
        <f t="shared" si="142"/>
        <v>0</v>
      </c>
      <c r="AD2270">
        <f t="shared" si="143"/>
        <v>0</v>
      </c>
    </row>
    <row r="2271" spans="27:30" x14ac:dyDescent="0.3">
      <c r="AA2271">
        <f t="shared" si="140"/>
        <v>0</v>
      </c>
      <c r="AB2271">
        <f t="shared" si="141"/>
        <v>0</v>
      </c>
      <c r="AC2271">
        <f t="shared" si="142"/>
        <v>0</v>
      </c>
      <c r="AD2271">
        <f t="shared" si="143"/>
        <v>0</v>
      </c>
    </row>
    <row r="2272" spans="27:30" x14ac:dyDescent="0.3">
      <c r="AA2272">
        <f t="shared" si="140"/>
        <v>0</v>
      </c>
      <c r="AB2272">
        <f t="shared" si="141"/>
        <v>0</v>
      </c>
      <c r="AC2272">
        <f t="shared" si="142"/>
        <v>0</v>
      </c>
      <c r="AD2272">
        <f t="shared" si="143"/>
        <v>0</v>
      </c>
    </row>
    <row r="2273" spans="27:30" x14ac:dyDescent="0.3">
      <c r="AA2273">
        <f t="shared" si="140"/>
        <v>0</v>
      </c>
      <c r="AB2273">
        <f t="shared" si="141"/>
        <v>0</v>
      </c>
      <c r="AC2273">
        <f t="shared" si="142"/>
        <v>0</v>
      </c>
      <c r="AD2273">
        <f t="shared" si="143"/>
        <v>0</v>
      </c>
    </row>
    <row r="2274" spans="27:30" x14ac:dyDescent="0.3">
      <c r="AA2274">
        <f t="shared" si="140"/>
        <v>0</v>
      </c>
      <c r="AB2274">
        <f t="shared" si="141"/>
        <v>0</v>
      </c>
      <c r="AC2274">
        <f t="shared" si="142"/>
        <v>0</v>
      </c>
      <c r="AD2274">
        <f t="shared" si="143"/>
        <v>0</v>
      </c>
    </row>
    <row r="2275" spans="27:30" x14ac:dyDescent="0.3">
      <c r="AA2275">
        <f t="shared" si="140"/>
        <v>0</v>
      </c>
      <c r="AB2275">
        <f t="shared" si="141"/>
        <v>0</v>
      </c>
      <c r="AC2275">
        <f t="shared" si="142"/>
        <v>0</v>
      </c>
      <c r="AD2275">
        <f t="shared" si="143"/>
        <v>0</v>
      </c>
    </row>
    <row r="2276" spans="27:30" x14ac:dyDescent="0.3">
      <c r="AA2276">
        <f t="shared" si="140"/>
        <v>0</v>
      </c>
      <c r="AB2276">
        <f t="shared" si="141"/>
        <v>0</v>
      </c>
      <c r="AC2276">
        <f t="shared" si="142"/>
        <v>0</v>
      </c>
      <c r="AD2276">
        <f t="shared" si="143"/>
        <v>0</v>
      </c>
    </row>
    <row r="2277" spans="27:30" x14ac:dyDescent="0.3">
      <c r="AA2277">
        <f t="shared" si="140"/>
        <v>0</v>
      </c>
      <c r="AB2277">
        <f t="shared" si="141"/>
        <v>0</v>
      </c>
      <c r="AC2277">
        <f t="shared" si="142"/>
        <v>0</v>
      </c>
      <c r="AD2277">
        <f t="shared" si="143"/>
        <v>0</v>
      </c>
    </row>
    <row r="2278" spans="27:30" x14ac:dyDescent="0.3">
      <c r="AA2278">
        <f t="shared" si="140"/>
        <v>0</v>
      </c>
      <c r="AB2278">
        <f t="shared" si="141"/>
        <v>0</v>
      </c>
      <c r="AC2278">
        <f t="shared" si="142"/>
        <v>0</v>
      </c>
      <c r="AD2278">
        <f t="shared" si="143"/>
        <v>0</v>
      </c>
    </row>
    <row r="2279" spans="27:30" x14ac:dyDescent="0.3">
      <c r="AA2279">
        <f t="shared" si="140"/>
        <v>0</v>
      </c>
      <c r="AB2279">
        <f t="shared" si="141"/>
        <v>0</v>
      </c>
      <c r="AC2279">
        <f t="shared" si="142"/>
        <v>0</v>
      </c>
      <c r="AD2279">
        <f t="shared" si="143"/>
        <v>0</v>
      </c>
    </row>
    <row r="2280" spans="27:30" x14ac:dyDescent="0.3">
      <c r="AA2280">
        <f t="shared" si="140"/>
        <v>0</v>
      </c>
      <c r="AB2280">
        <f t="shared" si="141"/>
        <v>0</v>
      </c>
      <c r="AC2280">
        <f t="shared" si="142"/>
        <v>0</v>
      </c>
      <c r="AD2280">
        <f t="shared" si="143"/>
        <v>0</v>
      </c>
    </row>
    <row r="2281" spans="27:30" x14ac:dyDescent="0.3">
      <c r="AA2281">
        <f t="shared" si="140"/>
        <v>0</v>
      </c>
      <c r="AB2281">
        <f t="shared" si="141"/>
        <v>0</v>
      </c>
      <c r="AC2281">
        <f t="shared" si="142"/>
        <v>0</v>
      </c>
      <c r="AD2281">
        <f t="shared" si="143"/>
        <v>0</v>
      </c>
    </row>
    <row r="2282" spans="27:30" x14ac:dyDescent="0.3">
      <c r="AA2282">
        <f t="shared" si="140"/>
        <v>0</v>
      </c>
      <c r="AB2282">
        <f t="shared" si="141"/>
        <v>0</v>
      </c>
      <c r="AC2282">
        <f t="shared" si="142"/>
        <v>0</v>
      </c>
      <c r="AD2282">
        <f t="shared" si="143"/>
        <v>0</v>
      </c>
    </row>
    <row r="2283" spans="27:30" x14ac:dyDescent="0.3">
      <c r="AA2283">
        <f t="shared" si="140"/>
        <v>0</v>
      </c>
      <c r="AB2283">
        <f t="shared" si="141"/>
        <v>0</v>
      </c>
      <c r="AC2283">
        <f t="shared" si="142"/>
        <v>0</v>
      </c>
      <c r="AD2283">
        <f t="shared" si="143"/>
        <v>0</v>
      </c>
    </row>
    <row r="2284" spans="27:30" x14ac:dyDescent="0.3">
      <c r="AA2284">
        <f t="shared" si="140"/>
        <v>0</v>
      </c>
      <c r="AB2284">
        <f t="shared" si="141"/>
        <v>0</v>
      </c>
      <c r="AC2284">
        <f t="shared" si="142"/>
        <v>0</v>
      </c>
      <c r="AD2284">
        <f t="shared" si="143"/>
        <v>0</v>
      </c>
    </row>
    <row r="2285" spans="27:30" x14ac:dyDescent="0.3">
      <c r="AA2285">
        <f t="shared" si="140"/>
        <v>0</v>
      </c>
      <c r="AB2285">
        <f t="shared" si="141"/>
        <v>0</v>
      </c>
      <c r="AC2285">
        <f t="shared" si="142"/>
        <v>0</v>
      </c>
      <c r="AD2285">
        <f t="shared" si="143"/>
        <v>0</v>
      </c>
    </row>
    <row r="2286" spans="27:30" x14ac:dyDescent="0.3">
      <c r="AA2286">
        <f t="shared" si="140"/>
        <v>0</v>
      </c>
      <c r="AB2286">
        <f t="shared" si="141"/>
        <v>0</v>
      </c>
      <c r="AC2286">
        <f t="shared" si="142"/>
        <v>0</v>
      </c>
      <c r="AD2286">
        <f t="shared" si="143"/>
        <v>0</v>
      </c>
    </row>
    <row r="2287" spans="27:30" x14ac:dyDescent="0.3">
      <c r="AA2287">
        <f t="shared" si="140"/>
        <v>0</v>
      </c>
      <c r="AB2287">
        <f t="shared" si="141"/>
        <v>0</v>
      </c>
      <c r="AC2287">
        <f t="shared" si="142"/>
        <v>0</v>
      </c>
      <c r="AD2287">
        <f t="shared" si="143"/>
        <v>0</v>
      </c>
    </row>
    <row r="2288" spans="27:30" x14ac:dyDescent="0.3">
      <c r="AA2288">
        <f t="shared" si="140"/>
        <v>0</v>
      </c>
      <c r="AB2288">
        <f t="shared" si="141"/>
        <v>0</v>
      </c>
      <c r="AC2288">
        <f t="shared" si="142"/>
        <v>0</v>
      </c>
      <c r="AD2288">
        <f t="shared" si="143"/>
        <v>0</v>
      </c>
    </row>
    <row r="2289" spans="27:30" x14ac:dyDescent="0.3">
      <c r="AA2289">
        <f t="shared" si="140"/>
        <v>0</v>
      </c>
      <c r="AB2289">
        <f t="shared" si="141"/>
        <v>0</v>
      </c>
      <c r="AC2289">
        <f t="shared" si="142"/>
        <v>0</v>
      </c>
      <c r="AD2289">
        <f t="shared" si="143"/>
        <v>0</v>
      </c>
    </row>
    <row r="2290" spans="27:30" x14ac:dyDescent="0.3">
      <c r="AA2290">
        <f t="shared" si="140"/>
        <v>0</v>
      </c>
      <c r="AB2290">
        <f t="shared" si="141"/>
        <v>0</v>
      </c>
      <c r="AC2290">
        <f t="shared" si="142"/>
        <v>0</v>
      </c>
      <c r="AD2290">
        <f t="shared" si="143"/>
        <v>0</v>
      </c>
    </row>
    <row r="2291" spans="27:30" x14ac:dyDescent="0.3">
      <c r="AA2291">
        <f t="shared" si="140"/>
        <v>0</v>
      </c>
      <c r="AB2291">
        <f t="shared" si="141"/>
        <v>0</v>
      </c>
      <c r="AC2291">
        <f t="shared" si="142"/>
        <v>0</v>
      </c>
      <c r="AD2291">
        <f t="shared" si="143"/>
        <v>0</v>
      </c>
    </row>
    <row r="2292" spans="27:30" x14ac:dyDescent="0.3">
      <c r="AA2292">
        <f t="shared" si="140"/>
        <v>0</v>
      </c>
      <c r="AB2292">
        <f t="shared" si="141"/>
        <v>0</v>
      </c>
      <c r="AC2292">
        <f t="shared" si="142"/>
        <v>0</v>
      </c>
      <c r="AD2292">
        <f t="shared" si="143"/>
        <v>0</v>
      </c>
    </row>
    <row r="2293" spans="27:30" x14ac:dyDescent="0.3">
      <c r="AA2293">
        <f t="shared" si="140"/>
        <v>0</v>
      </c>
      <c r="AB2293">
        <f t="shared" si="141"/>
        <v>0</v>
      </c>
      <c r="AC2293">
        <f t="shared" si="142"/>
        <v>0</v>
      </c>
      <c r="AD2293">
        <f t="shared" si="143"/>
        <v>0</v>
      </c>
    </row>
    <row r="2294" spans="27:30" x14ac:dyDescent="0.3">
      <c r="AA2294">
        <f t="shared" si="140"/>
        <v>0</v>
      </c>
      <c r="AB2294">
        <f t="shared" si="141"/>
        <v>0</v>
      </c>
      <c r="AC2294">
        <f t="shared" si="142"/>
        <v>0</v>
      </c>
      <c r="AD2294">
        <f t="shared" si="143"/>
        <v>0</v>
      </c>
    </row>
    <row r="2295" spans="27:30" x14ac:dyDescent="0.3">
      <c r="AA2295">
        <f t="shared" si="140"/>
        <v>0</v>
      </c>
      <c r="AB2295">
        <f t="shared" si="141"/>
        <v>0</v>
      </c>
      <c r="AC2295">
        <f t="shared" si="142"/>
        <v>0</v>
      </c>
      <c r="AD2295">
        <f t="shared" si="143"/>
        <v>0</v>
      </c>
    </row>
    <row r="2296" spans="27:30" x14ac:dyDescent="0.3">
      <c r="AA2296">
        <f t="shared" si="140"/>
        <v>0</v>
      </c>
      <c r="AB2296">
        <f t="shared" si="141"/>
        <v>0</v>
      </c>
      <c r="AC2296">
        <f t="shared" si="142"/>
        <v>0</v>
      </c>
      <c r="AD2296">
        <f t="shared" si="143"/>
        <v>0</v>
      </c>
    </row>
    <row r="2297" spans="27:30" x14ac:dyDescent="0.3">
      <c r="AA2297">
        <f t="shared" si="140"/>
        <v>0</v>
      </c>
      <c r="AB2297">
        <f t="shared" si="141"/>
        <v>0</v>
      </c>
      <c r="AC2297">
        <f t="shared" si="142"/>
        <v>0</v>
      </c>
      <c r="AD2297">
        <f t="shared" si="143"/>
        <v>0</v>
      </c>
    </row>
    <row r="2298" spans="27:30" x14ac:dyDescent="0.3">
      <c r="AA2298">
        <f t="shared" si="140"/>
        <v>0</v>
      </c>
      <c r="AB2298">
        <f t="shared" si="141"/>
        <v>0</v>
      </c>
      <c r="AC2298">
        <f t="shared" si="142"/>
        <v>0</v>
      </c>
      <c r="AD2298">
        <f t="shared" si="143"/>
        <v>0</v>
      </c>
    </row>
    <row r="2299" spans="27:30" x14ac:dyDescent="0.3">
      <c r="AA2299">
        <f t="shared" si="140"/>
        <v>0</v>
      </c>
      <c r="AB2299">
        <f t="shared" si="141"/>
        <v>0</v>
      </c>
      <c r="AC2299">
        <f t="shared" si="142"/>
        <v>0</v>
      </c>
      <c r="AD2299">
        <f t="shared" si="143"/>
        <v>0</v>
      </c>
    </row>
    <row r="2300" spans="27:30" x14ac:dyDescent="0.3">
      <c r="AA2300">
        <f t="shared" si="140"/>
        <v>0</v>
      </c>
      <c r="AB2300">
        <f t="shared" si="141"/>
        <v>0</v>
      </c>
      <c r="AC2300">
        <f t="shared" si="142"/>
        <v>0</v>
      </c>
      <c r="AD2300">
        <f t="shared" si="143"/>
        <v>0</v>
      </c>
    </row>
    <row r="2301" spans="27:30" x14ac:dyDescent="0.3">
      <c r="AA2301">
        <f t="shared" si="140"/>
        <v>0</v>
      </c>
      <c r="AB2301">
        <f t="shared" si="141"/>
        <v>0</v>
      </c>
      <c r="AC2301">
        <f t="shared" si="142"/>
        <v>0</v>
      </c>
      <c r="AD2301">
        <f t="shared" si="143"/>
        <v>0</v>
      </c>
    </row>
    <row r="2302" spans="27:30" x14ac:dyDescent="0.3">
      <c r="AA2302">
        <f t="shared" si="140"/>
        <v>0</v>
      </c>
      <c r="AB2302">
        <f t="shared" si="141"/>
        <v>0</v>
      </c>
      <c r="AC2302">
        <f t="shared" si="142"/>
        <v>0</v>
      </c>
      <c r="AD2302">
        <f t="shared" si="143"/>
        <v>0</v>
      </c>
    </row>
    <row r="2303" spans="27:30" x14ac:dyDescent="0.3">
      <c r="AA2303">
        <f t="shared" si="140"/>
        <v>0</v>
      </c>
      <c r="AB2303">
        <f t="shared" si="141"/>
        <v>0</v>
      </c>
      <c r="AC2303">
        <f t="shared" si="142"/>
        <v>0</v>
      </c>
      <c r="AD2303">
        <f t="shared" si="143"/>
        <v>0</v>
      </c>
    </row>
    <row r="2304" spans="27:30" x14ac:dyDescent="0.3">
      <c r="AA2304">
        <f t="shared" si="140"/>
        <v>0</v>
      </c>
      <c r="AB2304">
        <f t="shared" si="141"/>
        <v>0</v>
      </c>
      <c r="AC2304">
        <f t="shared" si="142"/>
        <v>0</v>
      </c>
      <c r="AD2304">
        <f t="shared" si="143"/>
        <v>0</v>
      </c>
    </row>
    <row r="2305" spans="27:30" x14ac:dyDescent="0.3">
      <c r="AA2305">
        <f t="shared" si="140"/>
        <v>0</v>
      </c>
      <c r="AB2305">
        <f t="shared" si="141"/>
        <v>0</v>
      </c>
      <c r="AC2305">
        <f t="shared" si="142"/>
        <v>0</v>
      </c>
      <c r="AD2305">
        <f t="shared" si="143"/>
        <v>0</v>
      </c>
    </row>
    <row r="2306" spans="27:30" x14ac:dyDescent="0.3">
      <c r="AA2306">
        <f t="shared" si="140"/>
        <v>0</v>
      </c>
      <c r="AB2306">
        <f t="shared" si="141"/>
        <v>0</v>
      </c>
      <c r="AC2306">
        <f t="shared" si="142"/>
        <v>0</v>
      </c>
      <c r="AD2306">
        <f t="shared" si="143"/>
        <v>0</v>
      </c>
    </row>
    <row r="2307" spans="27:30" x14ac:dyDescent="0.3">
      <c r="AA2307">
        <f t="shared" si="140"/>
        <v>0</v>
      </c>
      <c r="AB2307">
        <f t="shared" si="141"/>
        <v>0</v>
      </c>
      <c r="AC2307">
        <f t="shared" si="142"/>
        <v>0</v>
      </c>
      <c r="AD2307">
        <f t="shared" si="143"/>
        <v>0</v>
      </c>
    </row>
    <row r="2308" spans="27:30" x14ac:dyDescent="0.3">
      <c r="AA2308">
        <f t="shared" si="140"/>
        <v>0</v>
      </c>
      <c r="AB2308">
        <f t="shared" si="141"/>
        <v>0</v>
      </c>
      <c r="AC2308">
        <f t="shared" si="142"/>
        <v>0</v>
      </c>
      <c r="AD2308">
        <f t="shared" si="143"/>
        <v>0</v>
      </c>
    </row>
    <row r="2309" spans="27:30" x14ac:dyDescent="0.3">
      <c r="AA2309">
        <f t="shared" ref="AA2309:AA2372" si="144">ROUND(Z2309,0)</f>
        <v>0</v>
      </c>
      <c r="AB2309">
        <f t="shared" ref="AB2309:AB2372" si="145">IF(AA2309=Y2309,0,1)</f>
        <v>0</v>
      </c>
      <c r="AC2309">
        <f t="shared" ref="AC2309:AC2372" si="146">IF(AA2309&lt;Y2309+5,IF(AA2309&gt;Y2309-5,0,1),1)</f>
        <v>0</v>
      </c>
      <c r="AD2309">
        <f t="shared" ref="AD2309:AD2372" si="147">IF(AA2309&lt;Y2309+10,IF(AA2309&gt;Y2309-10,0,1),1)</f>
        <v>0</v>
      </c>
    </row>
    <row r="2310" spans="27:30" x14ac:dyDescent="0.3">
      <c r="AA2310">
        <f t="shared" si="144"/>
        <v>0</v>
      </c>
      <c r="AB2310">
        <f t="shared" si="145"/>
        <v>0</v>
      </c>
      <c r="AC2310">
        <f t="shared" si="146"/>
        <v>0</v>
      </c>
      <c r="AD2310">
        <f t="shared" si="147"/>
        <v>0</v>
      </c>
    </row>
    <row r="2311" spans="27:30" x14ac:dyDescent="0.3">
      <c r="AA2311">
        <f t="shared" si="144"/>
        <v>0</v>
      </c>
      <c r="AB2311">
        <f t="shared" si="145"/>
        <v>0</v>
      </c>
      <c r="AC2311">
        <f t="shared" si="146"/>
        <v>0</v>
      </c>
      <c r="AD2311">
        <f t="shared" si="147"/>
        <v>0</v>
      </c>
    </row>
    <row r="2312" spans="27:30" x14ac:dyDescent="0.3">
      <c r="AA2312">
        <f t="shared" si="144"/>
        <v>0</v>
      </c>
      <c r="AB2312">
        <f t="shared" si="145"/>
        <v>0</v>
      </c>
      <c r="AC2312">
        <f t="shared" si="146"/>
        <v>0</v>
      </c>
      <c r="AD2312">
        <f t="shared" si="147"/>
        <v>0</v>
      </c>
    </row>
    <row r="2313" spans="27:30" x14ac:dyDescent="0.3">
      <c r="AA2313">
        <f t="shared" si="144"/>
        <v>0</v>
      </c>
      <c r="AB2313">
        <f t="shared" si="145"/>
        <v>0</v>
      </c>
      <c r="AC2313">
        <f t="shared" si="146"/>
        <v>0</v>
      </c>
      <c r="AD2313">
        <f t="shared" si="147"/>
        <v>0</v>
      </c>
    </row>
    <row r="2314" spans="27:30" x14ac:dyDescent="0.3">
      <c r="AA2314">
        <f t="shared" si="144"/>
        <v>0</v>
      </c>
      <c r="AB2314">
        <f t="shared" si="145"/>
        <v>0</v>
      </c>
      <c r="AC2314">
        <f t="shared" si="146"/>
        <v>0</v>
      </c>
      <c r="AD2314">
        <f t="shared" si="147"/>
        <v>0</v>
      </c>
    </row>
    <row r="2315" spans="27:30" x14ac:dyDescent="0.3">
      <c r="AA2315">
        <f t="shared" si="144"/>
        <v>0</v>
      </c>
      <c r="AB2315">
        <f t="shared" si="145"/>
        <v>0</v>
      </c>
      <c r="AC2315">
        <f t="shared" si="146"/>
        <v>0</v>
      </c>
      <c r="AD2315">
        <f t="shared" si="147"/>
        <v>0</v>
      </c>
    </row>
    <row r="2316" spans="27:30" x14ac:dyDescent="0.3">
      <c r="AA2316">
        <f t="shared" si="144"/>
        <v>0</v>
      </c>
      <c r="AB2316">
        <f t="shared" si="145"/>
        <v>0</v>
      </c>
      <c r="AC2316">
        <f t="shared" si="146"/>
        <v>0</v>
      </c>
      <c r="AD2316">
        <f t="shared" si="147"/>
        <v>0</v>
      </c>
    </row>
    <row r="2317" spans="27:30" x14ac:dyDescent="0.3">
      <c r="AA2317">
        <f t="shared" si="144"/>
        <v>0</v>
      </c>
      <c r="AB2317">
        <f t="shared" si="145"/>
        <v>0</v>
      </c>
      <c r="AC2317">
        <f t="shared" si="146"/>
        <v>0</v>
      </c>
      <c r="AD2317">
        <f t="shared" si="147"/>
        <v>0</v>
      </c>
    </row>
    <row r="2318" spans="27:30" x14ac:dyDescent="0.3">
      <c r="AA2318">
        <f t="shared" si="144"/>
        <v>0</v>
      </c>
      <c r="AB2318">
        <f t="shared" si="145"/>
        <v>0</v>
      </c>
      <c r="AC2318">
        <f t="shared" si="146"/>
        <v>0</v>
      </c>
      <c r="AD2318">
        <f t="shared" si="147"/>
        <v>0</v>
      </c>
    </row>
    <row r="2319" spans="27:30" x14ac:dyDescent="0.3">
      <c r="AA2319">
        <f t="shared" si="144"/>
        <v>0</v>
      </c>
      <c r="AB2319">
        <f t="shared" si="145"/>
        <v>0</v>
      </c>
      <c r="AC2319">
        <f t="shared" si="146"/>
        <v>0</v>
      </c>
      <c r="AD2319">
        <f t="shared" si="147"/>
        <v>0</v>
      </c>
    </row>
    <row r="2320" spans="27:30" x14ac:dyDescent="0.3">
      <c r="AA2320">
        <f t="shared" si="144"/>
        <v>0</v>
      </c>
      <c r="AB2320">
        <f t="shared" si="145"/>
        <v>0</v>
      </c>
      <c r="AC2320">
        <f t="shared" si="146"/>
        <v>0</v>
      </c>
      <c r="AD2320">
        <f t="shared" si="147"/>
        <v>0</v>
      </c>
    </row>
    <row r="2321" spans="27:30" x14ac:dyDescent="0.3">
      <c r="AA2321">
        <f t="shared" si="144"/>
        <v>0</v>
      </c>
      <c r="AB2321">
        <f t="shared" si="145"/>
        <v>0</v>
      </c>
      <c r="AC2321">
        <f t="shared" si="146"/>
        <v>0</v>
      </c>
      <c r="AD2321">
        <f t="shared" si="147"/>
        <v>0</v>
      </c>
    </row>
    <row r="2322" spans="27:30" x14ac:dyDescent="0.3">
      <c r="AA2322">
        <f t="shared" si="144"/>
        <v>0</v>
      </c>
      <c r="AB2322">
        <f t="shared" si="145"/>
        <v>0</v>
      </c>
      <c r="AC2322">
        <f t="shared" si="146"/>
        <v>0</v>
      </c>
      <c r="AD2322">
        <f t="shared" si="147"/>
        <v>0</v>
      </c>
    </row>
    <row r="2323" spans="27:30" x14ac:dyDescent="0.3">
      <c r="AA2323">
        <f t="shared" si="144"/>
        <v>0</v>
      </c>
      <c r="AB2323">
        <f t="shared" si="145"/>
        <v>0</v>
      </c>
      <c r="AC2323">
        <f t="shared" si="146"/>
        <v>0</v>
      </c>
      <c r="AD2323">
        <f t="shared" si="147"/>
        <v>0</v>
      </c>
    </row>
    <row r="2324" spans="27:30" x14ac:dyDescent="0.3">
      <c r="AA2324">
        <f t="shared" si="144"/>
        <v>0</v>
      </c>
      <c r="AB2324">
        <f t="shared" si="145"/>
        <v>0</v>
      </c>
      <c r="AC2324">
        <f t="shared" si="146"/>
        <v>0</v>
      </c>
      <c r="AD2324">
        <f t="shared" si="147"/>
        <v>0</v>
      </c>
    </row>
    <row r="2325" spans="27:30" x14ac:dyDescent="0.3">
      <c r="AA2325">
        <f t="shared" si="144"/>
        <v>0</v>
      </c>
      <c r="AB2325">
        <f t="shared" si="145"/>
        <v>0</v>
      </c>
      <c r="AC2325">
        <f t="shared" si="146"/>
        <v>0</v>
      </c>
      <c r="AD2325">
        <f t="shared" si="147"/>
        <v>0</v>
      </c>
    </row>
    <row r="2326" spans="27:30" x14ac:dyDescent="0.3">
      <c r="AA2326">
        <f t="shared" si="144"/>
        <v>0</v>
      </c>
      <c r="AB2326">
        <f t="shared" si="145"/>
        <v>0</v>
      </c>
      <c r="AC2326">
        <f t="shared" si="146"/>
        <v>0</v>
      </c>
      <c r="AD2326">
        <f t="shared" si="147"/>
        <v>0</v>
      </c>
    </row>
    <row r="2327" spans="27:30" x14ac:dyDescent="0.3">
      <c r="AA2327">
        <f t="shared" si="144"/>
        <v>0</v>
      </c>
      <c r="AB2327">
        <f t="shared" si="145"/>
        <v>0</v>
      </c>
      <c r="AC2327">
        <f t="shared" si="146"/>
        <v>0</v>
      </c>
      <c r="AD2327">
        <f t="shared" si="147"/>
        <v>0</v>
      </c>
    </row>
    <row r="2328" spans="27:30" x14ac:dyDescent="0.3">
      <c r="AA2328">
        <f t="shared" si="144"/>
        <v>0</v>
      </c>
      <c r="AB2328">
        <f t="shared" si="145"/>
        <v>0</v>
      </c>
      <c r="AC2328">
        <f t="shared" si="146"/>
        <v>0</v>
      </c>
      <c r="AD2328">
        <f t="shared" si="147"/>
        <v>0</v>
      </c>
    </row>
    <row r="2329" spans="27:30" x14ac:dyDescent="0.3">
      <c r="AA2329">
        <f t="shared" si="144"/>
        <v>0</v>
      </c>
      <c r="AB2329">
        <f t="shared" si="145"/>
        <v>0</v>
      </c>
      <c r="AC2329">
        <f t="shared" si="146"/>
        <v>0</v>
      </c>
      <c r="AD2329">
        <f t="shared" si="147"/>
        <v>0</v>
      </c>
    </row>
    <row r="2330" spans="27:30" x14ac:dyDescent="0.3">
      <c r="AA2330">
        <f t="shared" si="144"/>
        <v>0</v>
      </c>
      <c r="AB2330">
        <f t="shared" si="145"/>
        <v>0</v>
      </c>
      <c r="AC2330">
        <f t="shared" si="146"/>
        <v>0</v>
      </c>
      <c r="AD2330">
        <f t="shared" si="147"/>
        <v>0</v>
      </c>
    </row>
    <row r="2331" spans="27:30" x14ac:dyDescent="0.3">
      <c r="AA2331">
        <f t="shared" si="144"/>
        <v>0</v>
      </c>
      <c r="AB2331">
        <f t="shared" si="145"/>
        <v>0</v>
      </c>
      <c r="AC2331">
        <f t="shared" si="146"/>
        <v>0</v>
      </c>
      <c r="AD2331">
        <f t="shared" si="147"/>
        <v>0</v>
      </c>
    </row>
    <row r="2332" spans="27:30" x14ac:dyDescent="0.3">
      <c r="AA2332">
        <f t="shared" si="144"/>
        <v>0</v>
      </c>
      <c r="AB2332">
        <f t="shared" si="145"/>
        <v>0</v>
      </c>
      <c r="AC2332">
        <f t="shared" si="146"/>
        <v>0</v>
      </c>
      <c r="AD2332">
        <f t="shared" si="147"/>
        <v>0</v>
      </c>
    </row>
    <row r="2333" spans="27:30" x14ac:dyDescent="0.3">
      <c r="AA2333">
        <f t="shared" si="144"/>
        <v>0</v>
      </c>
      <c r="AB2333">
        <f t="shared" si="145"/>
        <v>0</v>
      </c>
      <c r="AC2333">
        <f t="shared" si="146"/>
        <v>0</v>
      </c>
      <c r="AD2333">
        <f t="shared" si="147"/>
        <v>0</v>
      </c>
    </row>
    <row r="2334" spans="27:30" x14ac:dyDescent="0.3">
      <c r="AA2334">
        <f t="shared" si="144"/>
        <v>0</v>
      </c>
      <c r="AB2334">
        <f t="shared" si="145"/>
        <v>0</v>
      </c>
      <c r="AC2334">
        <f t="shared" si="146"/>
        <v>0</v>
      </c>
      <c r="AD2334">
        <f t="shared" si="147"/>
        <v>0</v>
      </c>
    </row>
    <row r="2335" spans="27:30" x14ac:dyDescent="0.3">
      <c r="AA2335">
        <f t="shared" si="144"/>
        <v>0</v>
      </c>
      <c r="AB2335">
        <f t="shared" si="145"/>
        <v>0</v>
      </c>
      <c r="AC2335">
        <f t="shared" si="146"/>
        <v>0</v>
      </c>
      <c r="AD2335">
        <f t="shared" si="147"/>
        <v>0</v>
      </c>
    </row>
    <row r="2336" spans="27:30" x14ac:dyDescent="0.3">
      <c r="AA2336">
        <f t="shared" si="144"/>
        <v>0</v>
      </c>
      <c r="AB2336">
        <f t="shared" si="145"/>
        <v>0</v>
      </c>
      <c r="AC2336">
        <f t="shared" si="146"/>
        <v>0</v>
      </c>
      <c r="AD2336">
        <f t="shared" si="147"/>
        <v>0</v>
      </c>
    </row>
    <row r="2337" spans="27:30" x14ac:dyDescent="0.3">
      <c r="AA2337">
        <f t="shared" si="144"/>
        <v>0</v>
      </c>
      <c r="AB2337">
        <f t="shared" si="145"/>
        <v>0</v>
      </c>
      <c r="AC2337">
        <f t="shared" si="146"/>
        <v>0</v>
      </c>
      <c r="AD2337">
        <f t="shared" si="147"/>
        <v>0</v>
      </c>
    </row>
    <row r="2338" spans="27:30" x14ac:dyDescent="0.3">
      <c r="AA2338">
        <f t="shared" si="144"/>
        <v>0</v>
      </c>
      <c r="AB2338">
        <f t="shared" si="145"/>
        <v>0</v>
      </c>
      <c r="AC2338">
        <f t="shared" si="146"/>
        <v>0</v>
      </c>
      <c r="AD2338">
        <f t="shared" si="147"/>
        <v>0</v>
      </c>
    </row>
    <row r="2339" spans="27:30" x14ac:dyDescent="0.3">
      <c r="AA2339">
        <f t="shared" si="144"/>
        <v>0</v>
      </c>
      <c r="AB2339">
        <f t="shared" si="145"/>
        <v>0</v>
      </c>
      <c r="AC2339">
        <f t="shared" si="146"/>
        <v>0</v>
      </c>
      <c r="AD2339">
        <f t="shared" si="147"/>
        <v>0</v>
      </c>
    </row>
    <row r="2340" spans="27:30" x14ac:dyDescent="0.3">
      <c r="AA2340">
        <f t="shared" si="144"/>
        <v>0</v>
      </c>
      <c r="AB2340">
        <f t="shared" si="145"/>
        <v>0</v>
      </c>
      <c r="AC2340">
        <f t="shared" si="146"/>
        <v>0</v>
      </c>
      <c r="AD2340">
        <f t="shared" si="147"/>
        <v>0</v>
      </c>
    </row>
    <row r="2341" spans="27:30" x14ac:dyDescent="0.3">
      <c r="AA2341">
        <f t="shared" si="144"/>
        <v>0</v>
      </c>
      <c r="AB2341">
        <f t="shared" si="145"/>
        <v>0</v>
      </c>
      <c r="AC2341">
        <f t="shared" si="146"/>
        <v>0</v>
      </c>
      <c r="AD2341">
        <f t="shared" si="147"/>
        <v>0</v>
      </c>
    </row>
    <row r="2342" spans="27:30" x14ac:dyDescent="0.3">
      <c r="AA2342">
        <f t="shared" si="144"/>
        <v>0</v>
      </c>
      <c r="AB2342">
        <f t="shared" si="145"/>
        <v>0</v>
      </c>
      <c r="AC2342">
        <f t="shared" si="146"/>
        <v>0</v>
      </c>
      <c r="AD2342">
        <f t="shared" si="147"/>
        <v>0</v>
      </c>
    </row>
    <row r="2343" spans="27:30" x14ac:dyDescent="0.3">
      <c r="AA2343">
        <f t="shared" si="144"/>
        <v>0</v>
      </c>
      <c r="AB2343">
        <f t="shared" si="145"/>
        <v>0</v>
      </c>
      <c r="AC2343">
        <f t="shared" si="146"/>
        <v>0</v>
      </c>
      <c r="AD2343">
        <f t="shared" si="147"/>
        <v>0</v>
      </c>
    </row>
    <row r="2344" spans="27:30" x14ac:dyDescent="0.3">
      <c r="AA2344">
        <f t="shared" si="144"/>
        <v>0</v>
      </c>
      <c r="AB2344">
        <f t="shared" si="145"/>
        <v>0</v>
      </c>
      <c r="AC2344">
        <f t="shared" si="146"/>
        <v>0</v>
      </c>
      <c r="AD2344">
        <f t="shared" si="147"/>
        <v>0</v>
      </c>
    </row>
    <row r="2345" spans="27:30" x14ac:dyDescent="0.3">
      <c r="AA2345">
        <f t="shared" si="144"/>
        <v>0</v>
      </c>
      <c r="AB2345">
        <f t="shared" si="145"/>
        <v>0</v>
      </c>
      <c r="AC2345">
        <f t="shared" si="146"/>
        <v>0</v>
      </c>
      <c r="AD2345">
        <f t="shared" si="147"/>
        <v>0</v>
      </c>
    </row>
    <row r="2346" spans="27:30" x14ac:dyDescent="0.3">
      <c r="AA2346">
        <f t="shared" si="144"/>
        <v>0</v>
      </c>
      <c r="AB2346">
        <f t="shared" si="145"/>
        <v>0</v>
      </c>
      <c r="AC2346">
        <f t="shared" si="146"/>
        <v>0</v>
      </c>
      <c r="AD2346">
        <f t="shared" si="147"/>
        <v>0</v>
      </c>
    </row>
    <row r="2347" spans="27:30" x14ac:dyDescent="0.3">
      <c r="AA2347">
        <f t="shared" si="144"/>
        <v>0</v>
      </c>
      <c r="AB2347">
        <f t="shared" si="145"/>
        <v>0</v>
      </c>
      <c r="AC2347">
        <f t="shared" si="146"/>
        <v>0</v>
      </c>
      <c r="AD2347">
        <f t="shared" si="147"/>
        <v>0</v>
      </c>
    </row>
    <row r="2348" spans="27:30" x14ac:dyDescent="0.3">
      <c r="AA2348">
        <f t="shared" si="144"/>
        <v>0</v>
      </c>
      <c r="AB2348">
        <f t="shared" si="145"/>
        <v>0</v>
      </c>
      <c r="AC2348">
        <f t="shared" si="146"/>
        <v>0</v>
      </c>
      <c r="AD2348">
        <f t="shared" si="147"/>
        <v>0</v>
      </c>
    </row>
    <row r="2349" spans="27:30" x14ac:dyDescent="0.3">
      <c r="AA2349">
        <f t="shared" si="144"/>
        <v>0</v>
      </c>
      <c r="AB2349">
        <f t="shared" si="145"/>
        <v>0</v>
      </c>
      <c r="AC2349">
        <f t="shared" si="146"/>
        <v>0</v>
      </c>
      <c r="AD2349">
        <f t="shared" si="147"/>
        <v>0</v>
      </c>
    </row>
    <row r="2350" spans="27:30" x14ac:dyDescent="0.3">
      <c r="AA2350">
        <f t="shared" si="144"/>
        <v>0</v>
      </c>
      <c r="AB2350">
        <f t="shared" si="145"/>
        <v>0</v>
      </c>
      <c r="AC2350">
        <f t="shared" si="146"/>
        <v>0</v>
      </c>
      <c r="AD2350">
        <f t="shared" si="147"/>
        <v>0</v>
      </c>
    </row>
    <row r="2351" spans="27:30" x14ac:dyDescent="0.3">
      <c r="AA2351">
        <f t="shared" si="144"/>
        <v>0</v>
      </c>
      <c r="AB2351">
        <f t="shared" si="145"/>
        <v>0</v>
      </c>
      <c r="AC2351">
        <f t="shared" si="146"/>
        <v>0</v>
      </c>
      <c r="AD2351">
        <f t="shared" si="147"/>
        <v>0</v>
      </c>
    </row>
    <row r="2352" spans="27:30" x14ac:dyDescent="0.3">
      <c r="AA2352">
        <f t="shared" si="144"/>
        <v>0</v>
      </c>
      <c r="AB2352">
        <f t="shared" si="145"/>
        <v>0</v>
      </c>
      <c r="AC2352">
        <f t="shared" si="146"/>
        <v>0</v>
      </c>
      <c r="AD2352">
        <f t="shared" si="147"/>
        <v>0</v>
      </c>
    </row>
    <row r="2353" spans="27:30" x14ac:dyDescent="0.3">
      <c r="AA2353">
        <f t="shared" si="144"/>
        <v>0</v>
      </c>
      <c r="AB2353">
        <f t="shared" si="145"/>
        <v>0</v>
      </c>
      <c r="AC2353">
        <f t="shared" si="146"/>
        <v>0</v>
      </c>
      <c r="AD2353">
        <f t="shared" si="147"/>
        <v>0</v>
      </c>
    </row>
    <row r="2354" spans="27:30" x14ac:dyDescent="0.3">
      <c r="AA2354">
        <f t="shared" si="144"/>
        <v>0</v>
      </c>
      <c r="AB2354">
        <f t="shared" si="145"/>
        <v>0</v>
      </c>
      <c r="AC2354">
        <f t="shared" si="146"/>
        <v>0</v>
      </c>
      <c r="AD2354">
        <f t="shared" si="147"/>
        <v>0</v>
      </c>
    </row>
    <row r="2355" spans="27:30" x14ac:dyDescent="0.3">
      <c r="AA2355">
        <f t="shared" si="144"/>
        <v>0</v>
      </c>
      <c r="AB2355">
        <f t="shared" si="145"/>
        <v>0</v>
      </c>
      <c r="AC2355">
        <f t="shared" si="146"/>
        <v>0</v>
      </c>
      <c r="AD2355">
        <f t="shared" si="147"/>
        <v>0</v>
      </c>
    </row>
    <row r="2356" spans="27:30" x14ac:dyDescent="0.3">
      <c r="AA2356">
        <f t="shared" si="144"/>
        <v>0</v>
      </c>
      <c r="AB2356">
        <f t="shared" si="145"/>
        <v>0</v>
      </c>
      <c r="AC2356">
        <f t="shared" si="146"/>
        <v>0</v>
      </c>
      <c r="AD2356">
        <f t="shared" si="147"/>
        <v>0</v>
      </c>
    </row>
    <row r="2357" spans="27:30" x14ac:dyDescent="0.3">
      <c r="AA2357">
        <f t="shared" si="144"/>
        <v>0</v>
      </c>
      <c r="AB2357">
        <f t="shared" si="145"/>
        <v>0</v>
      </c>
      <c r="AC2357">
        <f t="shared" si="146"/>
        <v>0</v>
      </c>
      <c r="AD2357">
        <f t="shared" si="147"/>
        <v>0</v>
      </c>
    </row>
    <row r="2358" spans="27:30" x14ac:dyDescent="0.3">
      <c r="AA2358">
        <f t="shared" si="144"/>
        <v>0</v>
      </c>
      <c r="AB2358">
        <f t="shared" si="145"/>
        <v>0</v>
      </c>
      <c r="AC2358">
        <f t="shared" si="146"/>
        <v>0</v>
      </c>
      <c r="AD2358">
        <f t="shared" si="147"/>
        <v>0</v>
      </c>
    </row>
    <row r="2359" spans="27:30" x14ac:dyDescent="0.3">
      <c r="AA2359">
        <f t="shared" si="144"/>
        <v>0</v>
      </c>
      <c r="AB2359">
        <f t="shared" si="145"/>
        <v>0</v>
      </c>
      <c r="AC2359">
        <f t="shared" si="146"/>
        <v>0</v>
      </c>
      <c r="AD2359">
        <f t="shared" si="147"/>
        <v>0</v>
      </c>
    </row>
    <row r="2360" spans="27:30" x14ac:dyDescent="0.3">
      <c r="AA2360">
        <f t="shared" si="144"/>
        <v>0</v>
      </c>
      <c r="AB2360">
        <f t="shared" si="145"/>
        <v>0</v>
      </c>
      <c r="AC2360">
        <f t="shared" si="146"/>
        <v>0</v>
      </c>
      <c r="AD2360">
        <f t="shared" si="147"/>
        <v>0</v>
      </c>
    </row>
    <row r="2361" spans="27:30" x14ac:dyDescent="0.3">
      <c r="AA2361">
        <f t="shared" si="144"/>
        <v>0</v>
      </c>
      <c r="AB2361">
        <f t="shared" si="145"/>
        <v>0</v>
      </c>
      <c r="AC2361">
        <f t="shared" si="146"/>
        <v>0</v>
      </c>
      <c r="AD2361">
        <f t="shared" si="147"/>
        <v>0</v>
      </c>
    </row>
    <row r="2362" spans="27:30" x14ac:dyDescent="0.3">
      <c r="AA2362">
        <f t="shared" si="144"/>
        <v>0</v>
      </c>
      <c r="AB2362">
        <f t="shared" si="145"/>
        <v>0</v>
      </c>
      <c r="AC2362">
        <f t="shared" si="146"/>
        <v>0</v>
      </c>
      <c r="AD2362">
        <f t="shared" si="147"/>
        <v>0</v>
      </c>
    </row>
    <row r="2363" spans="27:30" x14ac:dyDescent="0.3">
      <c r="AA2363">
        <f t="shared" si="144"/>
        <v>0</v>
      </c>
      <c r="AB2363">
        <f t="shared" si="145"/>
        <v>0</v>
      </c>
      <c r="AC2363">
        <f t="shared" si="146"/>
        <v>0</v>
      </c>
      <c r="AD2363">
        <f t="shared" si="147"/>
        <v>0</v>
      </c>
    </row>
    <row r="2364" spans="27:30" x14ac:dyDescent="0.3">
      <c r="AA2364">
        <f t="shared" si="144"/>
        <v>0</v>
      </c>
      <c r="AB2364">
        <f t="shared" si="145"/>
        <v>0</v>
      </c>
      <c r="AC2364">
        <f t="shared" si="146"/>
        <v>0</v>
      </c>
      <c r="AD2364">
        <f t="shared" si="147"/>
        <v>0</v>
      </c>
    </row>
    <row r="2365" spans="27:30" x14ac:dyDescent="0.3">
      <c r="AA2365">
        <f t="shared" si="144"/>
        <v>0</v>
      </c>
      <c r="AB2365">
        <f t="shared" si="145"/>
        <v>0</v>
      </c>
      <c r="AC2365">
        <f t="shared" si="146"/>
        <v>0</v>
      </c>
      <c r="AD2365">
        <f t="shared" si="147"/>
        <v>0</v>
      </c>
    </row>
    <row r="2366" spans="27:30" x14ac:dyDescent="0.3">
      <c r="AA2366">
        <f t="shared" si="144"/>
        <v>0</v>
      </c>
      <c r="AB2366">
        <f t="shared" si="145"/>
        <v>0</v>
      </c>
      <c r="AC2366">
        <f t="shared" si="146"/>
        <v>0</v>
      </c>
      <c r="AD2366">
        <f t="shared" si="147"/>
        <v>0</v>
      </c>
    </row>
    <row r="2367" spans="27:30" x14ac:dyDescent="0.3">
      <c r="AA2367">
        <f t="shared" si="144"/>
        <v>0</v>
      </c>
      <c r="AB2367">
        <f t="shared" si="145"/>
        <v>0</v>
      </c>
      <c r="AC2367">
        <f t="shared" si="146"/>
        <v>0</v>
      </c>
      <c r="AD2367">
        <f t="shared" si="147"/>
        <v>0</v>
      </c>
    </row>
    <row r="2368" spans="27:30" x14ac:dyDescent="0.3">
      <c r="AA2368">
        <f t="shared" si="144"/>
        <v>0</v>
      </c>
      <c r="AB2368">
        <f t="shared" si="145"/>
        <v>0</v>
      </c>
      <c r="AC2368">
        <f t="shared" si="146"/>
        <v>0</v>
      </c>
      <c r="AD2368">
        <f t="shared" si="147"/>
        <v>0</v>
      </c>
    </row>
    <row r="2369" spans="27:30" x14ac:dyDescent="0.3">
      <c r="AA2369">
        <f t="shared" si="144"/>
        <v>0</v>
      </c>
      <c r="AB2369">
        <f t="shared" si="145"/>
        <v>0</v>
      </c>
      <c r="AC2369">
        <f t="shared" si="146"/>
        <v>0</v>
      </c>
      <c r="AD2369">
        <f t="shared" si="147"/>
        <v>0</v>
      </c>
    </row>
    <row r="2370" spans="27:30" x14ac:dyDescent="0.3">
      <c r="AA2370">
        <f t="shared" si="144"/>
        <v>0</v>
      </c>
      <c r="AB2370">
        <f t="shared" si="145"/>
        <v>0</v>
      </c>
      <c r="AC2370">
        <f t="shared" si="146"/>
        <v>0</v>
      </c>
      <c r="AD2370">
        <f t="shared" si="147"/>
        <v>0</v>
      </c>
    </row>
    <row r="2371" spans="27:30" x14ac:dyDescent="0.3">
      <c r="AA2371">
        <f t="shared" si="144"/>
        <v>0</v>
      </c>
      <c r="AB2371">
        <f t="shared" si="145"/>
        <v>0</v>
      </c>
      <c r="AC2371">
        <f t="shared" si="146"/>
        <v>0</v>
      </c>
      <c r="AD2371">
        <f t="shared" si="147"/>
        <v>0</v>
      </c>
    </row>
    <row r="2372" spans="27:30" x14ac:dyDescent="0.3">
      <c r="AA2372">
        <f t="shared" si="144"/>
        <v>0</v>
      </c>
      <c r="AB2372">
        <f t="shared" si="145"/>
        <v>0</v>
      </c>
      <c r="AC2372">
        <f t="shared" si="146"/>
        <v>0</v>
      </c>
      <c r="AD2372">
        <f t="shared" si="147"/>
        <v>0</v>
      </c>
    </row>
    <row r="2373" spans="27:30" x14ac:dyDescent="0.3">
      <c r="AA2373">
        <f t="shared" ref="AA2373:AA2436" si="148">ROUND(Z2373,0)</f>
        <v>0</v>
      </c>
      <c r="AB2373">
        <f t="shared" ref="AB2373:AB2436" si="149">IF(AA2373=Y2373,0,1)</f>
        <v>0</v>
      </c>
      <c r="AC2373">
        <f t="shared" ref="AC2373:AC2436" si="150">IF(AA2373&lt;Y2373+5,IF(AA2373&gt;Y2373-5,0,1),1)</f>
        <v>0</v>
      </c>
      <c r="AD2373">
        <f t="shared" ref="AD2373:AD2436" si="151">IF(AA2373&lt;Y2373+10,IF(AA2373&gt;Y2373-10,0,1),1)</f>
        <v>0</v>
      </c>
    </row>
    <row r="2374" spans="27:30" x14ac:dyDescent="0.3">
      <c r="AA2374">
        <f t="shared" si="148"/>
        <v>0</v>
      </c>
      <c r="AB2374">
        <f t="shared" si="149"/>
        <v>0</v>
      </c>
      <c r="AC2374">
        <f t="shared" si="150"/>
        <v>0</v>
      </c>
      <c r="AD2374">
        <f t="shared" si="151"/>
        <v>0</v>
      </c>
    </row>
    <row r="2375" spans="27:30" x14ac:dyDescent="0.3">
      <c r="AA2375">
        <f t="shared" si="148"/>
        <v>0</v>
      </c>
      <c r="AB2375">
        <f t="shared" si="149"/>
        <v>0</v>
      </c>
      <c r="AC2375">
        <f t="shared" si="150"/>
        <v>0</v>
      </c>
      <c r="AD2375">
        <f t="shared" si="151"/>
        <v>0</v>
      </c>
    </row>
    <row r="2376" spans="27:30" x14ac:dyDescent="0.3">
      <c r="AA2376">
        <f t="shared" si="148"/>
        <v>0</v>
      </c>
      <c r="AB2376">
        <f t="shared" si="149"/>
        <v>0</v>
      </c>
      <c r="AC2376">
        <f t="shared" si="150"/>
        <v>0</v>
      </c>
      <c r="AD2376">
        <f t="shared" si="151"/>
        <v>0</v>
      </c>
    </row>
    <row r="2377" spans="27:30" x14ac:dyDescent="0.3">
      <c r="AA2377">
        <f t="shared" si="148"/>
        <v>0</v>
      </c>
      <c r="AB2377">
        <f t="shared" si="149"/>
        <v>0</v>
      </c>
      <c r="AC2377">
        <f t="shared" si="150"/>
        <v>0</v>
      </c>
      <c r="AD2377">
        <f t="shared" si="151"/>
        <v>0</v>
      </c>
    </row>
    <row r="2378" spans="27:30" x14ac:dyDescent="0.3">
      <c r="AA2378">
        <f t="shared" si="148"/>
        <v>0</v>
      </c>
      <c r="AB2378">
        <f t="shared" si="149"/>
        <v>0</v>
      </c>
      <c r="AC2378">
        <f t="shared" si="150"/>
        <v>0</v>
      </c>
      <c r="AD2378">
        <f t="shared" si="151"/>
        <v>0</v>
      </c>
    </row>
    <row r="2379" spans="27:30" x14ac:dyDescent="0.3">
      <c r="AA2379">
        <f t="shared" si="148"/>
        <v>0</v>
      </c>
      <c r="AB2379">
        <f t="shared" si="149"/>
        <v>0</v>
      </c>
      <c r="AC2379">
        <f t="shared" si="150"/>
        <v>0</v>
      </c>
      <c r="AD2379">
        <f t="shared" si="151"/>
        <v>0</v>
      </c>
    </row>
    <row r="2380" spans="27:30" x14ac:dyDescent="0.3">
      <c r="AA2380">
        <f t="shared" si="148"/>
        <v>0</v>
      </c>
      <c r="AB2380">
        <f t="shared" si="149"/>
        <v>0</v>
      </c>
      <c r="AC2380">
        <f t="shared" si="150"/>
        <v>0</v>
      </c>
      <c r="AD2380">
        <f t="shared" si="151"/>
        <v>0</v>
      </c>
    </row>
    <row r="2381" spans="27:30" x14ac:dyDescent="0.3">
      <c r="AA2381">
        <f t="shared" si="148"/>
        <v>0</v>
      </c>
      <c r="AB2381">
        <f t="shared" si="149"/>
        <v>0</v>
      </c>
      <c r="AC2381">
        <f t="shared" si="150"/>
        <v>0</v>
      </c>
      <c r="AD2381">
        <f t="shared" si="151"/>
        <v>0</v>
      </c>
    </row>
    <row r="2382" spans="27:30" x14ac:dyDescent="0.3">
      <c r="AA2382">
        <f t="shared" si="148"/>
        <v>0</v>
      </c>
      <c r="AB2382">
        <f t="shared" si="149"/>
        <v>0</v>
      </c>
      <c r="AC2382">
        <f t="shared" si="150"/>
        <v>0</v>
      </c>
      <c r="AD2382">
        <f t="shared" si="151"/>
        <v>0</v>
      </c>
    </row>
    <row r="2383" spans="27:30" x14ac:dyDescent="0.3">
      <c r="AA2383">
        <f t="shared" si="148"/>
        <v>0</v>
      </c>
      <c r="AB2383">
        <f t="shared" si="149"/>
        <v>0</v>
      </c>
      <c r="AC2383">
        <f t="shared" si="150"/>
        <v>0</v>
      </c>
      <c r="AD2383">
        <f t="shared" si="151"/>
        <v>0</v>
      </c>
    </row>
    <row r="2384" spans="27:30" x14ac:dyDescent="0.3">
      <c r="AA2384">
        <f t="shared" si="148"/>
        <v>0</v>
      </c>
      <c r="AB2384">
        <f t="shared" si="149"/>
        <v>0</v>
      </c>
      <c r="AC2384">
        <f t="shared" si="150"/>
        <v>0</v>
      </c>
      <c r="AD2384">
        <f t="shared" si="151"/>
        <v>0</v>
      </c>
    </row>
    <row r="2385" spans="27:30" x14ac:dyDescent="0.3">
      <c r="AA2385">
        <f t="shared" si="148"/>
        <v>0</v>
      </c>
      <c r="AB2385">
        <f t="shared" si="149"/>
        <v>0</v>
      </c>
      <c r="AC2385">
        <f t="shared" si="150"/>
        <v>0</v>
      </c>
      <c r="AD2385">
        <f t="shared" si="151"/>
        <v>0</v>
      </c>
    </row>
    <row r="2386" spans="27:30" x14ac:dyDescent="0.3">
      <c r="AA2386">
        <f t="shared" si="148"/>
        <v>0</v>
      </c>
      <c r="AB2386">
        <f t="shared" si="149"/>
        <v>0</v>
      </c>
      <c r="AC2386">
        <f t="shared" si="150"/>
        <v>0</v>
      </c>
      <c r="AD2386">
        <f t="shared" si="151"/>
        <v>0</v>
      </c>
    </row>
    <row r="2387" spans="27:30" x14ac:dyDescent="0.3">
      <c r="AA2387">
        <f t="shared" si="148"/>
        <v>0</v>
      </c>
      <c r="AB2387">
        <f t="shared" si="149"/>
        <v>0</v>
      </c>
      <c r="AC2387">
        <f t="shared" si="150"/>
        <v>0</v>
      </c>
      <c r="AD2387">
        <f t="shared" si="151"/>
        <v>0</v>
      </c>
    </row>
    <row r="2388" spans="27:30" x14ac:dyDescent="0.3">
      <c r="AA2388">
        <f t="shared" si="148"/>
        <v>0</v>
      </c>
      <c r="AB2388">
        <f t="shared" si="149"/>
        <v>0</v>
      </c>
      <c r="AC2388">
        <f t="shared" si="150"/>
        <v>0</v>
      </c>
      <c r="AD2388">
        <f t="shared" si="151"/>
        <v>0</v>
      </c>
    </row>
    <row r="2389" spans="27:30" x14ac:dyDescent="0.3">
      <c r="AA2389">
        <f t="shared" si="148"/>
        <v>0</v>
      </c>
      <c r="AB2389">
        <f t="shared" si="149"/>
        <v>0</v>
      </c>
      <c r="AC2389">
        <f t="shared" si="150"/>
        <v>0</v>
      </c>
      <c r="AD2389">
        <f t="shared" si="151"/>
        <v>0</v>
      </c>
    </row>
    <row r="2390" spans="27:30" x14ac:dyDescent="0.3">
      <c r="AA2390">
        <f t="shared" si="148"/>
        <v>0</v>
      </c>
      <c r="AB2390">
        <f t="shared" si="149"/>
        <v>0</v>
      </c>
      <c r="AC2390">
        <f t="shared" si="150"/>
        <v>0</v>
      </c>
      <c r="AD2390">
        <f t="shared" si="151"/>
        <v>0</v>
      </c>
    </row>
    <row r="2391" spans="27:30" x14ac:dyDescent="0.3">
      <c r="AA2391">
        <f t="shared" si="148"/>
        <v>0</v>
      </c>
      <c r="AB2391">
        <f t="shared" si="149"/>
        <v>0</v>
      </c>
      <c r="AC2391">
        <f t="shared" si="150"/>
        <v>0</v>
      </c>
      <c r="AD2391">
        <f t="shared" si="151"/>
        <v>0</v>
      </c>
    </row>
    <row r="2392" spans="27:30" x14ac:dyDescent="0.3">
      <c r="AA2392">
        <f t="shared" si="148"/>
        <v>0</v>
      </c>
      <c r="AB2392">
        <f t="shared" si="149"/>
        <v>0</v>
      </c>
      <c r="AC2392">
        <f t="shared" si="150"/>
        <v>0</v>
      </c>
      <c r="AD2392">
        <f t="shared" si="151"/>
        <v>0</v>
      </c>
    </row>
    <row r="2393" spans="27:30" x14ac:dyDescent="0.3">
      <c r="AA2393">
        <f t="shared" si="148"/>
        <v>0</v>
      </c>
      <c r="AB2393">
        <f t="shared" si="149"/>
        <v>0</v>
      </c>
      <c r="AC2393">
        <f t="shared" si="150"/>
        <v>0</v>
      </c>
      <c r="AD2393">
        <f t="shared" si="151"/>
        <v>0</v>
      </c>
    </row>
    <row r="2394" spans="27:30" x14ac:dyDescent="0.3">
      <c r="AA2394">
        <f t="shared" si="148"/>
        <v>0</v>
      </c>
      <c r="AB2394">
        <f t="shared" si="149"/>
        <v>0</v>
      </c>
      <c r="AC2394">
        <f t="shared" si="150"/>
        <v>0</v>
      </c>
      <c r="AD2394">
        <f t="shared" si="151"/>
        <v>0</v>
      </c>
    </row>
    <row r="2395" spans="27:30" x14ac:dyDescent="0.3">
      <c r="AA2395">
        <f t="shared" si="148"/>
        <v>0</v>
      </c>
      <c r="AB2395">
        <f t="shared" si="149"/>
        <v>0</v>
      </c>
      <c r="AC2395">
        <f t="shared" si="150"/>
        <v>0</v>
      </c>
      <c r="AD2395">
        <f t="shared" si="151"/>
        <v>0</v>
      </c>
    </row>
    <row r="2396" spans="27:30" x14ac:dyDescent="0.3">
      <c r="AA2396">
        <f t="shared" si="148"/>
        <v>0</v>
      </c>
      <c r="AB2396">
        <f t="shared" si="149"/>
        <v>0</v>
      </c>
      <c r="AC2396">
        <f t="shared" si="150"/>
        <v>0</v>
      </c>
      <c r="AD2396">
        <f t="shared" si="151"/>
        <v>0</v>
      </c>
    </row>
    <row r="2397" spans="27:30" x14ac:dyDescent="0.3">
      <c r="AA2397">
        <f t="shared" si="148"/>
        <v>0</v>
      </c>
      <c r="AB2397">
        <f t="shared" si="149"/>
        <v>0</v>
      </c>
      <c r="AC2397">
        <f t="shared" si="150"/>
        <v>0</v>
      </c>
      <c r="AD2397">
        <f t="shared" si="151"/>
        <v>0</v>
      </c>
    </row>
    <row r="2398" spans="27:30" x14ac:dyDescent="0.3">
      <c r="AA2398">
        <f t="shared" si="148"/>
        <v>0</v>
      </c>
      <c r="AB2398">
        <f t="shared" si="149"/>
        <v>0</v>
      </c>
      <c r="AC2398">
        <f t="shared" si="150"/>
        <v>0</v>
      </c>
      <c r="AD2398">
        <f t="shared" si="151"/>
        <v>0</v>
      </c>
    </row>
    <row r="2399" spans="27:30" x14ac:dyDescent="0.3">
      <c r="AA2399">
        <f t="shared" si="148"/>
        <v>0</v>
      </c>
      <c r="AB2399">
        <f t="shared" si="149"/>
        <v>0</v>
      </c>
      <c r="AC2399">
        <f t="shared" si="150"/>
        <v>0</v>
      </c>
      <c r="AD2399">
        <f t="shared" si="151"/>
        <v>0</v>
      </c>
    </row>
    <row r="2400" spans="27:30" x14ac:dyDescent="0.3">
      <c r="AA2400">
        <f t="shared" si="148"/>
        <v>0</v>
      </c>
      <c r="AB2400">
        <f t="shared" si="149"/>
        <v>0</v>
      </c>
      <c r="AC2400">
        <f t="shared" si="150"/>
        <v>0</v>
      </c>
      <c r="AD2400">
        <f t="shared" si="151"/>
        <v>0</v>
      </c>
    </row>
    <row r="2401" spans="27:30" x14ac:dyDescent="0.3">
      <c r="AA2401">
        <f t="shared" si="148"/>
        <v>0</v>
      </c>
      <c r="AB2401">
        <f t="shared" si="149"/>
        <v>0</v>
      </c>
      <c r="AC2401">
        <f t="shared" si="150"/>
        <v>0</v>
      </c>
      <c r="AD2401">
        <f t="shared" si="151"/>
        <v>0</v>
      </c>
    </row>
    <row r="2402" spans="27:30" x14ac:dyDescent="0.3">
      <c r="AA2402">
        <f t="shared" si="148"/>
        <v>0</v>
      </c>
      <c r="AB2402">
        <f t="shared" si="149"/>
        <v>0</v>
      </c>
      <c r="AC2402">
        <f t="shared" si="150"/>
        <v>0</v>
      </c>
      <c r="AD2402">
        <f t="shared" si="151"/>
        <v>0</v>
      </c>
    </row>
    <row r="2403" spans="27:30" x14ac:dyDescent="0.3">
      <c r="AA2403">
        <f t="shared" si="148"/>
        <v>0</v>
      </c>
      <c r="AB2403">
        <f t="shared" si="149"/>
        <v>0</v>
      </c>
      <c r="AC2403">
        <f t="shared" si="150"/>
        <v>0</v>
      </c>
      <c r="AD2403">
        <f t="shared" si="151"/>
        <v>0</v>
      </c>
    </row>
    <row r="2404" spans="27:30" x14ac:dyDescent="0.3">
      <c r="AA2404">
        <f t="shared" si="148"/>
        <v>0</v>
      </c>
      <c r="AB2404">
        <f t="shared" si="149"/>
        <v>0</v>
      </c>
      <c r="AC2404">
        <f t="shared" si="150"/>
        <v>0</v>
      </c>
      <c r="AD2404">
        <f t="shared" si="151"/>
        <v>0</v>
      </c>
    </row>
    <row r="2405" spans="27:30" x14ac:dyDescent="0.3">
      <c r="AA2405">
        <f t="shared" si="148"/>
        <v>0</v>
      </c>
      <c r="AB2405">
        <f t="shared" si="149"/>
        <v>0</v>
      </c>
      <c r="AC2405">
        <f t="shared" si="150"/>
        <v>0</v>
      </c>
      <c r="AD2405">
        <f t="shared" si="151"/>
        <v>0</v>
      </c>
    </row>
    <row r="2406" spans="27:30" x14ac:dyDescent="0.3">
      <c r="AA2406">
        <f t="shared" si="148"/>
        <v>0</v>
      </c>
      <c r="AB2406">
        <f t="shared" si="149"/>
        <v>0</v>
      </c>
      <c r="AC2406">
        <f t="shared" si="150"/>
        <v>0</v>
      </c>
      <c r="AD2406">
        <f t="shared" si="151"/>
        <v>0</v>
      </c>
    </row>
    <row r="2407" spans="27:30" x14ac:dyDescent="0.3">
      <c r="AA2407">
        <f t="shared" si="148"/>
        <v>0</v>
      </c>
      <c r="AB2407">
        <f t="shared" si="149"/>
        <v>0</v>
      </c>
      <c r="AC2407">
        <f t="shared" si="150"/>
        <v>0</v>
      </c>
      <c r="AD2407">
        <f t="shared" si="151"/>
        <v>0</v>
      </c>
    </row>
    <row r="2408" spans="27:30" x14ac:dyDescent="0.3">
      <c r="AA2408">
        <f t="shared" si="148"/>
        <v>0</v>
      </c>
      <c r="AB2408">
        <f t="shared" si="149"/>
        <v>0</v>
      </c>
      <c r="AC2408">
        <f t="shared" si="150"/>
        <v>0</v>
      </c>
      <c r="AD2408">
        <f t="shared" si="151"/>
        <v>0</v>
      </c>
    </row>
    <row r="2409" spans="27:30" x14ac:dyDescent="0.3">
      <c r="AA2409">
        <f t="shared" si="148"/>
        <v>0</v>
      </c>
      <c r="AB2409">
        <f t="shared" si="149"/>
        <v>0</v>
      </c>
      <c r="AC2409">
        <f t="shared" si="150"/>
        <v>0</v>
      </c>
      <c r="AD2409">
        <f t="shared" si="151"/>
        <v>0</v>
      </c>
    </row>
    <row r="2410" spans="27:30" x14ac:dyDescent="0.3">
      <c r="AA2410">
        <f t="shared" si="148"/>
        <v>0</v>
      </c>
      <c r="AB2410">
        <f t="shared" si="149"/>
        <v>0</v>
      </c>
      <c r="AC2410">
        <f t="shared" si="150"/>
        <v>0</v>
      </c>
      <c r="AD2410">
        <f t="shared" si="151"/>
        <v>0</v>
      </c>
    </row>
    <row r="2411" spans="27:30" x14ac:dyDescent="0.3">
      <c r="AA2411">
        <f t="shared" si="148"/>
        <v>0</v>
      </c>
      <c r="AB2411">
        <f t="shared" si="149"/>
        <v>0</v>
      </c>
      <c r="AC2411">
        <f t="shared" si="150"/>
        <v>0</v>
      </c>
      <c r="AD2411">
        <f t="shared" si="151"/>
        <v>0</v>
      </c>
    </row>
    <row r="2412" spans="27:30" x14ac:dyDescent="0.3">
      <c r="AA2412">
        <f t="shared" si="148"/>
        <v>0</v>
      </c>
      <c r="AB2412">
        <f t="shared" si="149"/>
        <v>0</v>
      </c>
      <c r="AC2412">
        <f t="shared" si="150"/>
        <v>0</v>
      </c>
      <c r="AD2412">
        <f t="shared" si="151"/>
        <v>0</v>
      </c>
    </row>
    <row r="2413" spans="27:30" x14ac:dyDescent="0.3">
      <c r="AA2413">
        <f t="shared" si="148"/>
        <v>0</v>
      </c>
      <c r="AB2413">
        <f t="shared" si="149"/>
        <v>0</v>
      </c>
      <c r="AC2413">
        <f t="shared" si="150"/>
        <v>0</v>
      </c>
      <c r="AD2413">
        <f t="shared" si="151"/>
        <v>0</v>
      </c>
    </row>
    <row r="2414" spans="27:30" x14ac:dyDescent="0.3">
      <c r="AA2414">
        <f t="shared" si="148"/>
        <v>0</v>
      </c>
      <c r="AB2414">
        <f t="shared" si="149"/>
        <v>0</v>
      </c>
      <c r="AC2414">
        <f t="shared" si="150"/>
        <v>0</v>
      </c>
      <c r="AD2414">
        <f t="shared" si="151"/>
        <v>0</v>
      </c>
    </row>
    <row r="2415" spans="27:30" x14ac:dyDescent="0.3">
      <c r="AA2415">
        <f t="shared" si="148"/>
        <v>0</v>
      </c>
      <c r="AB2415">
        <f t="shared" si="149"/>
        <v>0</v>
      </c>
      <c r="AC2415">
        <f t="shared" si="150"/>
        <v>0</v>
      </c>
      <c r="AD2415">
        <f t="shared" si="151"/>
        <v>0</v>
      </c>
    </row>
    <row r="2416" spans="27:30" x14ac:dyDescent="0.3">
      <c r="AA2416">
        <f t="shared" si="148"/>
        <v>0</v>
      </c>
      <c r="AB2416">
        <f t="shared" si="149"/>
        <v>0</v>
      </c>
      <c r="AC2416">
        <f t="shared" si="150"/>
        <v>0</v>
      </c>
      <c r="AD2416">
        <f t="shared" si="151"/>
        <v>0</v>
      </c>
    </row>
    <row r="2417" spans="27:30" x14ac:dyDescent="0.3">
      <c r="AA2417">
        <f t="shared" si="148"/>
        <v>0</v>
      </c>
      <c r="AB2417">
        <f t="shared" si="149"/>
        <v>0</v>
      </c>
      <c r="AC2417">
        <f t="shared" si="150"/>
        <v>0</v>
      </c>
      <c r="AD2417">
        <f t="shared" si="151"/>
        <v>0</v>
      </c>
    </row>
    <row r="2418" spans="27:30" x14ac:dyDescent="0.3">
      <c r="AA2418">
        <f t="shared" si="148"/>
        <v>0</v>
      </c>
      <c r="AB2418">
        <f t="shared" si="149"/>
        <v>0</v>
      </c>
      <c r="AC2418">
        <f t="shared" si="150"/>
        <v>0</v>
      </c>
      <c r="AD2418">
        <f t="shared" si="151"/>
        <v>0</v>
      </c>
    </row>
    <row r="2419" spans="27:30" x14ac:dyDescent="0.3">
      <c r="AA2419">
        <f t="shared" si="148"/>
        <v>0</v>
      </c>
      <c r="AB2419">
        <f t="shared" si="149"/>
        <v>0</v>
      </c>
      <c r="AC2419">
        <f t="shared" si="150"/>
        <v>0</v>
      </c>
      <c r="AD2419">
        <f t="shared" si="151"/>
        <v>0</v>
      </c>
    </row>
    <row r="2420" spans="27:30" x14ac:dyDescent="0.3">
      <c r="AA2420">
        <f t="shared" si="148"/>
        <v>0</v>
      </c>
      <c r="AB2420">
        <f t="shared" si="149"/>
        <v>0</v>
      </c>
      <c r="AC2420">
        <f t="shared" si="150"/>
        <v>0</v>
      </c>
      <c r="AD2420">
        <f t="shared" si="151"/>
        <v>0</v>
      </c>
    </row>
    <row r="2421" spans="27:30" x14ac:dyDescent="0.3">
      <c r="AA2421">
        <f t="shared" si="148"/>
        <v>0</v>
      </c>
      <c r="AB2421">
        <f t="shared" si="149"/>
        <v>0</v>
      </c>
      <c r="AC2421">
        <f t="shared" si="150"/>
        <v>0</v>
      </c>
      <c r="AD2421">
        <f t="shared" si="151"/>
        <v>0</v>
      </c>
    </row>
    <row r="2422" spans="27:30" x14ac:dyDescent="0.3">
      <c r="AA2422">
        <f t="shared" si="148"/>
        <v>0</v>
      </c>
      <c r="AB2422">
        <f t="shared" si="149"/>
        <v>0</v>
      </c>
      <c r="AC2422">
        <f t="shared" si="150"/>
        <v>0</v>
      </c>
      <c r="AD2422">
        <f t="shared" si="151"/>
        <v>0</v>
      </c>
    </row>
    <row r="2423" spans="27:30" x14ac:dyDescent="0.3">
      <c r="AA2423">
        <f t="shared" si="148"/>
        <v>0</v>
      </c>
      <c r="AB2423">
        <f t="shared" si="149"/>
        <v>0</v>
      </c>
      <c r="AC2423">
        <f t="shared" si="150"/>
        <v>0</v>
      </c>
      <c r="AD2423">
        <f t="shared" si="151"/>
        <v>0</v>
      </c>
    </row>
    <row r="2424" spans="27:30" x14ac:dyDescent="0.3">
      <c r="AA2424">
        <f t="shared" si="148"/>
        <v>0</v>
      </c>
      <c r="AB2424">
        <f t="shared" si="149"/>
        <v>0</v>
      </c>
      <c r="AC2424">
        <f t="shared" si="150"/>
        <v>0</v>
      </c>
      <c r="AD2424">
        <f t="shared" si="151"/>
        <v>0</v>
      </c>
    </row>
    <row r="2425" spans="27:30" x14ac:dyDescent="0.3">
      <c r="AA2425">
        <f t="shared" si="148"/>
        <v>0</v>
      </c>
      <c r="AB2425">
        <f t="shared" si="149"/>
        <v>0</v>
      </c>
      <c r="AC2425">
        <f t="shared" si="150"/>
        <v>0</v>
      </c>
      <c r="AD2425">
        <f t="shared" si="151"/>
        <v>0</v>
      </c>
    </row>
    <row r="2426" spans="27:30" x14ac:dyDescent="0.3">
      <c r="AA2426">
        <f t="shared" si="148"/>
        <v>0</v>
      </c>
      <c r="AB2426">
        <f t="shared" si="149"/>
        <v>0</v>
      </c>
      <c r="AC2426">
        <f t="shared" si="150"/>
        <v>0</v>
      </c>
      <c r="AD2426">
        <f t="shared" si="151"/>
        <v>0</v>
      </c>
    </row>
    <row r="2427" spans="27:30" x14ac:dyDescent="0.3">
      <c r="AA2427">
        <f t="shared" si="148"/>
        <v>0</v>
      </c>
      <c r="AB2427">
        <f t="shared" si="149"/>
        <v>0</v>
      </c>
      <c r="AC2427">
        <f t="shared" si="150"/>
        <v>0</v>
      </c>
      <c r="AD2427">
        <f t="shared" si="151"/>
        <v>0</v>
      </c>
    </row>
    <row r="2428" spans="27:30" x14ac:dyDescent="0.3">
      <c r="AA2428">
        <f t="shared" si="148"/>
        <v>0</v>
      </c>
      <c r="AB2428">
        <f t="shared" si="149"/>
        <v>0</v>
      </c>
      <c r="AC2428">
        <f t="shared" si="150"/>
        <v>0</v>
      </c>
      <c r="AD2428">
        <f t="shared" si="151"/>
        <v>0</v>
      </c>
    </row>
    <row r="2429" spans="27:30" x14ac:dyDescent="0.3">
      <c r="AA2429">
        <f t="shared" si="148"/>
        <v>0</v>
      </c>
      <c r="AB2429">
        <f t="shared" si="149"/>
        <v>0</v>
      </c>
      <c r="AC2429">
        <f t="shared" si="150"/>
        <v>0</v>
      </c>
      <c r="AD2429">
        <f t="shared" si="151"/>
        <v>0</v>
      </c>
    </row>
    <row r="2430" spans="27:30" x14ac:dyDescent="0.3">
      <c r="AA2430">
        <f t="shared" si="148"/>
        <v>0</v>
      </c>
      <c r="AB2430">
        <f t="shared" si="149"/>
        <v>0</v>
      </c>
      <c r="AC2430">
        <f t="shared" si="150"/>
        <v>0</v>
      </c>
      <c r="AD2430">
        <f t="shared" si="151"/>
        <v>0</v>
      </c>
    </row>
    <row r="2431" spans="27:30" x14ac:dyDescent="0.3">
      <c r="AA2431">
        <f t="shared" si="148"/>
        <v>0</v>
      </c>
      <c r="AB2431">
        <f t="shared" si="149"/>
        <v>0</v>
      </c>
      <c r="AC2431">
        <f t="shared" si="150"/>
        <v>0</v>
      </c>
      <c r="AD2431">
        <f t="shared" si="151"/>
        <v>0</v>
      </c>
    </row>
    <row r="2432" spans="27:30" x14ac:dyDescent="0.3">
      <c r="AA2432">
        <f t="shared" si="148"/>
        <v>0</v>
      </c>
      <c r="AB2432">
        <f t="shared" si="149"/>
        <v>0</v>
      </c>
      <c r="AC2432">
        <f t="shared" si="150"/>
        <v>0</v>
      </c>
      <c r="AD2432">
        <f t="shared" si="151"/>
        <v>0</v>
      </c>
    </row>
    <row r="2433" spans="27:30" x14ac:dyDescent="0.3">
      <c r="AA2433">
        <f t="shared" si="148"/>
        <v>0</v>
      </c>
      <c r="AB2433">
        <f t="shared" si="149"/>
        <v>0</v>
      </c>
      <c r="AC2433">
        <f t="shared" si="150"/>
        <v>0</v>
      </c>
      <c r="AD2433">
        <f t="shared" si="151"/>
        <v>0</v>
      </c>
    </row>
    <row r="2434" spans="27:30" x14ac:dyDescent="0.3">
      <c r="AA2434">
        <f t="shared" si="148"/>
        <v>0</v>
      </c>
      <c r="AB2434">
        <f t="shared" si="149"/>
        <v>0</v>
      </c>
      <c r="AC2434">
        <f t="shared" si="150"/>
        <v>0</v>
      </c>
      <c r="AD2434">
        <f t="shared" si="151"/>
        <v>0</v>
      </c>
    </row>
    <row r="2435" spans="27:30" x14ac:dyDescent="0.3">
      <c r="AA2435">
        <f t="shared" si="148"/>
        <v>0</v>
      </c>
      <c r="AB2435">
        <f t="shared" si="149"/>
        <v>0</v>
      </c>
      <c r="AC2435">
        <f t="shared" si="150"/>
        <v>0</v>
      </c>
      <c r="AD2435">
        <f t="shared" si="151"/>
        <v>0</v>
      </c>
    </row>
    <row r="2436" spans="27:30" x14ac:dyDescent="0.3">
      <c r="AA2436">
        <f t="shared" si="148"/>
        <v>0</v>
      </c>
      <c r="AB2436">
        <f t="shared" si="149"/>
        <v>0</v>
      </c>
      <c r="AC2436">
        <f t="shared" si="150"/>
        <v>0</v>
      </c>
      <c r="AD2436">
        <f t="shared" si="151"/>
        <v>0</v>
      </c>
    </row>
    <row r="2437" spans="27:30" x14ac:dyDescent="0.3">
      <c r="AA2437">
        <f t="shared" ref="AA2437:AA2500" si="152">ROUND(Z2437,0)</f>
        <v>0</v>
      </c>
      <c r="AB2437">
        <f t="shared" ref="AB2437:AB2500" si="153">IF(AA2437=Y2437,0,1)</f>
        <v>0</v>
      </c>
      <c r="AC2437">
        <f t="shared" ref="AC2437:AC2500" si="154">IF(AA2437&lt;Y2437+5,IF(AA2437&gt;Y2437-5,0,1),1)</f>
        <v>0</v>
      </c>
      <c r="AD2437">
        <f t="shared" ref="AD2437:AD2500" si="155">IF(AA2437&lt;Y2437+10,IF(AA2437&gt;Y2437-10,0,1),1)</f>
        <v>0</v>
      </c>
    </row>
    <row r="2438" spans="27:30" x14ac:dyDescent="0.3">
      <c r="AA2438">
        <f t="shared" si="152"/>
        <v>0</v>
      </c>
      <c r="AB2438">
        <f t="shared" si="153"/>
        <v>0</v>
      </c>
      <c r="AC2438">
        <f t="shared" si="154"/>
        <v>0</v>
      </c>
      <c r="AD2438">
        <f t="shared" si="155"/>
        <v>0</v>
      </c>
    </row>
    <row r="2439" spans="27:30" x14ac:dyDescent="0.3">
      <c r="AA2439">
        <f t="shared" si="152"/>
        <v>0</v>
      </c>
      <c r="AB2439">
        <f t="shared" si="153"/>
        <v>0</v>
      </c>
      <c r="AC2439">
        <f t="shared" si="154"/>
        <v>0</v>
      </c>
      <c r="AD2439">
        <f t="shared" si="155"/>
        <v>0</v>
      </c>
    </row>
    <row r="2440" spans="27:30" x14ac:dyDescent="0.3">
      <c r="AA2440">
        <f t="shared" si="152"/>
        <v>0</v>
      </c>
      <c r="AB2440">
        <f t="shared" si="153"/>
        <v>0</v>
      </c>
      <c r="AC2440">
        <f t="shared" si="154"/>
        <v>0</v>
      </c>
      <c r="AD2440">
        <f t="shared" si="155"/>
        <v>0</v>
      </c>
    </row>
    <row r="2441" spans="27:30" x14ac:dyDescent="0.3">
      <c r="AA2441">
        <f t="shared" si="152"/>
        <v>0</v>
      </c>
      <c r="AB2441">
        <f t="shared" si="153"/>
        <v>0</v>
      </c>
      <c r="AC2441">
        <f t="shared" si="154"/>
        <v>0</v>
      </c>
      <c r="AD2441">
        <f t="shared" si="155"/>
        <v>0</v>
      </c>
    </row>
    <row r="2442" spans="27:30" x14ac:dyDescent="0.3">
      <c r="AA2442">
        <f t="shared" si="152"/>
        <v>0</v>
      </c>
      <c r="AB2442">
        <f t="shared" si="153"/>
        <v>0</v>
      </c>
      <c r="AC2442">
        <f t="shared" si="154"/>
        <v>0</v>
      </c>
      <c r="AD2442">
        <f t="shared" si="155"/>
        <v>0</v>
      </c>
    </row>
    <row r="2443" spans="27:30" x14ac:dyDescent="0.3">
      <c r="AA2443">
        <f t="shared" si="152"/>
        <v>0</v>
      </c>
      <c r="AB2443">
        <f t="shared" si="153"/>
        <v>0</v>
      </c>
      <c r="AC2443">
        <f t="shared" si="154"/>
        <v>0</v>
      </c>
      <c r="AD2443">
        <f t="shared" si="155"/>
        <v>0</v>
      </c>
    </row>
    <row r="2444" spans="27:30" x14ac:dyDescent="0.3">
      <c r="AA2444">
        <f t="shared" si="152"/>
        <v>0</v>
      </c>
      <c r="AB2444">
        <f t="shared" si="153"/>
        <v>0</v>
      </c>
      <c r="AC2444">
        <f t="shared" si="154"/>
        <v>0</v>
      </c>
      <c r="AD2444">
        <f t="shared" si="155"/>
        <v>0</v>
      </c>
    </row>
    <row r="2445" spans="27:30" x14ac:dyDescent="0.3">
      <c r="AA2445">
        <f t="shared" si="152"/>
        <v>0</v>
      </c>
      <c r="AB2445">
        <f t="shared" si="153"/>
        <v>0</v>
      </c>
      <c r="AC2445">
        <f t="shared" si="154"/>
        <v>0</v>
      </c>
      <c r="AD2445">
        <f t="shared" si="155"/>
        <v>0</v>
      </c>
    </row>
    <row r="2446" spans="27:30" x14ac:dyDescent="0.3">
      <c r="AA2446">
        <f t="shared" si="152"/>
        <v>0</v>
      </c>
      <c r="AB2446">
        <f t="shared" si="153"/>
        <v>0</v>
      </c>
      <c r="AC2446">
        <f t="shared" si="154"/>
        <v>0</v>
      </c>
      <c r="AD2446">
        <f t="shared" si="155"/>
        <v>0</v>
      </c>
    </row>
    <row r="2447" spans="27:30" x14ac:dyDescent="0.3">
      <c r="AA2447">
        <f t="shared" si="152"/>
        <v>0</v>
      </c>
      <c r="AB2447">
        <f t="shared" si="153"/>
        <v>0</v>
      </c>
      <c r="AC2447">
        <f t="shared" si="154"/>
        <v>0</v>
      </c>
      <c r="AD2447">
        <f t="shared" si="155"/>
        <v>0</v>
      </c>
    </row>
    <row r="2448" spans="27:30" x14ac:dyDescent="0.3">
      <c r="AA2448">
        <f t="shared" si="152"/>
        <v>0</v>
      </c>
      <c r="AB2448">
        <f t="shared" si="153"/>
        <v>0</v>
      </c>
      <c r="AC2448">
        <f t="shared" si="154"/>
        <v>0</v>
      </c>
      <c r="AD2448">
        <f t="shared" si="155"/>
        <v>0</v>
      </c>
    </row>
    <row r="2449" spans="27:30" x14ac:dyDescent="0.3">
      <c r="AA2449">
        <f t="shared" si="152"/>
        <v>0</v>
      </c>
      <c r="AB2449">
        <f t="shared" si="153"/>
        <v>0</v>
      </c>
      <c r="AC2449">
        <f t="shared" si="154"/>
        <v>0</v>
      </c>
      <c r="AD2449">
        <f t="shared" si="155"/>
        <v>0</v>
      </c>
    </row>
    <row r="2450" spans="27:30" x14ac:dyDescent="0.3">
      <c r="AA2450">
        <f t="shared" si="152"/>
        <v>0</v>
      </c>
      <c r="AB2450">
        <f t="shared" si="153"/>
        <v>0</v>
      </c>
      <c r="AC2450">
        <f t="shared" si="154"/>
        <v>0</v>
      </c>
      <c r="AD2450">
        <f t="shared" si="155"/>
        <v>0</v>
      </c>
    </row>
    <row r="2451" spans="27:30" x14ac:dyDescent="0.3">
      <c r="AA2451">
        <f t="shared" si="152"/>
        <v>0</v>
      </c>
      <c r="AB2451">
        <f t="shared" si="153"/>
        <v>0</v>
      </c>
      <c r="AC2451">
        <f t="shared" si="154"/>
        <v>0</v>
      </c>
      <c r="AD2451">
        <f t="shared" si="155"/>
        <v>0</v>
      </c>
    </row>
    <row r="2452" spans="27:30" x14ac:dyDescent="0.3">
      <c r="AA2452">
        <f t="shared" si="152"/>
        <v>0</v>
      </c>
      <c r="AB2452">
        <f t="shared" si="153"/>
        <v>0</v>
      </c>
      <c r="AC2452">
        <f t="shared" si="154"/>
        <v>0</v>
      </c>
      <c r="AD2452">
        <f t="shared" si="155"/>
        <v>0</v>
      </c>
    </row>
    <row r="2453" spans="27:30" x14ac:dyDescent="0.3">
      <c r="AA2453">
        <f t="shared" si="152"/>
        <v>0</v>
      </c>
      <c r="AB2453">
        <f t="shared" si="153"/>
        <v>0</v>
      </c>
      <c r="AC2453">
        <f t="shared" si="154"/>
        <v>0</v>
      </c>
      <c r="AD2453">
        <f t="shared" si="155"/>
        <v>0</v>
      </c>
    </row>
    <row r="2454" spans="27:30" x14ac:dyDescent="0.3">
      <c r="AA2454">
        <f t="shared" si="152"/>
        <v>0</v>
      </c>
      <c r="AB2454">
        <f t="shared" si="153"/>
        <v>0</v>
      </c>
      <c r="AC2454">
        <f t="shared" si="154"/>
        <v>0</v>
      </c>
      <c r="AD2454">
        <f t="shared" si="155"/>
        <v>0</v>
      </c>
    </row>
    <row r="2455" spans="27:30" x14ac:dyDescent="0.3">
      <c r="AA2455">
        <f t="shared" si="152"/>
        <v>0</v>
      </c>
      <c r="AB2455">
        <f t="shared" si="153"/>
        <v>0</v>
      </c>
      <c r="AC2455">
        <f t="shared" si="154"/>
        <v>0</v>
      </c>
      <c r="AD2455">
        <f t="shared" si="155"/>
        <v>0</v>
      </c>
    </row>
    <row r="2456" spans="27:30" x14ac:dyDescent="0.3">
      <c r="AA2456">
        <f t="shared" si="152"/>
        <v>0</v>
      </c>
      <c r="AB2456">
        <f t="shared" si="153"/>
        <v>0</v>
      </c>
      <c r="AC2456">
        <f t="shared" si="154"/>
        <v>0</v>
      </c>
      <c r="AD2456">
        <f t="shared" si="155"/>
        <v>0</v>
      </c>
    </row>
    <row r="2457" spans="27:30" x14ac:dyDescent="0.3">
      <c r="AA2457">
        <f t="shared" si="152"/>
        <v>0</v>
      </c>
      <c r="AB2457">
        <f t="shared" si="153"/>
        <v>0</v>
      </c>
      <c r="AC2457">
        <f t="shared" si="154"/>
        <v>0</v>
      </c>
      <c r="AD2457">
        <f t="shared" si="155"/>
        <v>0</v>
      </c>
    </row>
    <row r="2458" spans="27:30" x14ac:dyDescent="0.3">
      <c r="AA2458">
        <f t="shared" si="152"/>
        <v>0</v>
      </c>
      <c r="AB2458">
        <f t="shared" si="153"/>
        <v>0</v>
      </c>
      <c r="AC2458">
        <f t="shared" si="154"/>
        <v>0</v>
      </c>
      <c r="AD2458">
        <f t="shared" si="155"/>
        <v>0</v>
      </c>
    </row>
    <row r="2459" spans="27:30" x14ac:dyDescent="0.3">
      <c r="AA2459">
        <f t="shared" si="152"/>
        <v>0</v>
      </c>
      <c r="AB2459">
        <f t="shared" si="153"/>
        <v>0</v>
      </c>
      <c r="AC2459">
        <f t="shared" si="154"/>
        <v>0</v>
      </c>
      <c r="AD2459">
        <f t="shared" si="155"/>
        <v>0</v>
      </c>
    </row>
    <row r="2460" spans="27:30" x14ac:dyDescent="0.3">
      <c r="AA2460">
        <f t="shared" si="152"/>
        <v>0</v>
      </c>
      <c r="AB2460">
        <f t="shared" si="153"/>
        <v>0</v>
      </c>
      <c r="AC2460">
        <f t="shared" si="154"/>
        <v>0</v>
      </c>
      <c r="AD2460">
        <f t="shared" si="155"/>
        <v>0</v>
      </c>
    </row>
    <row r="2461" spans="27:30" x14ac:dyDescent="0.3">
      <c r="AA2461">
        <f t="shared" si="152"/>
        <v>0</v>
      </c>
      <c r="AB2461">
        <f t="shared" si="153"/>
        <v>0</v>
      </c>
      <c r="AC2461">
        <f t="shared" si="154"/>
        <v>0</v>
      </c>
      <c r="AD2461">
        <f t="shared" si="155"/>
        <v>0</v>
      </c>
    </row>
    <row r="2462" spans="27:30" x14ac:dyDescent="0.3">
      <c r="AA2462">
        <f t="shared" si="152"/>
        <v>0</v>
      </c>
      <c r="AB2462">
        <f t="shared" si="153"/>
        <v>0</v>
      </c>
      <c r="AC2462">
        <f t="shared" si="154"/>
        <v>0</v>
      </c>
      <c r="AD2462">
        <f t="shared" si="155"/>
        <v>0</v>
      </c>
    </row>
    <row r="2463" spans="27:30" x14ac:dyDescent="0.3">
      <c r="AA2463">
        <f t="shared" si="152"/>
        <v>0</v>
      </c>
      <c r="AB2463">
        <f t="shared" si="153"/>
        <v>0</v>
      </c>
      <c r="AC2463">
        <f t="shared" si="154"/>
        <v>0</v>
      </c>
      <c r="AD2463">
        <f t="shared" si="155"/>
        <v>0</v>
      </c>
    </row>
    <row r="2464" spans="27:30" x14ac:dyDescent="0.3">
      <c r="AA2464">
        <f t="shared" si="152"/>
        <v>0</v>
      </c>
      <c r="AB2464">
        <f t="shared" si="153"/>
        <v>0</v>
      </c>
      <c r="AC2464">
        <f t="shared" si="154"/>
        <v>0</v>
      </c>
      <c r="AD2464">
        <f t="shared" si="155"/>
        <v>0</v>
      </c>
    </row>
    <row r="2465" spans="27:30" x14ac:dyDescent="0.3">
      <c r="AA2465">
        <f t="shared" si="152"/>
        <v>0</v>
      </c>
      <c r="AB2465">
        <f t="shared" si="153"/>
        <v>0</v>
      </c>
      <c r="AC2465">
        <f t="shared" si="154"/>
        <v>0</v>
      </c>
      <c r="AD2465">
        <f t="shared" si="155"/>
        <v>0</v>
      </c>
    </row>
    <row r="2466" spans="27:30" x14ac:dyDescent="0.3">
      <c r="AA2466">
        <f t="shared" si="152"/>
        <v>0</v>
      </c>
      <c r="AB2466">
        <f t="shared" si="153"/>
        <v>0</v>
      </c>
      <c r="AC2466">
        <f t="shared" si="154"/>
        <v>0</v>
      </c>
      <c r="AD2466">
        <f t="shared" si="155"/>
        <v>0</v>
      </c>
    </row>
    <row r="2467" spans="27:30" x14ac:dyDescent="0.3">
      <c r="AA2467">
        <f t="shared" si="152"/>
        <v>0</v>
      </c>
      <c r="AB2467">
        <f t="shared" si="153"/>
        <v>0</v>
      </c>
      <c r="AC2467">
        <f t="shared" si="154"/>
        <v>0</v>
      </c>
      <c r="AD2467">
        <f t="shared" si="155"/>
        <v>0</v>
      </c>
    </row>
    <row r="2468" spans="27:30" x14ac:dyDescent="0.3">
      <c r="AA2468">
        <f t="shared" si="152"/>
        <v>0</v>
      </c>
      <c r="AB2468">
        <f t="shared" si="153"/>
        <v>0</v>
      </c>
      <c r="AC2468">
        <f t="shared" si="154"/>
        <v>0</v>
      </c>
      <c r="AD2468">
        <f t="shared" si="155"/>
        <v>0</v>
      </c>
    </row>
    <row r="2469" spans="27:30" x14ac:dyDescent="0.3">
      <c r="AA2469">
        <f t="shared" si="152"/>
        <v>0</v>
      </c>
      <c r="AB2469">
        <f t="shared" si="153"/>
        <v>0</v>
      </c>
      <c r="AC2469">
        <f t="shared" si="154"/>
        <v>0</v>
      </c>
      <c r="AD2469">
        <f t="shared" si="155"/>
        <v>0</v>
      </c>
    </row>
    <row r="2470" spans="27:30" x14ac:dyDescent="0.3">
      <c r="AA2470">
        <f t="shared" si="152"/>
        <v>0</v>
      </c>
      <c r="AB2470">
        <f t="shared" si="153"/>
        <v>0</v>
      </c>
      <c r="AC2470">
        <f t="shared" si="154"/>
        <v>0</v>
      </c>
      <c r="AD2470">
        <f t="shared" si="155"/>
        <v>0</v>
      </c>
    </row>
    <row r="2471" spans="27:30" x14ac:dyDescent="0.3">
      <c r="AA2471">
        <f t="shared" si="152"/>
        <v>0</v>
      </c>
      <c r="AB2471">
        <f t="shared" si="153"/>
        <v>0</v>
      </c>
      <c r="AC2471">
        <f t="shared" si="154"/>
        <v>0</v>
      </c>
      <c r="AD2471">
        <f t="shared" si="155"/>
        <v>0</v>
      </c>
    </row>
    <row r="2472" spans="27:30" x14ac:dyDescent="0.3">
      <c r="AA2472">
        <f t="shared" si="152"/>
        <v>0</v>
      </c>
      <c r="AB2472">
        <f t="shared" si="153"/>
        <v>0</v>
      </c>
      <c r="AC2472">
        <f t="shared" si="154"/>
        <v>0</v>
      </c>
      <c r="AD2472">
        <f t="shared" si="155"/>
        <v>0</v>
      </c>
    </row>
    <row r="2473" spans="27:30" x14ac:dyDescent="0.3">
      <c r="AA2473">
        <f t="shared" si="152"/>
        <v>0</v>
      </c>
      <c r="AB2473">
        <f t="shared" si="153"/>
        <v>0</v>
      </c>
      <c r="AC2473">
        <f t="shared" si="154"/>
        <v>0</v>
      </c>
      <c r="AD2473">
        <f t="shared" si="155"/>
        <v>0</v>
      </c>
    </row>
    <row r="2474" spans="27:30" x14ac:dyDescent="0.3">
      <c r="AA2474">
        <f t="shared" si="152"/>
        <v>0</v>
      </c>
      <c r="AB2474">
        <f t="shared" si="153"/>
        <v>0</v>
      </c>
      <c r="AC2474">
        <f t="shared" si="154"/>
        <v>0</v>
      </c>
      <c r="AD2474">
        <f t="shared" si="155"/>
        <v>0</v>
      </c>
    </row>
    <row r="2475" spans="27:30" x14ac:dyDescent="0.3">
      <c r="AA2475">
        <f t="shared" si="152"/>
        <v>0</v>
      </c>
      <c r="AB2475">
        <f t="shared" si="153"/>
        <v>0</v>
      </c>
      <c r="AC2475">
        <f t="shared" si="154"/>
        <v>0</v>
      </c>
      <c r="AD2475">
        <f t="shared" si="155"/>
        <v>0</v>
      </c>
    </row>
    <row r="2476" spans="27:30" x14ac:dyDescent="0.3">
      <c r="AA2476">
        <f t="shared" si="152"/>
        <v>0</v>
      </c>
      <c r="AB2476">
        <f t="shared" si="153"/>
        <v>0</v>
      </c>
      <c r="AC2476">
        <f t="shared" si="154"/>
        <v>0</v>
      </c>
      <c r="AD2476">
        <f t="shared" si="155"/>
        <v>0</v>
      </c>
    </row>
    <row r="2477" spans="27:30" x14ac:dyDescent="0.3">
      <c r="AA2477">
        <f t="shared" si="152"/>
        <v>0</v>
      </c>
      <c r="AB2477">
        <f t="shared" si="153"/>
        <v>0</v>
      </c>
      <c r="AC2477">
        <f t="shared" si="154"/>
        <v>0</v>
      </c>
      <c r="AD2477">
        <f t="shared" si="155"/>
        <v>0</v>
      </c>
    </row>
    <row r="2478" spans="27:30" x14ac:dyDescent="0.3">
      <c r="AA2478">
        <f t="shared" si="152"/>
        <v>0</v>
      </c>
      <c r="AB2478">
        <f t="shared" si="153"/>
        <v>0</v>
      </c>
      <c r="AC2478">
        <f t="shared" si="154"/>
        <v>0</v>
      </c>
      <c r="AD2478">
        <f t="shared" si="155"/>
        <v>0</v>
      </c>
    </row>
    <row r="2479" spans="27:30" x14ac:dyDescent="0.3">
      <c r="AA2479">
        <f t="shared" si="152"/>
        <v>0</v>
      </c>
      <c r="AB2479">
        <f t="shared" si="153"/>
        <v>0</v>
      </c>
      <c r="AC2479">
        <f t="shared" si="154"/>
        <v>0</v>
      </c>
      <c r="AD2479">
        <f t="shared" si="155"/>
        <v>0</v>
      </c>
    </row>
    <row r="2480" spans="27:30" x14ac:dyDescent="0.3">
      <c r="AA2480">
        <f t="shared" si="152"/>
        <v>0</v>
      </c>
      <c r="AB2480">
        <f t="shared" si="153"/>
        <v>0</v>
      </c>
      <c r="AC2480">
        <f t="shared" si="154"/>
        <v>0</v>
      </c>
      <c r="AD2480">
        <f t="shared" si="155"/>
        <v>0</v>
      </c>
    </row>
    <row r="2481" spans="27:30" x14ac:dyDescent="0.3">
      <c r="AA2481">
        <f t="shared" si="152"/>
        <v>0</v>
      </c>
      <c r="AB2481">
        <f t="shared" si="153"/>
        <v>0</v>
      </c>
      <c r="AC2481">
        <f t="shared" si="154"/>
        <v>0</v>
      </c>
      <c r="AD2481">
        <f t="shared" si="155"/>
        <v>0</v>
      </c>
    </row>
    <row r="2482" spans="27:30" x14ac:dyDescent="0.3">
      <c r="AA2482">
        <f t="shared" si="152"/>
        <v>0</v>
      </c>
      <c r="AB2482">
        <f t="shared" si="153"/>
        <v>0</v>
      </c>
      <c r="AC2482">
        <f t="shared" si="154"/>
        <v>0</v>
      </c>
      <c r="AD2482">
        <f t="shared" si="155"/>
        <v>0</v>
      </c>
    </row>
    <row r="2483" spans="27:30" x14ac:dyDescent="0.3">
      <c r="AA2483">
        <f t="shared" si="152"/>
        <v>0</v>
      </c>
      <c r="AB2483">
        <f t="shared" si="153"/>
        <v>0</v>
      </c>
      <c r="AC2483">
        <f t="shared" si="154"/>
        <v>0</v>
      </c>
      <c r="AD2483">
        <f t="shared" si="155"/>
        <v>0</v>
      </c>
    </row>
    <row r="2484" spans="27:30" x14ac:dyDescent="0.3">
      <c r="AA2484">
        <f t="shared" si="152"/>
        <v>0</v>
      </c>
      <c r="AB2484">
        <f t="shared" si="153"/>
        <v>0</v>
      </c>
      <c r="AC2484">
        <f t="shared" si="154"/>
        <v>0</v>
      </c>
      <c r="AD2484">
        <f t="shared" si="155"/>
        <v>0</v>
      </c>
    </row>
    <row r="2485" spans="27:30" x14ac:dyDescent="0.3">
      <c r="AA2485">
        <f t="shared" si="152"/>
        <v>0</v>
      </c>
      <c r="AB2485">
        <f t="shared" si="153"/>
        <v>0</v>
      </c>
      <c r="AC2485">
        <f t="shared" si="154"/>
        <v>0</v>
      </c>
      <c r="AD2485">
        <f t="shared" si="155"/>
        <v>0</v>
      </c>
    </row>
    <row r="2486" spans="27:30" x14ac:dyDescent="0.3">
      <c r="AA2486">
        <f t="shared" si="152"/>
        <v>0</v>
      </c>
      <c r="AB2486">
        <f t="shared" si="153"/>
        <v>0</v>
      </c>
      <c r="AC2486">
        <f t="shared" si="154"/>
        <v>0</v>
      </c>
      <c r="AD2486">
        <f t="shared" si="155"/>
        <v>0</v>
      </c>
    </row>
    <row r="2487" spans="27:30" x14ac:dyDescent="0.3">
      <c r="AA2487">
        <f t="shared" si="152"/>
        <v>0</v>
      </c>
      <c r="AB2487">
        <f t="shared" si="153"/>
        <v>0</v>
      </c>
      <c r="AC2487">
        <f t="shared" si="154"/>
        <v>0</v>
      </c>
      <c r="AD2487">
        <f t="shared" si="155"/>
        <v>0</v>
      </c>
    </row>
    <row r="2488" spans="27:30" x14ac:dyDescent="0.3">
      <c r="AA2488">
        <f t="shared" si="152"/>
        <v>0</v>
      </c>
      <c r="AB2488">
        <f t="shared" si="153"/>
        <v>0</v>
      </c>
      <c r="AC2488">
        <f t="shared" si="154"/>
        <v>0</v>
      </c>
      <c r="AD2488">
        <f t="shared" si="155"/>
        <v>0</v>
      </c>
    </row>
    <row r="2489" spans="27:30" x14ac:dyDescent="0.3">
      <c r="AA2489">
        <f t="shared" si="152"/>
        <v>0</v>
      </c>
      <c r="AB2489">
        <f t="shared" si="153"/>
        <v>0</v>
      </c>
      <c r="AC2489">
        <f t="shared" si="154"/>
        <v>0</v>
      </c>
      <c r="AD2489">
        <f t="shared" si="155"/>
        <v>0</v>
      </c>
    </row>
    <row r="2490" spans="27:30" x14ac:dyDescent="0.3">
      <c r="AA2490">
        <f t="shared" si="152"/>
        <v>0</v>
      </c>
      <c r="AB2490">
        <f t="shared" si="153"/>
        <v>0</v>
      </c>
      <c r="AC2490">
        <f t="shared" si="154"/>
        <v>0</v>
      </c>
      <c r="AD2490">
        <f t="shared" si="155"/>
        <v>0</v>
      </c>
    </row>
    <row r="2491" spans="27:30" x14ac:dyDescent="0.3">
      <c r="AA2491">
        <f t="shared" si="152"/>
        <v>0</v>
      </c>
      <c r="AB2491">
        <f t="shared" si="153"/>
        <v>0</v>
      </c>
      <c r="AC2491">
        <f t="shared" si="154"/>
        <v>0</v>
      </c>
      <c r="AD2491">
        <f t="shared" si="155"/>
        <v>0</v>
      </c>
    </row>
    <row r="2492" spans="27:30" x14ac:dyDescent="0.3">
      <c r="AA2492">
        <f t="shared" si="152"/>
        <v>0</v>
      </c>
      <c r="AB2492">
        <f t="shared" si="153"/>
        <v>0</v>
      </c>
      <c r="AC2492">
        <f t="shared" si="154"/>
        <v>0</v>
      </c>
      <c r="AD2492">
        <f t="shared" si="155"/>
        <v>0</v>
      </c>
    </row>
    <row r="2493" spans="27:30" x14ac:dyDescent="0.3">
      <c r="AA2493">
        <f t="shared" si="152"/>
        <v>0</v>
      </c>
      <c r="AB2493">
        <f t="shared" si="153"/>
        <v>0</v>
      </c>
      <c r="AC2493">
        <f t="shared" si="154"/>
        <v>0</v>
      </c>
      <c r="AD2493">
        <f t="shared" si="155"/>
        <v>0</v>
      </c>
    </row>
    <row r="2494" spans="27:30" x14ac:dyDescent="0.3">
      <c r="AA2494">
        <f t="shared" si="152"/>
        <v>0</v>
      </c>
      <c r="AB2494">
        <f t="shared" si="153"/>
        <v>0</v>
      </c>
      <c r="AC2494">
        <f t="shared" si="154"/>
        <v>0</v>
      </c>
      <c r="AD2494">
        <f t="shared" si="155"/>
        <v>0</v>
      </c>
    </row>
    <row r="2495" spans="27:30" x14ac:dyDescent="0.3">
      <c r="AA2495">
        <f t="shared" si="152"/>
        <v>0</v>
      </c>
      <c r="AB2495">
        <f t="shared" si="153"/>
        <v>0</v>
      </c>
      <c r="AC2495">
        <f t="shared" si="154"/>
        <v>0</v>
      </c>
      <c r="AD2495">
        <f t="shared" si="155"/>
        <v>0</v>
      </c>
    </row>
    <row r="2496" spans="27:30" x14ac:dyDescent="0.3">
      <c r="AA2496">
        <f t="shared" si="152"/>
        <v>0</v>
      </c>
      <c r="AB2496">
        <f t="shared" si="153"/>
        <v>0</v>
      </c>
      <c r="AC2496">
        <f t="shared" si="154"/>
        <v>0</v>
      </c>
      <c r="AD2496">
        <f t="shared" si="155"/>
        <v>0</v>
      </c>
    </row>
    <row r="2497" spans="27:30" x14ac:dyDescent="0.3">
      <c r="AA2497">
        <f t="shared" si="152"/>
        <v>0</v>
      </c>
      <c r="AB2497">
        <f t="shared" si="153"/>
        <v>0</v>
      </c>
      <c r="AC2497">
        <f t="shared" si="154"/>
        <v>0</v>
      </c>
      <c r="AD2497">
        <f t="shared" si="155"/>
        <v>0</v>
      </c>
    </row>
    <row r="2498" spans="27:30" x14ac:dyDescent="0.3">
      <c r="AA2498">
        <f t="shared" si="152"/>
        <v>0</v>
      </c>
      <c r="AB2498">
        <f t="shared" si="153"/>
        <v>0</v>
      </c>
      <c r="AC2498">
        <f t="shared" si="154"/>
        <v>0</v>
      </c>
      <c r="AD2498">
        <f t="shared" si="155"/>
        <v>0</v>
      </c>
    </row>
    <row r="2499" spans="27:30" x14ac:dyDescent="0.3">
      <c r="AA2499">
        <f t="shared" si="152"/>
        <v>0</v>
      </c>
      <c r="AB2499">
        <f t="shared" si="153"/>
        <v>0</v>
      </c>
      <c r="AC2499">
        <f t="shared" si="154"/>
        <v>0</v>
      </c>
      <c r="AD2499">
        <f t="shared" si="155"/>
        <v>0</v>
      </c>
    </row>
    <row r="2500" spans="27:30" x14ac:dyDescent="0.3">
      <c r="AA2500">
        <f t="shared" si="152"/>
        <v>0</v>
      </c>
      <c r="AB2500">
        <f t="shared" si="153"/>
        <v>0</v>
      </c>
      <c r="AC2500">
        <f t="shared" si="154"/>
        <v>0</v>
      </c>
      <c r="AD2500">
        <f t="shared" si="155"/>
        <v>0</v>
      </c>
    </row>
    <row r="2501" spans="27:30" x14ac:dyDescent="0.3">
      <c r="AA2501">
        <f t="shared" ref="AA2501:AA2564" si="156">ROUND(Z2501,0)</f>
        <v>0</v>
      </c>
      <c r="AB2501">
        <f t="shared" ref="AB2501:AB2564" si="157">IF(AA2501=Y2501,0,1)</f>
        <v>0</v>
      </c>
      <c r="AC2501">
        <f t="shared" ref="AC2501:AC2564" si="158">IF(AA2501&lt;Y2501+5,IF(AA2501&gt;Y2501-5,0,1),1)</f>
        <v>0</v>
      </c>
      <c r="AD2501">
        <f t="shared" ref="AD2501:AD2564" si="159">IF(AA2501&lt;Y2501+10,IF(AA2501&gt;Y2501-10,0,1),1)</f>
        <v>0</v>
      </c>
    </row>
    <row r="2502" spans="27:30" x14ac:dyDescent="0.3">
      <c r="AA2502">
        <f t="shared" si="156"/>
        <v>0</v>
      </c>
      <c r="AB2502">
        <f t="shared" si="157"/>
        <v>0</v>
      </c>
      <c r="AC2502">
        <f t="shared" si="158"/>
        <v>0</v>
      </c>
      <c r="AD2502">
        <f t="shared" si="159"/>
        <v>0</v>
      </c>
    </row>
    <row r="2503" spans="27:30" x14ac:dyDescent="0.3">
      <c r="AA2503">
        <f t="shared" si="156"/>
        <v>0</v>
      </c>
      <c r="AB2503">
        <f t="shared" si="157"/>
        <v>0</v>
      </c>
      <c r="AC2503">
        <f t="shared" si="158"/>
        <v>0</v>
      </c>
      <c r="AD2503">
        <f t="shared" si="159"/>
        <v>0</v>
      </c>
    </row>
    <row r="2504" spans="27:30" x14ac:dyDescent="0.3">
      <c r="AA2504">
        <f t="shared" si="156"/>
        <v>0</v>
      </c>
      <c r="AB2504">
        <f t="shared" si="157"/>
        <v>0</v>
      </c>
      <c r="AC2504">
        <f t="shared" si="158"/>
        <v>0</v>
      </c>
      <c r="AD2504">
        <f t="shared" si="159"/>
        <v>0</v>
      </c>
    </row>
    <row r="2505" spans="27:30" x14ac:dyDescent="0.3">
      <c r="AA2505">
        <f t="shared" si="156"/>
        <v>0</v>
      </c>
      <c r="AB2505">
        <f t="shared" si="157"/>
        <v>0</v>
      </c>
      <c r="AC2505">
        <f t="shared" si="158"/>
        <v>0</v>
      </c>
      <c r="AD2505">
        <f t="shared" si="159"/>
        <v>0</v>
      </c>
    </row>
    <row r="2506" spans="27:30" x14ac:dyDescent="0.3">
      <c r="AA2506">
        <f t="shared" si="156"/>
        <v>0</v>
      </c>
      <c r="AB2506">
        <f t="shared" si="157"/>
        <v>0</v>
      </c>
      <c r="AC2506">
        <f t="shared" si="158"/>
        <v>0</v>
      </c>
      <c r="AD2506">
        <f t="shared" si="159"/>
        <v>0</v>
      </c>
    </row>
    <row r="2507" spans="27:30" x14ac:dyDescent="0.3">
      <c r="AA2507">
        <f t="shared" si="156"/>
        <v>0</v>
      </c>
      <c r="AB2507">
        <f t="shared" si="157"/>
        <v>0</v>
      </c>
      <c r="AC2507">
        <f t="shared" si="158"/>
        <v>0</v>
      </c>
      <c r="AD2507">
        <f t="shared" si="159"/>
        <v>0</v>
      </c>
    </row>
    <row r="2508" spans="27:30" x14ac:dyDescent="0.3">
      <c r="AA2508">
        <f t="shared" si="156"/>
        <v>0</v>
      </c>
      <c r="AB2508">
        <f t="shared" si="157"/>
        <v>0</v>
      </c>
      <c r="AC2508">
        <f t="shared" si="158"/>
        <v>0</v>
      </c>
      <c r="AD2508">
        <f t="shared" si="159"/>
        <v>0</v>
      </c>
    </row>
    <row r="2509" spans="27:30" x14ac:dyDescent="0.3">
      <c r="AA2509">
        <f t="shared" si="156"/>
        <v>0</v>
      </c>
      <c r="AB2509">
        <f t="shared" si="157"/>
        <v>0</v>
      </c>
      <c r="AC2509">
        <f t="shared" si="158"/>
        <v>0</v>
      </c>
      <c r="AD2509">
        <f t="shared" si="159"/>
        <v>0</v>
      </c>
    </row>
    <row r="2510" spans="27:30" x14ac:dyDescent="0.3">
      <c r="AA2510">
        <f t="shared" si="156"/>
        <v>0</v>
      </c>
      <c r="AB2510">
        <f t="shared" si="157"/>
        <v>0</v>
      </c>
      <c r="AC2510">
        <f t="shared" si="158"/>
        <v>0</v>
      </c>
      <c r="AD2510">
        <f t="shared" si="159"/>
        <v>0</v>
      </c>
    </row>
    <row r="2511" spans="27:30" x14ac:dyDescent="0.3">
      <c r="AA2511">
        <f t="shared" si="156"/>
        <v>0</v>
      </c>
      <c r="AB2511">
        <f t="shared" si="157"/>
        <v>0</v>
      </c>
      <c r="AC2511">
        <f t="shared" si="158"/>
        <v>0</v>
      </c>
      <c r="AD2511">
        <f t="shared" si="159"/>
        <v>0</v>
      </c>
    </row>
    <row r="2512" spans="27:30" x14ac:dyDescent="0.3">
      <c r="AA2512">
        <f t="shared" si="156"/>
        <v>0</v>
      </c>
      <c r="AB2512">
        <f t="shared" si="157"/>
        <v>0</v>
      </c>
      <c r="AC2512">
        <f t="shared" si="158"/>
        <v>0</v>
      </c>
      <c r="AD2512">
        <f t="shared" si="159"/>
        <v>0</v>
      </c>
    </row>
    <row r="2513" spans="27:30" x14ac:dyDescent="0.3">
      <c r="AA2513">
        <f t="shared" si="156"/>
        <v>0</v>
      </c>
      <c r="AB2513">
        <f t="shared" si="157"/>
        <v>0</v>
      </c>
      <c r="AC2513">
        <f t="shared" si="158"/>
        <v>0</v>
      </c>
      <c r="AD2513">
        <f t="shared" si="159"/>
        <v>0</v>
      </c>
    </row>
    <row r="2514" spans="27:30" x14ac:dyDescent="0.3">
      <c r="AA2514">
        <f t="shared" si="156"/>
        <v>0</v>
      </c>
      <c r="AB2514">
        <f t="shared" si="157"/>
        <v>0</v>
      </c>
      <c r="AC2514">
        <f t="shared" si="158"/>
        <v>0</v>
      </c>
      <c r="AD2514">
        <f t="shared" si="159"/>
        <v>0</v>
      </c>
    </row>
    <row r="2515" spans="27:30" x14ac:dyDescent="0.3">
      <c r="AA2515">
        <f t="shared" si="156"/>
        <v>0</v>
      </c>
      <c r="AB2515">
        <f t="shared" si="157"/>
        <v>0</v>
      </c>
      <c r="AC2515">
        <f t="shared" si="158"/>
        <v>0</v>
      </c>
      <c r="AD2515">
        <f t="shared" si="159"/>
        <v>0</v>
      </c>
    </row>
    <row r="2516" spans="27:30" x14ac:dyDescent="0.3">
      <c r="AA2516">
        <f t="shared" si="156"/>
        <v>0</v>
      </c>
      <c r="AB2516">
        <f t="shared" si="157"/>
        <v>0</v>
      </c>
      <c r="AC2516">
        <f t="shared" si="158"/>
        <v>0</v>
      </c>
      <c r="AD2516">
        <f t="shared" si="159"/>
        <v>0</v>
      </c>
    </row>
    <row r="2517" spans="27:30" x14ac:dyDescent="0.3">
      <c r="AA2517">
        <f t="shared" si="156"/>
        <v>0</v>
      </c>
      <c r="AB2517">
        <f t="shared" si="157"/>
        <v>0</v>
      </c>
      <c r="AC2517">
        <f t="shared" si="158"/>
        <v>0</v>
      </c>
      <c r="AD2517">
        <f t="shared" si="159"/>
        <v>0</v>
      </c>
    </row>
    <row r="2518" spans="27:30" x14ac:dyDescent="0.3">
      <c r="AA2518">
        <f t="shared" si="156"/>
        <v>0</v>
      </c>
      <c r="AB2518">
        <f t="shared" si="157"/>
        <v>0</v>
      </c>
      <c r="AC2518">
        <f t="shared" si="158"/>
        <v>0</v>
      </c>
      <c r="AD2518">
        <f t="shared" si="159"/>
        <v>0</v>
      </c>
    </row>
    <row r="2519" spans="27:30" x14ac:dyDescent="0.3">
      <c r="AA2519">
        <f t="shared" si="156"/>
        <v>0</v>
      </c>
      <c r="AB2519">
        <f t="shared" si="157"/>
        <v>0</v>
      </c>
      <c r="AC2519">
        <f t="shared" si="158"/>
        <v>0</v>
      </c>
      <c r="AD2519">
        <f t="shared" si="159"/>
        <v>0</v>
      </c>
    </row>
    <row r="2520" spans="27:30" x14ac:dyDescent="0.3">
      <c r="AA2520">
        <f t="shared" si="156"/>
        <v>0</v>
      </c>
      <c r="AB2520">
        <f t="shared" si="157"/>
        <v>0</v>
      </c>
      <c r="AC2520">
        <f t="shared" si="158"/>
        <v>0</v>
      </c>
      <c r="AD2520">
        <f t="shared" si="159"/>
        <v>0</v>
      </c>
    </row>
    <row r="2521" spans="27:30" x14ac:dyDescent="0.3">
      <c r="AA2521">
        <f t="shared" si="156"/>
        <v>0</v>
      </c>
      <c r="AB2521">
        <f t="shared" si="157"/>
        <v>0</v>
      </c>
      <c r="AC2521">
        <f t="shared" si="158"/>
        <v>0</v>
      </c>
      <c r="AD2521">
        <f t="shared" si="159"/>
        <v>0</v>
      </c>
    </row>
    <row r="2522" spans="27:30" x14ac:dyDescent="0.3">
      <c r="AA2522">
        <f t="shared" si="156"/>
        <v>0</v>
      </c>
      <c r="AB2522">
        <f t="shared" si="157"/>
        <v>0</v>
      </c>
      <c r="AC2522">
        <f t="shared" si="158"/>
        <v>0</v>
      </c>
      <c r="AD2522">
        <f t="shared" si="159"/>
        <v>0</v>
      </c>
    </row>
    <row r="2523" spans="27:30" x14ac:dyDescent="0.3">
      <c r="AA2523">
        <f t="shared" si="156"/>
        <v>0</v>
      </c>
      <c r="AB2523">
        <f t="shared" si="157"/>
        <v>0</v>
      </c>
      <c r="AC2523">
        <f t="shared" si="158"/>
        <v>0</v>
      </c>
      <c r="AD2523">
        <f t="shared" si="159"/>
        <v>0</v>
      </c>
    </row>
    <row r="2524" spans="27:30" x14ac:dyDescent="0.3">
      <c r="AA2524">
        <f t="shared" si="156"/>
        <v>0</v>
      </c>
      <c r="AB2524">
        <f t="shared" si="157"/>
        <v>0</v>
      </c>
      <c r="AC2524">
        <f t="shared" si="158"/>
        <v>0</v>
      </c>
      <c r="AD2524">
        <f t="shared" si="159"/>
        <v>0</v>
      </c>
    </row>
    <row r="2525" spans="27:30" x14ac:dyDescent="0.3">
      <c r="AA2525">
        <f t="shared" si="156"/>
        <v>0</v>
      </c>
      <c r="AB2525">
        <f t="shared" si="157"/>
        <v>0</v>
      </c>
      <c r="AC2525">
        <f t="shared" si="158"/>
        <v>0</v>
      </c>
      <c r="AD2525">
        <f t="shared" si="159"/>
        <v>0</v>
      </c>
    </row>
    <row r="2526" spans="27:30" x14ac:dyDescent="0.3">
      <c r="AA2526">
        <f t="shared" si="156"/>
        <v>0</v>
      </c>
      <c r="AB2526">
        <f t="shared" si="157"/>
        <v>0</v>
      </c>
      <c r="AC2526">
        <f t="shared" si="158"/>
        <v>0</v>
      </c>
      <c r="AD2526">
        <f t="shared" si="159"/>
        <v>0</v>
      </c>
    </row>
    <row r="2527" spans="27:30" x14ac:dyDescent="0.3">
      <c r="AA2527">
        <f t="shared" si="156"/>
        <v>0</v>
      </c>
      <c r="AB2527">
        <f t="shared" si="157"/>
        <v>0</v>
      </c>
      <c r="AC2527">
        <f t="shared" si="158"/>
        <v>0</v>
      </c>
      <c r="AD2527">
        <f t="shared" si="159"/>
        <v>0</v>
      </c>
    </row>
    <row r="2528" spans="27:30" x14ac:dyDescent="0.3">
      <c r="AA2528">
        <f t="shared" si="156"/>
        <v>0</v>
      </c>
      <c r="AB2528">
        <f t="shared" si="157"/>
        <v>0</v>
      </c>
      <c r="AC2528">
        <f t="shared" si="158"/>
        <v>0</v>
      </c>
      <c r="AD2528">
        <f t="shared" si="159"/>
        <v>0</v>
      </c>
    </row>
    <row r="2529" spans="27:30" x14ac:dyDescent="0.3">
      <c r="AA2529">
        <f t="shared" si="156"/>
        <v>0</v>
      </c>
      <c r="AB2529">
        <f t="shared" si="157"/>
        <v>0</v>
      </c>
      <c r="AC2529">
        <f t="shared" si="158"/>
        <v>0</v>
      </c>
      <c r="AD2529">
        <f t="shared" si="159"/>
        <v>0</v>
      </c>
    </row>
    <row r="2530" spans="27:30" x14ac:dyDescent="0.3">
      <c r="AA2530">
        <f t="shared" si="156"/>
        <v>0</v>
      </c>
      <c r="AB2530">
        <f t="shared" si="157"/>
        <v>0</v>
      </c>
      <c r="AC2530">
        <f t="shared" si="158"/>
        <v>0</v>
      </c>
      <c r="AD2530">
        <f t="shared" si="159"/>
        <v>0</v>
      </c>
    </row>
    <row r="2531" spans="27:30" x14ac:dyDescent="0.3">
      <c r="AA2531">
        <f t="shared" si="156"/>
        <v>0</v>
      </c>
      <c r="AB2531">
        <f t="shared" si="157"/>
        <v>0</v>
      </c>
      <c r="AC2531">
        <f t="shared" si="158"/>
        <v>0</v>
      </c>
      <c r="AD2531">
        <f t="shared" si="159"/>
        <v>0</v>
      </c>
    </row>
    <row r="2532" spans="27:30" x14ac:dyDescent="0.3">
      <c r="AA2532">
        <f t="shared" si="156"/>
        <v>0</v>
      </c>
      <c r="AB2532">
        <f t="shared" si="157"/>
        <v>0</v>
      </c>
      <c r="AC2532">
        <f t="shared" si="158"/>
        <v>0</v>
      </c>
      <c r="AD2532">
        <f t="shared" si="159"/>
        <v>0</v>
      </c>
    </row>
    <row r="2533" spans="27:30" x14ac:dyDescent="0.3">
      <c r="AA2533">
        <f t="shared" si="156"/>
        <v>0</v>
      </c>
      <c r="AB2533">
        <f t="shared" si="157"/>
        <v>0</v>
      </c>
      <c r="AC2533">
        <f t="shared" si="158"/>
        <v>0</v>
      </c>
      <c r="AD2533">
        <f t="shared" si="159"/>
        <v>0</v>
      </c>
    </row>
    <row r="2534" spans="27:30" x14ac:dyDescent="0.3">
      <c r="AA2534">
        <f t="shared" si="156"/>
        <v>0</v>
      </c>
      <c r="AB2534">
        <f t="shared" si="157"/>
        <v>0</v>
      </c>
      <c r="AC2534">
        <f t="shared" si="158"/>
        <v>0</v>
      </c>
      <c r="AD2534">
        <f t="shared" si="159"/>
        <v>0</v>
      </c>
    </row>
    <row r="2535" spans="27:30" x14ac:dyDescent="0.3">
      <c r="AA2535">
        <f t="shared" si="156"/>
        <v>0</v>
      </c>
      <c r="AB2535">
        <f t="shared" si="157"/>
        <v>0</v>
      </c>
      <c r="AC2535">
        <f t="shared" si="158"/>
        <v>0</v>
      </c>
      <c r="AD2535">
        <f t="shared" si="159"/>
        <v>0</v>
      </c>
    </row>
    <row r="2536" spans="27:30" x14ac:dyDescent="0.3">
      <c r="AA2536">
        <f t="shared" si="156"/>
        <v>0</v>
      </c>
      <c r="AB2536">
        <f t="shared" si="157"/>
        <v>0</v>
      </c>
      <c r="AC2536">
        <f t="shared" si="158"/>
        <v>0</v>
      </c>
      <c r="AD2536">
        <f t="shared" si="159"/>
        <v>0</v>
      </c>
    </row>
    <row r="2537" spans="27:30" x14ac:dyDescent="0.3">
      <c r="AA2537">
        <f t="shared" si="156"/>
        <v>0</v>
      </c>
      <c r="AB2537">
        <f t="shared" si="157"/>
        <v>0</v>
      </c>
      <c r="AC2537">
        <f t="shared" si="158"/>
        <v>0</v>
      </c>
      <c r="AD2537">
        <f t="shared" si="159"/>
        <v>0</v>
      </c>
    </row>
    <row r="2538" spans="27:30" x14ac:dyDescent="0.3">
      <c r="AA2538">
        <f t="shared" si="156"/>
        <v>0</v>
      </c>
      <c r="AB2538">
        <f t="shared" si="157"/>
        <v>0</v>
      </c>
      <c r="AC2538">
        <f t="shared" si="158"/>
        <v>0</v>
      </c>
      <c r="AD2538">
        <f t="shared" si="159"/>
        <v>0</v>
      </c>
    </row>
    <row r="2539" spans="27:30" x14ac:dyDescent="0.3">
      <c r="AA2539">
        <f t="shared" si="156"/>
        <v>0</v>
      </c>
      <c r="AB2539">
        <f t="shared" si="157"/>
        <v>0</v>
      </c>
      <c r="AC2539">
        <f t="shared" si="158"/>
        <v>0</v>
      </c>
      <c r="AD2539">
        <f t="shared" si="159"/>
        <v>0</v>
      </c>
    </row>
    <row r="2540" spans="27:30" x14ac:dyDescent="0.3">
      <c r="AA2540">
        <f t="shared" si="156"/>
        <v>0</v>
      </c>
      <c r="AB2540">
        <f t="shared" si="157"/>
        <v>0</v>
      </c>
      <c r="AC2540">
        <f t="shared" si="158"/>
        <v>0</v>
      </c>
      <c r="AD2540">
        <f t="shared" si="159"/>
        <v>0</v>
      </c>
    </row>
    <row r="2541" spans="27:30" x14ac:dyDescent="0.3">
      <c r="AA2541">
        <f t="shared" si="156"/>
        <v>0</v>
      </c>
      <c r="AB2541">
        <f t="shared" si="157"/>
        <v>0</v>
      </c>
      <c r="AC2541">
        <f t="shared" si="158"/>
        <v>0</v>
      </c>
      <c r="AD2541">
        <f t="shared" si="159"/>
        <v>0</v>
      </c>
    </row>
    <row r="2542" spans="27:30" x14ac:dyDescent="0.3">
      <c r="AA2542">
        <f t="shared" si="156"/>
        <v>0</v>
      </c>
      <c r="AB2542">
        <f t="shared" si="157"/>
        <v>0</v>
      </c>
      <c r="AC2542">
        <f t="shared" si="158"/>
        <v>0</v>
      </c>
      <c r="AD2542">
        <f t="shared" si="159"/>
        <v>0</v>
      </c>
    </row>
    <row r="2543" spans="27:30" x14ac:dyDescent="0.3">
      <c r="AA2543">
        <f t="shared" si="156"/>
        <v>0</v>
      </c>
      <c r="AB2543">
        <f t="shared" si="157"/>
        <v>0</v>
      </c>
      <c r="AC2543">
        <f t="shared" si="158"/>
        <v>0</v>
      </c>
      <c r="AD2543">
        <f t="shared" si="159"/>
        <v>0</v>
      </c>
    </row>
    <row r="2544" spans="27:30" x14ac:dyDescent="0.3">
      <c r="AA2544">
        <f t="shared" si="156"/>
        <v>0</v>
      </c>
      <c r="AB2544">
        <f t="shared" si="157"/>
        <v>0</v>
      </c>
      <c r="AC2544">
        <f t="shared" si="158"/>
        <v>0</v>
      </c>
      <c r="AD2544">
        <f t="shared" si="159"/>
        <v>0</v>
      </c>
    </row>
    <row r="2545" spans="27:30" x14ac:dyDescent="0.3">
      <c r="AA2545">
        <f t="shared" si="156"/>
        <v>0</v>
      </c>
      <c r="AB2545">
        <f t="shared" si="157"/>
        <v>0</v>
      </c>
      <c r="AC2545">
        <f t="shared" si="158"/>
        <v>0</v>
      </c>
      <c r="AD2545">
        <f t="shared" si="159"/>
        <v>0</v>
      </c>
    </row>
    <row r="2546" spans="27:30" x14ac:dyDescent="0.3">
      <c r="AA2546">
        <f t="shared" si="156"/>
        <v>0</v>
      </c>
      <c r="AB2546">
        <f t="shared" si="157"/>
        <v>0</v>
      </c>
      <c r="AC2546">
        <f t="shared" si="158"/>
        <v>0</v>
      </c>
      <c r="AD2546">
        <f t="shared" si="159"/>
        <v>0</v>
      </c>
    </row>
    <row r="2547" spans="27:30" x14ac:dyDescent="0.3">
      <c r="AA2547">
        <f t="shared" si="156"/>
        <v>0</v>
      </c>
      <c r="AB2547">
        <f t="shared" si="157"/>
        <v>0</v>
      </c>
      <c r="AC2547">
        <f t="shared" si="158"/>
        <v>0</v>
      </c>
      <c r="AD2547">
        <f t="shared" si="159"/>
        <v>0</v>
      </c>
    </row>
    <row r="2548" spans="27:30" x14ac:dyDescent="0.3">
      <c r="AA2548">
        <f t="shared" si="156"/>
        <v>0</v>
      </c>
      <c r="AB2548">
        <f t="shared" si="157"/>
        <v>0</v>
      </c>
      <c r="AC2548">
        <f t="shared" si="158"/>
        <v>0</v>
      </c>
      <c r="AD2548">
        <f t="shared" si="159"/>
        <v>0</v>
      </c>
    </row>
    <row r="2549" spans="27:30" x14ac:dyDescent="0.3">
      <c r="AA2549">
        <f t="shared" si="156"/>
        <v>0</v>
      </c>
      <c r="AB2549">
        <f t="shared" si="157"/>
        <v>0</v>
      </c>
      <c r="AC2549">
        <f t="shared" si="158"/>
        <v>0</v>
      </c>
      <c r="AD2549">
        <f t="shared" si="159"/>
        <v>0</v>
      </c>
    </row>
    <row r="2550" spans="27:30" x14ac:dyDescent="0.3">
      <c r="AA2550">
        <f t="shared" si="156"/>
        <v>0</v>
      </c>
      <c r="AB2550">
        <f t="shared" si="157"/>
        <v>0</v>
      </c>
      <c r="AC2550">
        <f t="shared" si="158"/>
        <v>0</v>
      </c>
      <c r="AD2550">
        <f t="shared" si="159"/>
        <v>0</v>
      </c>
    </row>
    <row r="2551" spans="27:30" x14ac:dyDescent="0.3">
      <c r="AA2551">
        <f t="shared" si="156"/>
        <v>0</v>
      </c>
      <c r="AB2551">
        <f t="shared" si="157"/>
        <v>0</v>
      </c>
      <c r="AC2551">
        <f t="shared" si="158"/>
        <v>0</v>
      </c>
      <c r="AD2551">
        <f t="shared" si="159"/>
        <v>0</v>
      </c>
    </row>
    <row r="2552" spans="27:30" x14ac:dyDescent="0.3">
      <c r="AA2552">
        <f t="shared" si="156"/>
        <v>0</v>
      </c>
      <c r="AB2552">
        <f t="shared" si="157"/>
        <v>0</v>
      </c>
      <c r="AC2552">
        <f t="shared" si="158"/>
        <v>0</v>
      </c>
      <c r="AD2552">
        <f t="shared" si="159"/>
        <v>0</v>
      </c>
    </row>
    <row r="2553" spans="27:30" x14ac:dyDescent="0.3">
      <c r="AA2553">
        <f t="shared" si="156"/>
        <v>0</v>
      </c>
      <c r="AB2553">
        <f t="shared" si="157"/>
        <v>0</v>
      </c>
      <c r="AC2553">
        <f t="shared" si="158"/>
        <v>0</v>
      </c>
      <c r="AD2553">
        <f t="shared" si="159"/>
        <v>0</v>
      </c>
    </row>
    <row r="2554" spans="27:30" x14ac:dyDescent="0.3">
      <c r="AA2554">
        <f t="shared" si="156"/>
        <v>0</v>
      </c>
      <c r="AB2554">
        <f t="shared" si="157"/>
        <v>0</v>
      </c>
      <c r="AC2554">
        <f t="shared" si="158"/>
        <v>0</v>
      </c>
      <c r="AD2554">
        <f t="shared" si="159"/>
        <v>0</v>
      </c>
    </row>
    <row r="2555" spans="27:30" x14ac:dyDescent="0.3">
      <c r="AA2555">
        <f t="shared" si="156"/>
        <v>0</v>
      </c>
      <c r="AB2555">
        <f t="shared" si="157"/>
        <v>0</v>
      </c>
      <c r="AC2555">
        <f t="shared" si="158"/>
        <v>0</v>
      </c>
      <c r="AD2555">
        <f t="shared" si="159"/>
        <v>0</v>
      </c>
    </row>
    <row r="2556" spans="27:30" x14ac:dyDescent="0.3">
      <c r="AA2556">
        <f t="shared" si="156"/>
        <v>0</v>
      </c>
      <c r="AB2556">
        <f t="shared" si="157"/>
        <v>0</v>
      </c>
      <c r="AC2556">
        <f t="shared" si="158"/>
        <v>0</v>
      </c>
      <c r="AD2556">
        <f t="shared" si="159"/>
        <v>0</v>
      </c>
    </row>
    <row r="2557" spans="27:30" x14ac:dyDescent="0.3">
      <c r="AA2557">
        <f t="shared" si="156"/>
        <v>0</v>
      </c>
      <c r="AB2557">
        <f t="shared" si="157"/>
        <v>0</v>
      </c>
      <c r="AC2557">
        <f t="shared" si="158"/>
        <v>0</v>
      </c>
      <c r="AD2557">
        <f t="shared" si="159"/>
        <v>0</v>
      </c>
    </row>
    <row r="2558" spans="27:30" x14ac:dyDescent="0.3">
      <c r="AA2558">
        <f t="shared" si="156"/>
        <v>0</v>
      </c>
      <c r="AB2558">
        <f t="shared" si="157"/>
        <v>0</v>
      </c>
      <c r="AC2558">
        <f t="shared" si="158"/>
        <v>0</v>
      </c>
      <c r="AD2558">
        <f t="shared" si="159"/>
        <v>0</v>
      </c>
    </row>
    <row r="2559" spans="27:30" x14ac:dyDescent="0.3">
      <c r="AA2559">
        <f t="shared" si="156"/>
        <v>0</v>
      </c>
      <c r="AB2559">
        <f t="shared" si="157"/>
        <v>0</v>
      </c>
      <c r="AC2559">
        <f t="shared" si="158"/>
        <v>0</v>
      </c>
      <c r="AD2559">
        <f t="shared" si="159"/>
        <v>0</v>
      </c>
    </row>
    <row r="2560" spans="27:30" x14ac:dyDescent="0.3">
      <c r="AA2560">
        <f t="shared" si="156"/>
        <v>0</v>
      </c>
      <c r="AB2560">
        <f t="shared" si="157"/>
        <v>0</v>
      </c>
      <c r="AC2560">
        <f t="shared" si="158"/>
        <v>0</v>
      </c>
      <c r="AD2560">
        <f t="shared" si="159"/>
        <v>0</v>
      </c>
    </row>
    <row r="2561" spans="27:30" x14ac:dyDescent="0.3">
      <c r="AA2561">
        <f t="shared" si="156"/>
        <v>0</v>
      </c>
      <c r="AB2561">
        <f t="shared" si="157"/>
        <v>0</v>
      </c>
      <c r="AC2561">
        <f t="shared" si="158"/>
        <v>0</v>
      </c>
      <c r="AD2561">
        <f t="shared" si="159"/>
        <v>0</v>
      </c>
    </row>
    <row r="2562" spans="27:30" x14ac:dyDescent="0.3">
      <c r="AA2562">
        <f t="shared" si="156"/>
        <v>0</v>
      </c>
      <c r="AB2562">
        <f t="shared" si="157"/>
        <v>0</v>
      </c>
      <c r="AC2562">
        <f t="shared" si="158"/>
        <v>0</v>
      </c>
      <c r="AD2562">
        <f t="shared" si="159"/>
        <v>0</v>
      </c>
    </row>
    <row r="2563" spans="27:30" x14ac:dyDescent="0.3">
      <c r="AA2563">
        <f t="shared" si="156"/>
        <v>0</v>
      </c>
      <c r="AB2563">
        <f t="shared" si="157"/>
        <v>0</v>
      </c>
      <c r="AC2563">
        <f t="shared" si="158"/>
        <v>0</v>
      </c>
      <c r="AD2563">
        <f t="shared" si="159"/>
        <v>0</v>
      </c>
    </row>
    <row r="2564" spans="27:30" x14ac:dyDescent="0.3">
      <c r="AA2564">
        <f t="shared" si="156"/>
        <v>0</v>
      </c>
      <c r="AB2564">
        <f t="shared" si="157"/>
        <v>0</v>
      </c>
      <c r="AC2564">
        <f t="shared" si="158"/>
        <v>0</v>
      </c>
      <c r="AD2564">
        <f t="shared" si="159"/>
        <v>0</v>
      </c>
    </row>
    <row r="2565" spans="27:30" x14ac:dyDescent="0.3">
      <c r="AA2565">
        <f t="shared" ref="AA2565:AA2628" si="160">ROUND(Z2565,0)</f>
        <v>0</v>
      </c>
      <c r="AB2565">
        <f t="shared" ref="AB2565:AB2628" si="161">IF(AA2565=Y2565,0,1)</f>
        <v>0</v>
      </c>
      <c r="AC2565">
        <f t="shared" ref="AC2565:AC2628" si="162">IF(AA2565&lt;Y2565+5,IF(AA2565&gt;Y2565-5,0,1),1)</f>
        <v>0</v>
      </c>
      <c r="AD2565">
        <f t="shared" ref="AD2565:AD2628" si="163">IF(AA2565&lt;Y2565+10,IF(AA2565&gt;Y2565-10,0,1),1)</f>
        <v>0</v>
      </c>
    </row>
    <row r="2566" spans="27:30" x14ac:dyDescent="0.3">
      <c r="AA2566">
        <f t="shared" si="160"/>
        <v>0</v>
      </c>
      <c r="AB2566">
        <f t="shared" si="161"/>
        <v>0</v>
      </c>
      <c r="AC2566">
        <f t="shared" si="162"/>
        <v>0</v>
      </c>
      <c r="AD2566">
        <f t="shared" si="163"/>
        <v>0</v>
      </c>
    </row>
    <row r="2567" spans="27:30" x14ac:dyDescent="0.3">
      <c r="AA2567">
        <f t="shared" si="160"/>
        <v>0</v>
      </c>
      <c r="AB2567">
        <f t="shared" si="161"/>
        <v>0</v>
      </c>
      <c r="AC2567">
        <f t="shared" si="162"/>
        <v>0</v>
      </c>
      <c r="AD2567">
        <f t="shared" si="163"/>
        <v>0</v>
      </c>
    </row>
    <row r="2568" spans="27:30" x14ac:dyDescent="0.3">
      <c r="AA2568">
        <f t="shared" si="160"/>
        <v>0</v>
      </c>
      <c r="AB2568">
        <f t="shared" si="161"/>
        <v>0</v>
      </c>
      <c r="AC2568">
        <f t="shared" si="162"/>
        <v>0</v>
      </c>
      <c r="AD2568">
        <f t="shared" si="163"/>
        <v>0</v>
      </c>
    </row>
    <row r="2569" spans="27:30" x14ac:dyDescent="0.3">
      <c r="AA2569">
        <f t="shared" si="160"/>
        <v>0</v>
      </c>
      <c r="AB2569">
        <f t="shared" si="161"/>
        <v>0</v>
      </c>
      <c r="AC2569">
        <f t="shared" si="162"/>
        <v>0</v>
      </c>
      <c r="AD2569">
        <f t="shared" si="163"/>
        <v>0</v>
      </c>
    </row>
    <row r="2570" spans="27:30" x14ac:dyDescent="0.3">
      <c r="AA2570">
        <f t="shared" si="160"/>
        <v>0</v>
      </c>
      <c r="AB2570">
        <f t="shared" si="161"/>
        <v>0</v>
      </c>
      <c r="AC2570">
        <f t="shared" si="162"/>
        <v>0</v>
      </c>
      <c r="AD2570">
        <f t="shared" si="163"/>
        <v>0</v>
      </c>
    </row>
    <row r="2571" spans="27:30" x14ac:dyDescent="0.3">
      <c r="AA2571">
        <f t="shared" si="160"/>
        <v>0</v>
      </c>
      <c r="AB2571">
        <f t="shared" si="161"/>
        <v>0</v>
      </c>
      <c r="AC2571">
        <f t="shared" si="162"/>
        <v>0</v>
      </c>
      <c r="AD2571">
        <f t="shared" si="163"/>
        <v>0</v>
      </c>
    </row>
    <row r="2572" spans="27:30" x14ac:dyDescent="0.3">
      <c r="AA2572">
        <f t="shared" si="160"/>
        <v>0</v>
      </c>
      <c r="AB2572">
        <f t="shared" si="161"/>
        <v>0</v>
      </c>
      <c r="AC2572">
        <f t="shared" si="162"/>
        <v>0</v>
      </c>
      <c r="AD2572">
        <f t="shared" si="163"/>
        <v>0</v>
      </c>
    </row>
    <row r="2573" spans="27:30" x14ac:dyDescent="0.3">
      <c r="AA2573">
        <f t="shared" si="160"/>
        <v>0</v>
      </c>
      <c r="AB2573">
        <f t="shared" si="161"/>
        <v>0</v>
      </c>
      <c r="AC2573">
        <f t="shared" si="162"/>
        <v>0</v>
      </c>
      <c r="AD2573">
        <f t="shared" si="163"/>
        <v>0</v>
      </c>
    </row>
    <row r="2574" spans="27:30" x14ac:dyDescent="0.3">
      <c r="AA2574">
        <f t="shared" si="160"/>
        <v>0</v>
      </c>
      <c r="AB2574">
        <f t="shared" si="161"/>
        <v>0</v>
      </c>
      <c r="AC2574">
        <f t="shared" si="162"/>
        <v>0</v>
      </c>
      <c r="AD2574">
        <f t="shared" si="163"/>
        <v>0</v>
      </c>
    </row>
    <row r="2575" spans="27:30" x14ac:dyDescent="0.3">
      <c r="AA2575">
        <f t="shared" si="160"/>
        <v>0</v>
      </c>
      <c r="AB2575">
        <f t="shared" si="161"/>
        <v>0</v>
      </c>
      <c r="AC2575">
        <f t="shared" si="162"/>
        <v>0</v>
      </c>
      <c r="AD2575">
        <f t="shared" si="163"/>
        <v>0</v>
      </c>
    </row>
    <row r="2576" spans="27:30" x14ac:dyDescent="0.3">
      <c r="AA2576">
        <f t="shared" si="160"/>
        <v>0</v>
      </c>
      <c r="AB2576">
        <f t="shared" si="161"/>
        <v>0</v>
      </c>
      <c r="AC2576">
        <f t="shared" si="162"/>
        <v>0</v>
      </c>
      <c r="AD2576">
        <f t="shared" si="163"/>
        <v>0</v>
      </c>
    </row>
    <row r="2577" spans="27:30" x14ac:dyDescent="0.3">
      <c r="AA2577">
        <f t="shared" si="160"/>
        <v>0</v>
      </c>
      <c r="AB2577">
        <f t="shared" si="161"/>
        <v>0</v>
      </c>
      <c r="AC2577">
        <f t="shared" si="162"/>
        <v>0</v>
      </c>
      <c r="AD2577">
        <f t="shared" si="163"/>
        <v>0</v>
      </c>
    </row>
    <row r="2578" spans="27:30" x14ac:dyDescent="0.3">
      <c r="AA2578">
        <f t="shared" si="160"/>
        <v>0</v>
      </c>
      <c r="AB2578">
        <f t="shared" si="161"/>
        <v>0</v>
      </c>
      <c r="AC2578">
        <f t="shared" si="162"/>
        <v>0</v>
      </c>
      <c r="AD2578">
        <f t="shared" si="163"/>
        <v>0</v>
      </c>
    </row>
    <row r="2579" spans="27:30" x14ac:dyDescent="0.3">
      <c r="AA2579">
        <f t="shared" si="160"/>
        <v>0</v>
      </c>
      <c r="AB2579">
        <f t="shared" si="161"/>
        <v>0</v>
      </c>
      <c r="AC2579">
        <f t="shared" si="162"/>
        <v>0</v>
      </c>
      <c r="AD2579">
        <f t="shared" si="163"/>
        <v>0</v>
      </c>
    </row>
    <row r="2580" spans="27:30" x14ac:dyDescent="0.3">
      <c r="AA2580">
        <f t="shared" si="160"/>
        <v>0</v>
      </c>
      <c r="AB2580">
        <f t="shared" si="161"/>
        <v>0</v>
      </c>
      <c r="AC2580">
        <f t="shared" si="162"/>
        <v>0</v>
      </c>
      <c r="AD2580">
        <f t="shared" si="163"/>
        <v>0</v>
      </c>
    </row>
    <row r="2581" spans="27:30" x14ac:dyDescent="0.3">
      <c r="AA2581">
        <f t="shared" si="160"/>
        <v>0</v>
      </c>
      <c r="AB2581">
        <f t="shared" si="161"/>
        <v>0</v>
      </c>
      <c r="AC2581">
        <f t="shared" si="162"/>
        <v>0</v>
      </c>
      <c r="AD2581">
        <f t="shared" si="163"/>
        <v>0</v>
      </c>
    </row>
    <row r="2582" spans="27:30" x14ac:dyDescent="0.3">
      <c r="AA2582">
        <f t="shared" si="160"/>
        <v>0</v>
      </c>
      <c r="AB2582">
        <f t="shared" si="161"/>
        <v>0</v>
      </c>
      <c r="AC2582">
        <f t="shared" si="162"/>
        <v>0</v>
      </c>
      <c r="AD2582">
        <f t="shared" si="163"/>
        <v>0</v>
      </c>
    </row>
    <row r="2583" spans="27:30" x14ac:dyDescent="0.3">
      <c r="AA2583">
        <f t="shared" si="160"/>
        <v>0</v>
      </c>
      <c r="AB2583">
        <f t="shared" si="161"/>
        <v>0</v>
      </c>
      <c r="AC2583">
        <f t="shared" si="162"/>
        <v>0</v>
      </c>
      <c r="AD2583">
        <f t="shared" si="163"/>
        <v>0</v>
      </c>
    </row>
    <row r="2584" spans="27:30" x14ac:dyDescent="0.3">
      <c r="AA2584">
        <f t="shared" si="160"/>
        <v>0</v>
      </c>
      <c r="AB2584">
        <f t="shared" si="161"/>
        <v>0</v>
      </c>
      <c r="AC2584">
        <f t="shared" si="162"/>
        <v>0</v>
      </c>
      <c r="AD2584">
        <f t="shared" si="163"/>
        <v>0</v>
      </c>
    </row>
    <row r="2585" spans="27:30" x14ac:dyDescent="0.3">
      <c r="AA2585">
        <f t="shared" si="160"/>
        <v>0</v>
      </c>
      <c r="AB2585">
        <f t="shared" si="161"/>
        <v>0</v>
      </c>
      <c r="AC2585">
        <f t="shared" si="162"/>
        <v>0</v>
      </c>
      <c r="AD2585">
        <f t="shared" si="163"/>
        <v>0</v>
      </c>
    </row>
    <row r="2586" spans="27:30" x14ac:dyDescent="0.3">
      <c r="AA2586">
        <f t="shared" si="160"/>
        <v>0</v>
      </c>
      <c r="AB2586">
        <f t="shared" si="161"/>
        <v>0</v>
      </c>
      <c r="AC2586">
        <f t="shared" si="162"/>
        <v>0</v>
      </c>
      <c r="AD2586">
        <f t="shared" si="163"/>
        <v>0</v>
      </c>
    </row>
    <row r="2587" spans="27:30" x14ac:dyDescent="0.3">
      <c r="AA2587">
        <f t="shared" si="160"/>
        <v>0</v>
      </c>
      <c r="AB2587">
        <f t="shared" si="161"/>
        <v>0</v>
      </c>
      <c r="AC2587">
        <f t="shared" si="162"/>
        <v>0</v>
      </c>
      <c r="AD2587">
        <f t="shared" si="163"/>
        <v>0</v>
      </c>
    </row>
    <row r="2588" spans="27:30" x14ac:dyDescent="0.3">
      <c r="AA2588">
        <f t="shared" si="160"/>
        <v>0</v>
      </c>
      <c r="AB2588">
        <f t="shared" si="161"/>
        <v>0</v>
      </c>
      <c r="AC2588">
        <f t="shared" si="162"/>
        <v>0</v>
      </c>
      <c r="AD2588">
        <f t="shared" si="163"/>
        <v>0</v>
      </c>
    </row>
    <row r="2589" spans="27:30" x14ac:dyDescent="0.3">
      <c r="AA2589">
        <f t="shared" si="160"/>
        <v>0</v>
      </c>
      <c r="AB2589">
        <f t="shared" si="161"/>
        <v>0</v>
      </c>
      <c r="AC2589">
        <f t="shared" si="162"/>
        <v>0</v>
      </c>
      <c r="AD2589">
        <f t="shared" si="163"/>
        <v>0</v>
      </c>
    </row>
    <row r="2590" spans="27:30" x14ac:dyDescent="0.3">
      <c r="AA2590">
        <f t="shared" si="160"/>
        <v>0</v>
      </c>
      <c r="AB2590">
        <f t="shared" si="161"/>
        <v>0</v>
      </c>
      <c r="AC2590">
        <f t="shared" si="162"/>
        <v>0</v>
      </c>
      <c r="AD2590">
        <f t="shared" si="163"/>
        <v>0</v>
      </c>
    </row>
    <row r="2591" spans="27:30" x14ac:dyDescent="0.3">
      <c r="AA2591">
        <f t="shared" si="160"/>
        <v>0</v>
      </c>
      <c r="AB2591">
        <f t="shared" si="161"/>
        <v>0</v>
      </c>
      <c r="AC2591">
        <f t="shared" si="162"/>
        <v>0</v>
      </c>
      <c r="AD2591">
        <f t="shared" si="163"/>
        <v>0</v>
      </c>
    </row>
    <row r="2592" spans="27:30" x14ac:dyDescent="0.3">
      <c r="AA2592">
        <f t="shared" si="160"/>
        <v>0</v>
      </c>
      <c r="AB2592">
        <f t="shared" si="161"/>
        <v>0</v>
      </c>
      <c r="AC2592">
        <f t="shared" si="162"/>
        <v>0</v>
      </c>
      <c r="AD2592">
        <f t="shared" si="163"/>
        <v>0</v>
      </c>
    </row>
    <row r="2593" spans="27:30" x14ac:dyDescent="0.3">
      <c r="AA2593">
        <f t="shared" si="160"/>
        <v>0</v>
      </c>
      <c r="AB2593">
        <f t="shared" si="161"/>
        <v>0</v>
      </c>
      <c r="AC2593">
        <f t="shared" si="162"/>
        <v>0</v>
      </c>
      <c r="AD2593">
        <f t="shared" si="163"/>
        <v>0</v>
      </c>
    </row>
    <row r="2594" spans="27:30" x14ac:dyDescent="0.3">
      <c r="AA2594">
        <f t="shared" si="160"/>
        <v>0</v>
      </c>
      <c r="AB2594">
        <f t="shared" si="161"/>
        <v>0</v>
      </c>
      <c r="AC2594">
        <f t="shared" si="162"/>
        <v>0</v>
      </c>
      <c r="AD2594">
        <f t="shared" si="163"/>
        <v>0</v>
      </c>
    </row>
    <row r="2595" spans="27:30" x14ac:dyDescent="0.3">
      <c r="AA2595">
        <f t="shared" si="160"/>
        <v>0</v>
      </c>
      <c r="AB2595">
        <f t="shared" si="161"/>
        <v>0</v>
      </c>
      <c r="AC2595">
        <f t="shared" si="162"/>
        <v>0</v>
      </c>
      <c r="AD2595">
        <f t="shared" si="163"/>
        <v>0</v>
      </c>
    </row>
    <row r="2596" spans="27:30" x14ac:dyDescent="0.3">
      <c r="AA2596">
        <f t="shared" si="160"/>
        <v>0</v>
      </c>
      <c r="AB2596">
        <f t="shared" si="161"/>
        <v>0</v>
      </c>
      <c r="AC2596">
        <f t="shared" si="162"/>
        <v>0</v>
      </c>
      <c r="AD2596">
        <f t="shared" si="163"/>
        <v>0</v>
      </c>
    </row>
    <row r="2597" spans="27:30" x14ac:dyDescent="0.3">
      <c r="AA2597">
        <f t="shared" si="160"/>
        <v>0</v>
      </c>
      <c r="AB2597">
        <f t="shared" si="161"/>
        <v>0</v>
      </c>
      <c r="AC2597">
        <f t="shared" si="162"/>
        <v>0</v>
      </c>
      <c r="AD2597">
        <f t="shared" si="163"/>
        <v>0</v>
      </c>
    </row>
    <row r="2598" spans="27:30" x14ac:dyDescent="0.3">
      <c r="AA2598">
        <f t="shared" si="160"/>
        <v>0</v>
      </c>
      <c r="AB2598">
        <f t="shared" si="161"/>
        <v>0</v>
      </c>
      <c r="AC2598">
        <f t="shared" si="162"/>
        <v>0</v>
      </c>
      <c r="AD2598">
        <f t="shared" si="163"/>
        <v>0</v>
      </c>
    </row>
    <row r="2599" spans="27:30" x14ac:dyDescent="0.3">
      <c r="AA2599">
        <f t="shared" si="160"/>
        <v>0</v>
      </c>
      <c r="AB2599">
        <f t="shared" si="161"/>
        <v>0</v>
      </c>
      <c r="AC2599">
        <f t="shared" si="162"/>
        <v>0</v>
      </c>
      <c r="AD2599">
        <f t="shared" si="163"/>
        <v>0</v>
      </c>
    </row>
    <row r="2600" spans="27:30" x14ac:dyDescent="0.3">
      <c r="AA2600">
        <f t="shared" si="160"/>
        <v>0</v>
      </c>
      <c r="AB2600">
        <f t="shared" si="161"/>
        <v>0</v>
      </c>
      <c r="AC2600">
        <f t="shared" si="162"/>
        <v>0</v>
      </c>
      <c r="AD2600">
        <f t="shared" si="163"/>
        <v>0</v>
      </c>
    </row>
    <row r="2601" spans="27:30" x14ac:dyDescent="0.3">
      <c r="AA2601">
        <f t="shared" si="160"/>
        <v>0</v>
      </c>
      <c r="AB2601">
        <f t="shared" si="161"/>
        <v>0</v>
      </c>
      <c r="AC2601">
        <f t="shared" si="162"/>
        <v>0</v>
      </c>
      <c r="AD2601">
        <f t="shared" si="163"/>
        <v>0</v>
      </c>
    </row>
    <row r="2602" spans="27:30" x14ac:dyDescent="0.3">
      <c r="AA2602">
        <f t="shared" si="160"/>
        <v>0</v>
      </c>
      <c r="AB2602">
        <f t="shared" si="161"/>
        <v>0</v>
      </c>
      <c r="AC2602">
        <f t="shared" si="162"/>
        <v>0</v>
      </c>
      <c r="AD2602">
        <f t="shared" si="163"/>
        <v>0</v>
      </c>
    </row>
    <row r="2603" spans="27:30" x14ac:dyDescent="0.3">
      <c r="AA2603">
        <f t="shared" si="160"/>
        <v>0</v>
      </c>
      <c r="AB2603">
        <f t="shared" si="161"/>
        <v>0</v>
      </c>
      <c r="AC2603">
        <f t="shared" si="162"/>
        <v>0</v>
      </c>
      <c r="AD2603">
        <f t="shared" si="163"/>
        <v>0</v>
      </c>
    </row>
    <row r="2604" spans="27:30" x14ac:dyDescent="0.3">
      <c r="AA2604">
        <f t="shared" si="160"/>
        <v>0</v>
      </c>
      <c r="AB2604">
        <f t="shared" si="161"/>
        <v>0</v>
      </c>
      <c r="AC2604">
        <f t="shared" si="162"/>
        <v>0</v>
      </c>
      <c r="AD2604">
        <f t="shared" si="163"/>
        <v>0</v>
      </c>
    </row>
    <row r="2605" spans="27:30" x14ac:dyDescent="0.3">
      <c r="AA2605">
        <f t="shared" si="160"/>
        <v>0</v>
      </c>
      <c r="AB2605">
        <f t="shared" si="161"/>
        <v>0</v>
      </c>
      <c r="AC2605">
        <f t="shared" si="162"/>
        <v>0</v>
      </c>
      <c r="AD2605">
        <f t="shared" si="163"/>
        <v>0</v>
      </c>
    </row>
    <row r="2606" spans="27:30" x14ac:dyDescent="0.3">
      <c r="AA2606">
        <f t="shared" si="160"/>
        <v>0</v>
      </c>
      <c r="AB2606">
        <f t="shared" si="161"/>
        <v>0</v>
      </c>
      <c r="AC2606">
        <f t="shared" si="162"/>
        <v>0</v>
      </c>
      <c r="AD2606">
        <f t="shared" si="163"/>
        <v>0</v>
      </c>
    </row>
    <row r="2607" spans="27:30" x14ac:dyDescent="0.3">
      <c r="AA2607">
        <f t="shared" si="160"/>
        <v>0</v>
      </c>
      <c r="AB2607">
        <f t="shared" si="161"/>
        <v>0</v>
      </c>
      <c r="AC2607">
        <f t="shared" si="162"/>
        <v>0</v>
      </c>
      <c r="AD2607">
        <f t="shared" si="163"/>
        <v>0</v>
      </c>
    </row>
    <row r="2608" spans="27:30" x14ac:dyDescent="0.3">
      <c r="AA2608">
        <f t="shared" si="160"/>
        <v>0</v>
      </c>
      <c r="AB2608">
        <f t="shared" si="161"/>
        <v>0</v>
      </c>
      <c r="AC2608">
        <f t="shared" si="162"/>
        <v>0</v>
      </c>
      <c r="AD2608">
        <f t="shared" si="163"/>
        <v>0</v>
      </c>
    </row>
    <row r="2609" spans="27:30" x14ac:dyDescent="0.3">
      <c r="AA2609">
        <f t="shared" si="160"/>
        <v>0</v>
      </c>
      <c r="AB2609">
        <f t="shared" si="161"/>
        <v>0</v>
      </c>
      <c r="AC2609">
        <f t="shared" si="162"/>
        <v>0</v>
      </c>
      <c r="AD2609">
        <f t="shared" si="163"/>
        <v>0</v>
      </c>
    </row>
    <row r="2610" spans="27:30" x14ac:dyDescent="0.3">
      <c r="AA2610">
        <f t="shared" si="160"/>
        <v>0</v>
      </c>
      <c r="AB2610">
        <f t="shared" si="161"/>
        <v>0</v>
      </c>
      <c r="AC2610">
        <f t="shared" si="162"/>
        <v>0</v>
      </c>
      <c r="AD2610">
        <f t="shared" si="163"/>
        <v>0</v>
      </c>
    </row>
    <row r="2611" spans="27:30" x14ac:dyDescent="0.3">
      <c r="AA2611">
        <f t="shared" si="160"/>
        <v>0</v>
      </c>
      <c r="AB2611">
        <f t="shared" si="161"/>
        <v>0</v>
      </c>
      <c r="AC2611">
        <f t="shared" si="162"/>
        <v>0</v>
      </c>
      <c r="AD2611">
        <f t="shared" si="163"/>
        <v>0</v>
      </c>
    </row>
    <row r="2612" spans="27:30" x14ac:dyDescent="0.3">
      <c r="AA2612">
        <f t="shared" si="160"/>
        <v>0</v>
      </c>
      <c r="AB2612">
        <f t="shared" si="161"/>
        <v>0</v>
      </c>
      <c r="AC2612">
        <f t="shared" si="162"/>
        <v>0</v>
      </c>
      <c r="AD2612">
        <f t="shared" si="163"/>
        <v>0</v>
      </c>
    </row>
    <row r="2613" spans="27:30" x14ac:dyDescent="0.3">
      <c r="AA2613">
        <f t="shared" si="160"/>
        <v>0</v>
      </c>
      <c r="AB2613">
        <f t="shared" si="161"/>
        <v>0</v>
      </c>
      <c r="AC2613">
        <f t="shared" si="162"/>
        <v>0</v>
      </c>
      <c r="AD2613">
        <f t="shared" si="163"/>
        <v>0</v>
      </c>
    </row>
    <row r="2614" spans="27:30" x14ac:dyDescent="0.3">
      <c r="AA2614">
        <f t="shared" si="160"/>
        <v>0</v>
      </c>
      <c r="AB2614">
        <f t="shared" si="161"/>
        <v>0</v>
      </c>
      <c r="AC2614">
        <f t="shared" si="162"/>
        <v>0</v>
      </c>
      <c r="AD2614">
        <f t="shared" si="163"/>
        <v>0</v>
      </c>
    </row>
    <row r="2615" spans="27:30" x14ac:dyDescent="0.3">
      <c r="AA2615">
        <f t="shared" si="160"/>
        <v>0</v>
      </c>
      <c r="AB2615">
        <f t="shared" si="161"/>
        <v>0</v>
      </c>
      <c r="AC2615">
        <f t="shared" si="162"/>
        <v>0</v>
      </c>
      <c r="AD2615">
        <f t="shared" si="163"/>
        <v>0</v>
      </c>
    </row>
    <row r="2616" spans="27:30" x14ac:dyDescent="0.3">
      <c r="AA2616">
        <f t="shared" si="160"/>
        <v>0</v>
      </c>
      <c r="AB2616">
        <f t="shared" si="161"/>
        <v>0</v>
      </c>
      <c r="AC2616">
        <f t="shared" si="162"/>
        <v>0</v>
      </c>
      <c r="AD2616">
        <f t="shared" si="163"/>
        <v>0</v>
      </c>
    </row>
    <row r="2617" spans="27:30" x14ac:dyDescent="0.3">
      <c r="AA2617">
        <f t="shared" si="160"/>
        <v>0</v>
      </c>
      <c r="AB2617">
        <f t="shared" si="161"/>
        <v>0</v>
      </c>
      <c r="AC2617">
        <f t="shared" si="162"/>
        <v>0</v>
      </c>
      <c r="AD2617">
        <f t="shared" si="163"/>
        <v>0</v>
      </c>
    </row>
    <row r="2618" spans="27:30" x14ac:dyDescent="0.3">
      <c r="AA2618">
        <f t="shared" si="160"/>
        <v>0</v>
      </c>
      <c r="AB2618">
        <f t="shared" si="161"/>
        <v>0</v>
      </c>
      <c r="AC2618">
        <f t="shared" si="162"/>
        <v>0</v>
      </c>
      <c r="AD2618">
        <f t="shared" si="163"/>
        <v>0</v>
      </c>
    </row>
    <row r="2619" spans="27:30" x14ac:dyDescent="0.3">
      <c r="AA2619">
        <f t="shared" si="160"/>
        <v>0</v>
      </c>
      <c r="AB2619">
        <f t="shared" si="161"/>
        <v>0</v>
      </c>
      <c r="AC2619">
        <f t="shared" si="162"/>
        <v>0</v>
      </c>
      <c r="AD2619">
        <f t="shared" si="163"/>
        <v>0</v>
      </c>
    </row>
    <row r="2620" spans="27:30" x14ac:dyDescent="0.3">
      <c r="AA2620">
        <f t="shared" si="160"/>
        <v>0</v>
      </c>
      <c r="AB2620">
        <f t="shared" si="161"/>
        <v>0</v>
      </c>
      <c r="AC2620">
        <f t="shared" si="162"/>
        <v>0</v>
      </c>
      <c r="AD2620">
        <f t="shared" si="163"/>
        <v>0</v>
      </c>
    </row>
    <row r="2621" spans="27:30" x14ac:dyDescent="0.3">
      <c r="AA2621">
        <f t="shared" si="160"/>
        <v>0</v>
      </c>
      <c r="AB2621">
        <f t="shared" si="161"/>
        <v>0</v>
      </c>
      <c r="AC2621">
        <f t="shared" si="162"/>
        <v>0</v>
      </c>
      <c r="AD2621">
        <f t="shared" si="163"/>
        <v>0</v>
      </c>
    </row>
    <row r="2622" spans="27:30" x14ac:dyDescent="0.3">
      <c r="AA2622">
        <f t="shared" si="160"/>
        <v>0</v>
      </c>
      <c r="AB2622">
        <f t="shared" si="161"/>
        <v>0</v>
      </c>
      <c r="AC2622">
        <f t="shared" si="162"/>
        <v>0</v>
      </c>
      <c r="AD2622">
        <f t="shared" si="163"/>
        <v>0</v>
      </c>
    </row>
    <row r="2623" spans="27:30" x14ac:dyDescent="0.3">
      <c r="AA2623">
        <f t="shared" si="160"/>
        <v>0</v>
      </c>
      <c r="AB2623">
        <f t="shared" si="161"/>
        <v>0</v>
      </c>
      <c r="AC2623">
        <f t="shared" si="162"/>
        <v>0</v>
      </c>
      <c r="AD2623">
        <f t="shared" si="163"/>
        <v>0</v>
      </c>
    </row>
    <row r="2624" spans="27:30" x14ac:dyDescent="0.3">
      <c r="AA2624">
        <f t="shared" si="160"/>
        <v>0</v>
      </c>
      <c r="AB2624">
        <f t="shared" si="161"/>
        <v>0</v>
      </c>
      <c r="AC2624">
        <f t="shared" si="162"/>
        <v>0</v>
      </c>
      <c r="AD2624">
        <f t="shared" si="163"/>
        <v>0</v>
      </c>
    </row>
    <row r="2625" spans="27:30" x14ac:dyDescent="0.3">
      <c r="AA2625">
        <f t="shared" si="160"/>
        <v>0</v>
      </c>
      <c r="AB2625">
        <f t="shared" si="161"/>
        <v>0</v>
      </c>
      <c r="AC2625">
        <f t="shared" si="162"/>
        <v>0</v>
      </c>
      <c r="AD2625">
        <f t="shared" si="163"/>
        <v>0</v>
      </c>
    </row>
    <row r="2626" spans="27:30" x14ac:dyDescent="0.3">
      <c r="AA2626">
        <f t="shared" si="160"/>
        <v>0</v>
      </c>
      <c r="AB2626">
        <f t="shared" si="161"/>
        <v>0</v>
      </c>
      <c r="AC2626">
        <f t="shared" si="162"/>
        <v>0</v>
      </c>
      <c r="AD2626">
        <f t="shared" si="163"/>
        <v>0</v>
      </c>
    </row>
    <row r="2627" spans="27:30" x14ac:dyDescent="0.3">
      <c r="AA2627">
        <f t="shared" si="160"/>
        <v>0</v>
      </c>
      <c r="AB2627">
        <f t="shared" si="161"/>
        <v>0</v>
      </c>
      <c r="AC2627">
        <f t="shared" si="162"/>
        <v>0</v>
      </c>
      <c r="AD2627">
        <f t="shared" si="163"/>
        <v>0</v>
      </c>
    </row>
    <row r="2628" spans="27:30" x14ac:dyDescent="0.3">
      <c r="AA2628">
        <f t="shared" si="160"/>
        <v>0</v>
      </c>
      <c r="AB2628">
        <f t="shared" si="161"/>
        <v>0</v>
      </c>
      <c r="AC2628">
        <f t="shared" si="162"/>
        <v>0</v>
      </c>
      <c r="AD2628">
        <f t="shared" si="163"/>
        <v>0</v>
      </c>
    </row>
    <row r="2629" spans="27:30" x14ac:dyDescent="0.3">
      <c r="AA2629">
        <f t="shared" ref="AA2629:AA2692" si="164">ROUND(Z2629,0)</f>
        <v>0</v>
      </c>
      <c r="AB2629">
        <f t="shared" ref="AB2629:AB2692" si="165">IF(AA2629=Y2629,0,1)</f>
        <v>0</v>
      </c>
      <c r="AC2629">
        <f t="shared" ref="AC2629:AC2692" si="166">IF(AA2629&lt;Y2629+5,IF(AA2629&gt;Y2629-5,0,1),1)</f>
        <v>0</v>
      </c>
      <c r="AD2629">
        <f t="shared" ref="AD2629:AD2692" si="167">IF(AA2629&lt;Y2629+10,IF(AA2629&gt;Y2629-10,0,1),1)</f>
        <v>0</v>
      </c>
    </row>
    <row r="2630" spans="27:30" x14ac:dyDescent="0.3">
      <c r="AA2630">
        <f t="shared" si="164"/>
        <v>0</v>
      </c>
      <c r="AB2630">
        <f t="shared" si="165"/>
        <v>0</v>
      </c>
      <c r="AC2630">
        <f t="shared" si="166"/>
        <v>0</v>
      </c>
      <c r="AD2630">
        <f t="shared" si="167"/>
        <v>0</v>
      </c>
    </row>
    <row r="2631" spans="27:30" x14ac:dyDescent="0.3">
      <c r="AA2631">
        <f t="shared" si="164"/>
        <v>0</v>
      </c>
      <c r="AB2631">
        <f t="shared" si="165"/>
        <v>0</v>
      </c>
      <c r="AC2631">
        <f t="shared" si="166"/>
        <v>0</v>
      </c>
      <c r="AD2631">
        <f t="shared" si="167"/>
        <v>0</v>
      </c>
    </row>
    <row r="2632" spans="27:30" x14ac:dyDescent="0.3">
      <c r="AA2632">
        <f t="shared" si="164"/>
        <v>0</v>
      </c>
      <c r="AB2632">
        <f t="shared" si="165"/>
        <v>0</v>
      </c>
      <c r="AC2632">
        <f t="shared" si="166"/>
        <v>0</v>
      </c>
      <c r="AD2632">
        <f t="shared" si="167"/>
        <v>0</v>
      </c>
    </row>
    <row r="2633" spans="27:30" x14ac:dyDescent="0.3">
      <c r="AA2633">
        <f t="shared" si="164"/>
        <v>0</v>
      </c>
      <c r="AB2633">
        <f t="shared" si="165"/>
        <v>0</v>
      </c>
      <c r="AC2633">
        <f t="shared" si="166"/>
        <v>0</v>
      </c>
      <c r="AD2633">
        <f t="shared" si="167"/>
        <v>0</v>
      </c>
    </row>
    <row r="2634" spans="27:30" x14ac:dyDescent="0.3">
      <c r="AA2634">
        <f t="shared" si="164"/>
        <v>0</v>
      </c>
      <c r="AB2634">
        <f t="shared" si="165"/>
        <v>0</v>
      </c>
      <c r="AC2634">
        <f t="shared" si="166"/>
        <v>0</v>
      </c>
      <c r="AD2634">
        <f t="shared" si="167"/>
        <v>0</v>
      </c>
    </row>
    <row r="2635" spans="27:30" x14ac:dyDescent="0.3">
      <c r="AA2635">
        <f t="shared" si="164"/>
        <v>0</v>
      </c>
      <c r="AB2635">
        <f t="shared" si="165"/>
        <v>0</v>
      </c>
      <c r="AC2635">
        <f t="shared" si="166"/>
        <v>0</v>
      </c>
      <c r="AD2635">
        <f t="shared" si="167"/>
        <v>0</v>
      </c>
    </row>
    <row r="2636" spans="27:30" x14ac:dyDescent="0.3">
      <c r="AA2636">
        <f t="shared" si="164"/>
        <v>0</v>
      </c>
      <c r="AB2636">
        <f t="shared" si="165"/>
        <v>0</v>
      </c>
      <c r="AC2636">
        <f t="shared" si="166"/>
        <v>0</v>
      </c>
      <c r="AD2636">
        <f t="shared" si="167"/>
        <v>0</v>
      </c>
    </row>
    <row r="2637" spans="27:30" x14ac:dyDescent="0.3">
      <c r="AA2637">
        <f t="shared" si="164"/>
        <v>0</v>
      </c>
      <c r="AB2637">
        <f t="shared" si="165"/>
        <v>0</v>
      </c>
      <c r="AC2637">
        <f t="shared" si="166"/>
        <v>0</v>
      </c>
      <c r="AD2637">
        <f t="shared" si="167"/>
        <v>0</v>
      </c>
    </row>
    <row r="2638" spans="27:30" x14ac:dyDescent="0.3">
      <c r="AA2638">
        <f t="shared" si="164"/>
        <v>0</v>
      </c>
      <c r="AB2638">
        <f t="shared" si="165"/>
        <v>0</v>
      </c>
      <c r="AC2638">
        <f t="shared" si="166"/>
        <v>0</v>
      </c>
      <c r="AD2638">
        <f t="shared" si="167"/>
        <v>0</v>
      </c>
    </row>
    <row r="2639" spans="27:30" x14ac:dyDescent="0.3">
      <c r="AA2639">
        <f t="shared" si="164"/>
        <v>0</v>
      </c>
      <c r="AB2639">
        <f t="shared" si="165"/>
        <v>0</v>
      </c>
      <c r="AC2639">
        <f t="shared" si="166"/>
        <v>0</v>
      </c>
      <c r="AD2639">
        <f t="shared" si="167"/>
        <v>0</v>
      </c>
    </row>
    <row r="2640" spans="27:30" x14ac:dyDescent="0.3">
      <c r="AA2640">
        <f t="shared" si="164"/>
        <v>0</v>
      </c>
      <c r="AB2640">
        <f t="shared" si="165"/>
        <v>0</v>
      </c>
      <c r="AC2640">
        <f t="shared" si="166"/>
        <v>0</v>
      </c>
      <c r="AD2640">
        <f t="shared" si="167"/>
        <v>0</v>
      </c>
    </row>
    <row r="2641" spans="27:30" x14ac:dyDescent="0.3">
      <c r="AA2641">
        <f t="shared" si="164"/>
        <v>0</v>
      </c>
      <c r="AB2641">
        <f t="shared" si="165"/>
        <v>0</v>
      </c>
      <c r="AC2641">
        <f t="shared" si="166"/>
        <v>0</v>
      </c>
      <c r="AD2641">
        <f t="shared" si="167"/>
        <v>0</v>
      </c>
    </row>
    <row r="2642" spans="27:30" x14ac:dyDescent="0.3">
      <c r="AA2642">
        <f t="shared" si="164"/>
        <v>0</v>
      </c>
      <c r="AB2642">
        <f t="shared" si="165"/>
        <v>0</v>
      </c>
      <c r="AC2642">
        <f t="shared" si="166"/>
        <v>0</v>
      </c>
      <c r="AD2642">
        <f t="shared" si="167"/>
        <v>0</v>
      </c>
    </row>
    <row r="2643" spans="27:30" x14ac:dyDescent="0.3">
      <c r="AA2643">
        <f t="shared" si="164"/>
        <v>0</v>
      </c>
      <c r="AB2643">
        <f t="shared" si="165"/>
        <v>0</v>
      </c>
      <c r="AC2643">
        <f t="shared" si="166"/>
        <v>0</v>
      </c>
      <c r="AD2643">
        <f t="shared" si="167"/>
        <v>0</v>
      </c>
    </row>
    <row r="2644" spans="27:30" x14ac:dyDescent="0.3">
      <c r="AA2644">
        <f t="shared" si="164"/>
        <v>0</v>
      </c>
      <c r="AB2644">
        <f t="shared" si="165"/>
        <v>0</v>
      </c>
      <c r="AC2644">
        <f t="shared" si="166"/>
        <v>0</v>
      </c>
      <c r="AD2644">
        <f t="shared" si="167"/>
        <v>0</v>
      </c>
    </row>
    <row r="2645" spans="27:30" x14ac:dyDescent="0.3">
      <c r="AA2645">
        <f t="shared" si="164"/>
        <v>0</v>
      </c>
      <c r="AB2645">
        <f t="shared" si="165"/>
        <v>0</v>
      </c>
      <c r="AC2645">
        <f t="shared" si="166"/>
        <v>0</v>
      </c>
      <c r="AD2645">
        <f t="shared" si="167"/>
        <v>0</v>
      </c>
    </row>
    <row r="2646" spans="27:30" x14ac:dyDescent="0.3">
      <c r="AA2646">
        <f t="shared" si="164"/>
        <v>0</v>
      </c>
      <c r="AB2646">
        <f t="shared" si="165"/>
        <v>0</v>
      </c>
      <c r="AC2646">
        <f t="shared" si="166"/>
        <v>0</v>
      </c>
      <c r="AD2646">
        <f t="shared" si="167"/>
        <v>0</v>
      </c>
    </row>
    <row r="2647" spans="27:30" x14ac:dyDescent="0.3">
      <c r="AA2647">
        <f t="shared" si="164"/>
        <v>0</v>
      </c>
      <c r="AB2647">
        <f t="shared" si="165"/>
        <v>0</v>
      </c>
      <c r="AC2647">
        <f t="shared" si="166"/>
        <v>0</v>
      </c>
      <c r="AD2647">
        <f t="shared" si="167"/>
        <v>0</v>
      </c>
    </row>
    <row r="2648" spans="27:30" x14ac:dyDescent="0.3">
      <c r="AA2648">
        <f t="shared" si="164"/>
        <v>0</v>
      </c>
      <c r="AB2648">
        <f t="shared" si="165"/>
        <v>0</v>
      </c>
      <c r="AC2648">
        <f t="shared" si="166"/>
        <v>0</v>
      </c>
      <c r="AD2648">
        <f t="shared" si="167"/>
        <v>0</v>
      </c>
    </row>
    <row r="2649" spans="27:30" x14ac:dyDescent="0.3">
      <c r="AA2649">
        <f t="shared" si="164"/>
        <v>0</v>
      </c>
      <c r="AB2649">
        <f t="shared" si="165"/>
        <v>0</v>
      </c>
      <c r="AC2649">
        <f t="shared" si="166"/>
        <v>0</v>
      </c>
      <c r="AD2649">
        <f t="shared" si="167"/>
        <v>0</v>
      </c>
    </row>
    <row r="2650" spans="27:30" x14ac:dyDescent="0.3">
      <c r="AA2650">
        <f t="shared" si="164"/>
        <v>0</v>
      </c>
      <c r="AB2650">
        <f t="shared" si="165"/>
        <v>0</v>
      </c>
      <c r="AC2650">
        <f t="shared" si="166"/>
        <v>0</v>
      </c>
      <c r="AD2650">
        <f t="shared" si="167"/>
        <v>0</v>
      </c>
    </row>
    <row r="2651" spans="27:30" x14ac:dyDescent="0.3">
      <c r="AA2651">
        <f t="shared" si="164"/>
        <v>0</v>
      </c>
      <c r="AB2651">
        <f t="shared" si="165"/>
        <v>0</v>
      </c>
      <c r="AC2651">
        <f t="shared" si="166"/>
        <v>0</v>
      </c>
      <c r="AD2651">
        <f t="shared" si="167"/>
        <v>0</v>
      </c>
    </row>
    <row r="2652" spans="27:30" x14ac:dyDescent="0.3">
      <c r="AA2652">
        <f t="shared" si="164"/>
        <v>0</v>
      </c>
      <c r="AB2652">
        <f t="shared" si="165"/>
        <v>0</v>
      </c>
      <c r="AC2652">
        <f t="shared" si="166"/>
        <v>0</v>
      </c>
      <c r="AD2652">
        <f t="shared" si="167"/>
        <v>0</v>
      </c>
    </row>
    <row r="2653" spans="27:30" x14ac:dyDescent="0.3">
      <c r="AA2653">
        <f t="shared" si="164"/>
        <v>0</v>
      </c>
      <c r="AB2653">
        <f t="shared" si="165"/>
        <v>0</v>
      </c>
      <c r="AC2653">
        <f t="shared" si="166"/>
        <v>0</v>
      </c>
      <c r="AD2653">
        <f t="shared" si="167"/>
        <v>0</v>
      </c>
    </row>
    <row r="2654" spans="27:30" x14ac:dyDescent="0.3">
      <c r="AA2654">
        <f t="shared" si="164"/>
        <v>0</v>
      </c>
      <c r="AB2654">
        <f t="shared" si="165"/>
        <v>0</v>
      </c>
      <c r="AC2654">
        <f t="shared" si="166"/>
        <v>0</v>
      </c>
      <c r="AD2654">
        <f t="shared" si="167"/>
        <v>0</v>
      </c>
    </row>
    <row r="2655" spans="27:30" x14ac:dyDescent="0.3">
      <c r="AA2655">
        <f t="shared" si="164"/>
        <v>0</v>
      </c>
      <c r="AB2655">
        <f t="shared" si="165"/>
        <v>0</v>
      </c>
      <c r="AC2655">
        <f t="shared" si="166"/>
        <v>0</v>
      </c>
      <c r="AD2655">
        <f t="shared" si="167"/>
        <v>0</v>
      </c>
    </row>
    <row r="2656" spans="27:30" x14ac:dyDescent="0.3">
      <c r="AA2656">
        <f t="shared" si="164"/>
        <v>0</v>
      </c>
      <c r="AB2656">
        <f t="shared" si="165"/>
        <v>0</v>
      </c>
      <c r="AC2656">
        <f t="shared" si="166"/>
        <v>0</v>
      </c>
      <c r="AD2656">
        <f t="shared" si="167"/>
        <v>0</v>
      </c>
    </row>
    <row r="2657" spans="27:30" x14ac:dyDescent="0.3">
      <c r="AA2657">
        <f t="shared" si="164"/>
        <v>0</v>
      </c>
      <c r="AB2657">
        <f t="shared" si="165"/>
        <v>0</v>
      </c>
      <c r="AC2657">
        <f t="shared" si="166"/>
        <v>0</v>
      </c>
      <c r="AD2657">
        <f t="shared" si="167"/>
        <v>0</v>
      </c>
    </row>
    <row r="2658" spans="27:30" x14ac:dyDescent="0.3">
      <c r="AA2658">
        <f t="shared" si="164"/>
        <v>0</v>
      </c>
      <c r="AB2658">
        <f t="shared" si="165"/>
        <v>0</v>
      </c>
      <c r="AC2658">
        <f t="shared" si="166"/>
        <v>0</v>
      </c>
      <c r="AD2658">
        <f t="shared" si="167"/>
        <v>0</v>
      </c>
    </row>
    <row r="2659" spans="27:30" x14ac:dyDescent="0.3">
      <c r="AA2659">
        <f t="shared" si="164"/>
        <v>0</v>
      </c>
      <c r="AB2659">
        <f t="shared" si="165"/>
        <v>0</v>
      </c>
      <c r="AC2659">
        <f t="shared" si="166"/>
        <v>0</v>
      </c>
      <c r="AD2659">
        <f t="shared" si="167"/>
        <v>0</v>
      </c>
    </row>
    <row r="2660" spans="27:30" x14ac:dyDescent="0.3">
      <c r="AA2660">
        <f t="shared" si="164"/>
        <v>0</v>
      </c>
      <c r="AB2660">
        <f t="shared" si="165"/>
        <v>0</v>
      </c>
      <c r="AC2660">
        <f t="shared" si="166"/>
        <v>0</v>
      </c>
      <c r="AD2660">
        <f t="shared" si="167"/>
        <v>0</v>
      </c>
    </row>
    <row r="2661" spans="27:30" x14ac:dyDescent="0.3">
      <c r="AA2661">
        <f t="shared" si="164"/>
        <v>0</v>
      </c>
      <c r="AB2661">
        <f t="shared" si="165"/>
        <v>0</v>
      </c>
      <c r="AC2661">
        <f t="shared" si="166"/>
        <v>0</v>
      </c>
      <c r="AD2661">
        <f t="shared" si="167"/>
        <v>0</v>
      </c>
    </row>
    <row r="2662" spans="27:30" x14ac:dyDescent="0.3">
      <c r="AA2662">
        <f t="shared" si="164"/>
        <v>0</v>
      </c>
      <c r="AB2662">
        <f t="shared" si="165"/>
        <v>0</v>
      </c>
      <c r="AC2662">
        <f t="shared" si="166"/>
        <v>0</v>
      </c>
      <c r="AD2662">
        <f t="shared" si="167"/>
        <v>0</v>
      </c>
    </row>
    <row r="2663" spans="27:30" x14ac:dyDescent="0.3">
      <c r="AA2663">
        <f t="shared" si="164"/>
        <v>0</v>
      </c>
      <c r="AB2663">
        <f t="shared" si="165"/>
        <v>0</v>
      </c>
      <c r="AC2663">
        <f t="shared" si="166"/>
        <v>0</v>
      </c>
      <c r="AD2663">
        <f t="shared" si="167"/>
        <v>0</v>
      </c>
    </row>
    <row r="2664" spans="27:30" x14ac:dyDescent="0.3">
      <c r="AA2664">
        <f t="shared" si="164"/>
        <v>0</v>
      </c>
      <c r="AB2664">
        <f t="shared" si="165"/>
        <v>0</v>
      </c>
      <c r="AC2664">
        <f t="shared" si="166"/>
        <v>0</v>
      </c>
      <c r="AD2664">
        <f t="shared" si="167"/>
        <v>0</v>
      </c>
    </row>
    <row r="2665" spans="27:30" x14ac:dyDescent="0.3">
      <c r="AA2665">
        <f t="shared" si="164"/>
        <v>0</v>
      </c>
      <c r="AB2665">
        <f t="shared" si="165"/>
        <v>0</v>
      </c>
      <c r="AC2665">
        <f t="shared" si="166"/>
        <v>0</v>
      </c>
      <c r="AD2665">
        <f t="shared" si="167"/>
        <v>0</v>
      </c>
    </row>
    <row r="2666" spans="27:30" x14ac:dyDescent="0.3">
      <c r="AA2666">
        <f t="shared" si="164"/>
        <v>0</v>
      </c>
      <c r="AB2666">
        <f t="shared" si="165"/>
        <v>0</v>
      </c>
      <c r="AC2666">
        <f t="shared" si="166"/>
        <v>0</v>
      </c>
      <c r="AD2666">
        <f t="shared" si="167"/>
        <v>0</v>
      </c>
    </row>
    <row r="2667" spans="27:30" x14ac:dyDescent="0.3">
      <c r="AA2667">
        <f t="shared" si="164"/>
        <v>0</v>
      </c>
      <c r="AB2667">
        <f t="shared" si="165"/>
        <v>0</v>
      </c>
      <c r="AC2667">
        <f t="shared" si="166"/>
        <v>0</v>
      </c>
      <c r="AD2667">
        <f t="shared" si="167"/>
        <v>0</v>
      </c>
    </row>
    <row r="2668" spans="27:30" x14ac:dyDescent="0.3">
      <c r="AA2668">
        <f t="shared" si="164"/>
        <v>0</v>
      </c>
      <c r="AB2668">
        <f t="shared" si="165"/>
        <v>0</v>
      </c>
      <c r="AC2668">
        <f t="shared" si="166"/>
        <v>0</v>
      </c>
      <c r="AD2668">
        <f t="shared" si="167"/>
        <v>0</v>
      </c>
    </row>
    <row r="2669" spans="27:30" x14ac:dyDescent="0.3">
      <c r="AA2669">
        <f t="shared" si="164"/>
        <v>0</v>
      </c>
      <c r="AB2669">
        <f t="shared" si="165"/>
        <v>0</v>
      </c>
      <c r="AC2669">
        <f t="shared" si="166"/>
        <v>0</v>
      </c>
      <c r="AD2669">
        <f t="shared" si="167"/>
        <v>0</v>
      </c>
    </row>
    <row r="2670" spans="27:30" x14ac:dyDescent="0.3">
      <c r="AA2670">
        <f t="shared" si="164"/>
        <v>0</v>
      </c>
      <c r="AB2670">
        <f t="shared" si="165"/>
        <v>0</v>
      </c>
      <c r="AC2670">
        <f t="shared" si="166"/>
        <v>0</v>
      </c>
      <c r="AD2670">
        <f t="shared" si="167"/>
        <v>0</v>
      </c>
    </row>
    <row r="2671" spans="27:30" x14ac:dyDescent="0.3">
      <c r="AA2671">
        <f t="shared" si="164"/>
        <v>0</v>
      </c>
      <c r="AB2671">
        <f t="shared" si="165"/>
        <v>0</v>
      </c>
      <c r="AC2671">
        <f t="shared" si="166"/>
        <v>0</v>
      </c>
      <c r="AD2671">
        <f t="shared" si="167"/>
        <v>0</v>
      </c>
    </row>
    <row r="2672" spans="27:30" x14ac:dyDescent="0.3">
      <c r="AA2672">
        <f t="shared" si="164"/>
        <v>0</v>
      </c>
      <c r="AB2672">
        <f t="shared" si="165"/>
        <v>0</v>
      </c>
      <c r="AC2672">
        <f t="shared" si="166"/>
        <v>0</v>
      </c>
      <c r="AD2672">
        <f t="shared" si="167"/>
        <v>0</v>
      </c>
    </row>
    <row r="2673" spans="27:30" x14ac:dyDescent="0.3">
      <c r="AA2673">
        <f t="shared" si="164"/>
        <v>0</v>
      </c>
      <c r="AB2673">
        <f t="shared" si="165"/>
        <v>0</v>
      </c>
      <c r="AC2673">
        <f t="shared" si="166"/>
        <v>0</v>
      </c>
      <c r="AD2673">
        <f t="shared" si="167"/>
        <v>0</v>
      </c>
    </row>
    <row r="2674" spans="27:30" x14ac:dyDescent="0.3">
      <c r="AA2674">
        <f t="shared" si="164"/>
        <v>0</v>
      </c>
      <c r="AB2674">
        <f t="shared" si="165"/>
        <v>0</v>
      </c>
      <c r="AC2674">
        <f t="shared" si="166"/>
        <v>0</v>
      </c>
      <c r="AD2674">
        <f t="shared" si="167"/>
        <v>0</v>
      </c>
    </row>
    <row r="2675" spans="27:30" x14ac:dyDescent="0.3">
      <c r="AA2675">
        <f t="shared" si="164"/>
        <v>0</v>
      </c>
      <c r="AB2675">
        <f t="shared" si="165"/>
        <v>0</v>
      </c>
      <c r="AC2675">
        <f t="shared" si="166"/>
        <v>0</v>
      </c>
      <c r="AD2675">
        <f t="shared" si="167"/>
        <v>0</v>
      </c>
    </row>
    <row r="2676" spans="27:30" x14ac:dyDescent="0.3">
      <c r="AA2676">
        <f t="shared" si="164"/>
        <v>0</v>
      </c>
      <c r="AB2676">
        <f t="shared" si="165"/>
        <v>0</v>
      </c>
      <c r="AC2676">
        <f t="shared" si="166"/>
        <v>0</v>
      </c>
      <c r="AD2676">
        <f t="shared" si="167"/>
        <v>0</v>
      </c>
    </row>
    <row r="2677" spans="27:30" x14ac:dyDescent="0.3">
      <c r="AA2677">
        <f t="shared" si="164"/>
        <v>0</v>
      </c>
      <c r="AB2677">
        <f t="shared" si="165"/>
        <v>0</v>
      </c>
      <c r="AC2677">
        <f t="shared" si="166"/>
        <v>0</v>
      </c>
      <c r="AD2677">
        <f t="shared" si="167"/>
        <v>0</v>
      </c>
    </row>
    <row r="2678" spans="27:30" x14ac:dyDescent="0.3">
      <c r="AA2678">
        <f t="shared" si="164"/>
        <v>0</v>
      </c>
      <c r="AB2678">
        <f t="shared" si="165"/>
        <v>0</v>
      </c>
      <c r="AC2678">
        <f t="shared" si="166"/>
        <v>0</v>
      </c>
      <c r="AD2678">
        <f t="shared" si="167"/>
        <v>0</v>
      </c>
    </row>
    <row r="2679" spans="27:30" x14ac:dyDescent="0.3">
      <c r="AA2679">
        <f t="shared" si="164"/>
        <v>0</v>
      </c>
      <c r="AB2679">
        <f t="shared" si="165"/>
        <v>0</v>
      </c>
      <c r="AC2679">
        <f t="shared" si="166"/>
        <v>0</v>
      </c>
      <c r="AD2679">
        <f t="shared" si="167"/>
        <v>0</v>
      </c>
    </row>
    <row r="2680" spans="27:30" x14ac:dyDescent="0.3">
      <c r="AA2680">
        <f t="shared" si="164"/>
        <v>0</v>
      </c>
      <c r="AB2680">
        <f t="shared" si="165"/>
        <v>0</v>
      </c>
      <c r="AC2680">
        <f t="shared" si="166"/>
        <v>0</v>
      </c>
      <c r="AD2680">
        <f t="shared" si="167"/>
        <v>0</v>
      </c>
    </row>
    <row r="2681" spans="27:30" x14ac:dyDescent="0.3">
      <c r="AA2681">
        <f t="shared" si="164"/>
        <v>0</v>
      </c>
      <c r="AB2681">
        <f t="shared" si="165"/>
        <v>0</v>
      </c>
      <c r="AC2681">
        <f t="shared" si="166"/>
        <v>0</v>
      </c>
      <c r="AD2681">
        <f t="shared" si="167"/>
        <v>0</v>
      </c>
    </row>
    <row r="2682" spans="27:30" x14ac:dyDescent="0.3">
      <c r="AA2682">
        <f t="shared" si="164"/>
        <v>0</v>
      </c>
      <c r="AB2682">
        <f t="shared" si="165"/>
        <v>0</v>
      </c>
      <c r="AC2682">
        <f t="shared" si="166"/>
        <v>0</v>
      </c>
      <c r="AD2682">
        <f t="shared" si="167"/>
        <v>0</v>
      </c>
    </row>
    <row r="2683" spans="27:30" x14ac:dyDescent="0.3">
      <c r="AA2683">
        <f t="shared" si="164"/>
        <v>0</v>
      </c>
      <c r="AB2683">
        <f t="shared" si="165"/>
        <v>0</v>
      </c>
      <c r="AC2683">
        <f t="shared" si="166"/>
        <v>0</v>
      </c>
      <c r="AD2683">
        <f t="shared" si="167"/>
        <v>0</v>
      </c>
    </row>
    <row r="2684" spans="27:30" x14ac:dyDescent="0.3">
      <c r="AA2684">
        <f t="shared" si="164"/>
        <v>0</v>
      </c>
      <c r="AB2684">
        <f t="shared" si="165"/>
        <v>0</v>
      </c>
      <c r="AC2684">
        <f t="shared" si="166"/>
        <v>0</v>
      </c>
      <c r="AD2684">
        <f t="shared" si="167"/>
        <v>0</v>
      </c>
    </row>
    <row r="2685" spans="27:30" x14ac:dyDescent="0.3">
      <c r="AA2685">
        <f t="shared" si="164"/>
        <v>0</v>
      </c>
      <c r="AB2685">
        <f t="shared" si="165"/>
        <v>0</v>
      </c>
      <c r="AC2685">
        <f t="shared" si="166"/>
        <v>0</v>
      </c>
      <c r="AD2685">
        <f t="shared" si="167"/>
        <v>0</v>
      </c>
    </row>
    <row r="2686" spans="27:30" x14ac:dyDescent="0.3">
      <c r="AA2686">
        <f t="shared" si="164"/>
        <v>0</v>
      </c>
      <c r="AB2686">
        <f t="shared" si="165"/>
        <v>0</v>
      </c>
      <c r="AC2686">
        <f t="shared" si="166"/>
        <v>0</v>
      </c>
      <c r="AD2686">
        <f t="shared" si="167"/>
        <v>0</v>
      </c>
    </row>
    <row r="2687" spans="27:30" x14ac:dyDescent="0.3">
      <c r="AA2687">
        <f t="shared" si="164"/>
        <v>0</v>
      </c>
      <c r="AB2687">
        <f t="shared" si="165"/>
        <v>0</v>
      </c>
      <c r="AC2687">
        <f t="shared" si="166"/>
        <v>0</v>
      </c>
      <c r="AD2687">
        <f t="shared" si="167"/>
        <v>0</v>
      </c>
    </row>
    <row r="2688" spans="27:30" x14ac:dyDescent="0.3">
      <c r="AA2688">
        <f t="shared" si="164"/>
        <v>0</v>
      </c>
      <c r="AB2688">
        <f t="shared" si="165"/>
        <v>0</v>
      </c>
      <c r="AC2688">
        <f t="shared" si="166"/>
        <v>0</v>
      </c>
      <c r="AD2688">
        <f t="shared" si="167"/>
        <v>0</v>
      </c>
    </row>
    <row r="2689" spans="27:30" x14ac:dyDescent="0.3">
      <c r="AA2689">
        <f t="shared" si="164"/>
        <v>0</v>
      </c>
      <c r="AB2689">
        <f t="shared" si="165"/>
        <v>0</v>
      </c>
      <c r="AC2689">
        <f t="shared" si="166"/>
        <v>0</v>
      </c>
      <c r="AD2689">
        <f t="shared" si="167"/>
        <v>0</v>
      </c>
    </row>
    <row r="2690" spans="27:30" x14ac:dyDescent="0.3">
      <c r="AA2690">
        <f t="shared" si="164"/>
        <v>0</v>
      </c>
      <c r="AB2690">
        <f t="shared" si="165"/>
        <v>0</v>
      </c>
      <c r="AC2690">
        <f t="shared" si="166"/>
        <v>0</v>
      </c>
      <c r="AD2690">
        <f t="shared" si="167"/>
        <v>0</v>
      </c>
    </row>
    <row r="2691" spans="27:30" x14ac:dyDescent="0.3">
      <c r="AA2691">
        <f t="shared" si="164"/>
        <v>0</v>
      </c>
      <c r="AB2691">
        <f t="shared" si="165"/>
        <v>0</v>
      </c>
      <c r="AC2691">
        <f t="shared" si="166"/>
        <v>0</v>
      </c>
      <c r="AD2691">
        <f t="shared" si="167"/>
        <v>0</v>
      </c>
    </row>
    <row r="2692" spans="27:30" x14ac:dyDescent="0.3">
      <c r="AA2692">
        <f t="shared" si="164"/>
        <v>0</v>
      </c>
      <c r="AB2692">
        <f t="shared" si="165"/>
        <v>0</v>
      </c>
      <c r="AC2692">
        <f t="shared" si="166"/>
        <v>0</v>
      </c>
      <c r="AD2692">
        <f t="shared" si="167"/>
        <v>0</v>
      </c>
    </row>
    <row r="2693" spans="27:30" x14ac:dyDescent="0.3">
      <c r="AA2693">
        <f t="shared" ref="AA2693:AA2756" si="168">ROUND(Z2693,0)</f>
        <v>0</v>
      </c>
      <c r="AB2693">
        <f t="shared" ref="AB2693:AB2756" si="169">IF(AA2693=Y2693,0,1)</f>
        <v>0</v>
      </c>
      <c r="AC2693">
        <f t="shared" ref="AC2693:AC2756" si="170">IF(AA2693&lt;Y2693+5,IF(AA2693&gt;Y2693-5,0,1),1)</f>
        <v>0</v>
      </c>
      <c r="AD2693">
        <f t="shared" ref="AD2693:AD2756" si="171">IF(AA2693&lt;Y2693+10,IF(AA2693&gt;Y2693-10,0,1),1)</f>
        <v>0</v>
      </c>
    </row>
    <row r="2694" spans="27:30" x14ac:dyDescent="0.3">
      <c r="AA2694">
        <f t="shared" si="168"/>
        <v>0</v>
      </c>
      <c r="AB2694">
        <f t="shared" si="169"/>
        <v>0</v>
      </c>
      <c r="AC2694">
        <f t="shared" si="170"/>
        <v>0</v>
      </c>
      <c r="AD2694">
        <f t="shared" si="171"/>
        <v>0</v>
      </c>
    </row>
    <row r="2695" spans="27:30" x14ac:dyDescent="0.3">
      <c r="AA2695">
        <f t="shared" si="168"/>
        <v>0</v>
      </c>
      <c r="AB2695">
        <f t="shared" si="169"/>
        <v>0</v>
      </c>
      <c r="AC2695">
        <f t="shared" si="170"/>
        <v>0</v>
      </c>
      <c r="AD2695">
        <f t="shared" si="171"/>
        <v>0</v>
      </c>
    </row>
    <row r="2696" spans="27:30" x14ac:dyDescent="0.3">
      <c r="AA2696">
        <f t="shared" si="168"/>
        <v>0</v>
      </c>
      <c r="AB2696">
        <f t="shared" si="169"/>
        <v>0</v>
      </c>
      <c r="AC2696">
        <f t="shared" si="170"/>
        <v>0</v>
      </c>
      <c r="AD2696">
        <f t="shared" si="171"/>
        <v>0</v>
      </c>
    </row>
    <row r="2697" spans="27:30" x14ac:dyDescent="0.3">
      <c r="AA2697">
        <f t="shared" si="168"/>
        <v>0</v>
      </c>
      <c r="AB2697">
        <f t="shared" si="169"/>
        <v>0</v>
      </c>
      <c r="AC2697">
        <f t="shared" si="170"/>
        <v>0</v>
      </c>
      <c r="AD2697">
        <f t="shared" si="171"/>
        <v>0</v>
      </c>
    </row>
    <row r="2698" spans="27:30" x14ac:dyDescent="0.3">
      <c r="AA2698">
        <f t="shared" si="168"/>
        <v>0</v>
      </c>
      <c r="AB2698">
        <f t="shared" si="169"/>
        <v>0</v>
      </c>
      <c r="AC2698">
        <f t="shared" si="170"/>
        <v>0</v>
      </c>
      <c r="AD2698">
        <f t="shared" si="171"/>
        <v>0</v>
      </c>
    </row>
    <row r="2699" spans="27:30" x14ac:dyDescent="0.3">
      <c r="AA2699">
        <f t="shared" si="168"/>
        <v>0</v>
      </c>
      <c r="AB2699">
        <f t="shared" si="169"/>
        <v>0</v>
      </c>
      <c r="AC2699">
        <f t="shared" si="170"/>
        <v>0</v>
      </c>
      <c r="AD2699">
        <f t="shared" si="171"/>
        <v>0</v>
      </c>
    </row>
    <row r="2700" spans="27:30" x14ac:dyDescent="0.3">
      <c r="AA2700">
        <f t="shared" si="168"/>
        <v>0</v>
      </c>
      <c r="AB2700">
        <f t="shared" si="169"/>
        <v>0</v>
      </c>
      <c r="AC2700">
        <f t="shared" si="170"/>
        <v>0</v>
      </c>
      <c r="AD2700">
        <f t="shared" si="171"/>
        <v>0</v>
      </c>
    </row>
    <row r="2701" spans="27:30" x14ac:dyDescent="0.3">
      <c r="AA2701">
        <f t="shared" si="168"/>
        <v>0</v>
      </c>
      <c r="AB2701">
        <f t="shared" si="169"/>
        <v>0</v>
      </c>
      <c r="AC2701">
        <f t="shared" si="170"/>
        <v>0</v>
      </c>
      <c r="AD2701">
        <f t="shared" si="171"/>
        <v>0</v>
      </c>
    </row>
    <row r="2702" spans="27:30" x14ac:dyDescent="0.3">
      <c r="AA2702">
        <f t="shared" si="168"/>
        <v>0</v>
      </c>
      <c r="AB2702">
        <f t="shared" si="169"/>
        <v>0</v>
      </c>
      <c r="AC2702">
        <f t="shared" si="170"/>
        <v>0</v>
      </c>
      <c r="AD2702">
        <f t="shared" si="171"/>
        <v>0</v>
      </c>
    </row>
    <row r="2703" spans="27:30" x14ac:dyDescent="0.3">
      <c r="AA2703">
        <f t="shared" si="168"/>
        <v>0</v>
      </c>
      <c r="AB2703">
        <f t="shared" si="169"/>
        <v>0</v>
      </c>
      <c r="AC2703">
        <f t="shared" si="170"/>
        <v>0</v>
      </c>
      <c r="AD2703">
        <f t="shared" si="171"/>
        <v>0</v>
      </c>
    </row>
    <row r="2704" spans="27:30" x14ac:dyDescent="0.3">
      <c r="AA2704">
        <f t="shared" si="168"/>
        <v>0</v>
      </c>
      <c r="AB2704">
        <f t="shared" si="169"/>
        <v>0</v>
      </c>
      <c r="AC2704">
        <f t="shared" si="170"/>
        <v>0</v>
      </c>
      <c r="AD2704">
        <f t="shared" si="171"/>
        <v>0</v>
      </c>
    </row>
    <row r="2705" spans="27:30" x14ac:dyDescent="0.3">
      <c r="AA2705">
        <f t="shared" si="168"/>
        <v>0</v>
      </c>
      <c r="AB2705">
        <f t="shared" si="169"/>
        <v>0</v>
      </c>
      <c r="AC2705">
        <f t="shared" si="170"/>
        <v>0</v>
      </c>
      <c r="AD2705">
        <f t="shared" si="171"/>
        <v>0</v>
      </c>
    </row>
    <row r="2706" spans="27:30" x14ac:dyDescent="0.3">
      <c r="AA2706">
        <f t="shared" si="168"/>
        <v>0</v>
      </c>
      <c r="AB2706">
        <f t="shared" si="169"/>
        <v>0</v>
      </c>
      <c r="AC2706">
        <f t="shared" si="170"/>
        <v>0</v>
      </c>
      <c r="AD2706">
        <f t="shared" si="171"/>
        <v>0</v>
      </c>
    </row>
    <row r="2707" spans="27:30" x14ac:dyDescent="0.3">
      <c r="AA2707">
        <f t="shared" si="168"/>
        <v>0</v>
      </c>
      <c r="AB2707">
        <f t="shared" si="169"/>
        <v>0</v>
      </c>
      <c r="AC2707">
        <f t="shared" si="170"/>
        <v>0</v>
      </c>
      <c r="AD2707">
        <f t="shared" si="171"/>
        <v>0</v>
      </c>
    </row>
    <row r="2708" spans="27:30" x14ac:dyDescent="0.3">
      <c r="AA2708">
        <f t="shared" si="168"/>
        <v>0</v>
      </c>
      <c r="AB2708">
        <f t="shared" si="169"/>
        <v>0</v>
      </c>
      <c r="AC2708">
        <f t="shared" si="170"/>
        <v>0</v>
      </c>
      <c r="AD2708">
        <f t="shared" si="171"/>
        <v>0</v>
      </c>
    </row>
    <row r="2709" spans="27:30" x14ac:dyDescent="0.3">
      <c r="AA2709">
        <f t="shared" si="168"/>
        <v>0</v>
      </c>
      <c r="AB2709">
        <f t="shared" si="169"/>
        <v>0</v>
      </c>
      <c r="AC2709">
        <f t="shared" si="170"/>
        <v>0</v>
      </c>
      <c r="AD2709">
        <f t="shared" si="171"/>
        <v>0</v>
      </c>
    </row>
    <row r="2710" spans="27:30" x14ac:dyDescent="0.3">
      <c r="AA2710">
        <f t="shared" si="168"/>
        <v>0</v>
      </c>
      <c r="AB2710">
        <f t="shared" si="169"/>
        <v>0</v>
      </c>
      <c r="AC2710">
        <f t="shared" si="170"/>
        <v>0</v>
      </c>
      <c r="AD2710">
        <f t="shared" si="171"/>
        <v>0</v>
      </c>
    </row>
    <row r="2711" spans="27:30" x14ac:dyDescent="0.3">
      <c r="AA2711">
        <f t="shared" si="168"/>
        <v>0</v>
      </c>
      <c r="AB2711">
        <f t="shared" si="169"/>
        <v>0</v>
      </c>
      <c r="AC2711">
        <f t="shared" si="170"/>
        <v>0</v>
      </c>
      <c r="AD2711">
        <f t="shared" si="171"/>
        <v>0</v>
      </c>
    </row>
    <row r="2712" spans="27:30" x14ac:dyDescent="0.3">
      <c r="AA2712">
        <f t="shared" si="168"/>
        <v>0</v>
      </c>
      <c r="AB2712">
        <f t="shared" si="169"/>
        <v>0</v>
      </c>
      <c r="AC2712">
        <f t="shared" si="170"/>
        <v>0</v>
      </c>
      <c r="AD2712">
        <f t="shared" si="171"/>
        <v>0</v>
      </c>
    </row>
    <row r="2713" spans="27:30" x14ac:dyDescent="0.3">
      <c r="AA2713">
        <f t="shared" si="168"/>
        <v>0</v>
      </c>
      <c r="AB2713">
        <f t="shared" si="169"/>
        <v>0</v>
      </c>
      <c r="AC2713">
        <f t="shared" si="170"/>
        <v>0</v>
      </c>
      <c r="AD2713">
        <f t="shared" si="171"/>
        <v>0</v>
      </c>
    </row>
    <row r="2714" spans="27:30" x14ac:dyDescent="0.3">
      <c r="AA2714">
        <f t="shared" si="168"/>
        <v>0</v>
      </c>
      <c r="AB2714">
        <f t="shared" si="169"/>
        <v>0</v>
      </c>
      <c r="AC2714">
        <f t="shared" si="170"/>
        <v>0</v>
      </c>
      <c r="AD2714">
        <f t="shared" si="171"/>
        <v>0</v>
      </c>
    </row>
    <row r="2715" spans="27:30" x14ac:dyDescent="0.3">
      <c r="AA2715">
        <f t="shared" si="168"/>
        <v>0</v>
      </c>
      <c r="AB2715">
        <f t="shared" si="169"/>
        <v>0</v>
      </c>
      <c r="AC2715">
        <f t="shared" si="170"/>
        <v>0</v>
      </c>
      <c r="AD2715">
        <f t="shared" si="171"/>
        <v>0</v>
      </c>
    </row>
    <row r="2716" spans="27:30" x14ac:dyDescent="0.3">
      <c r="AA2716">
        <f t="shared" si="168"/>
        <v>0</v>
      </c>
      <c r="AB2716">
        <f t="shared" si="169"/>
        <v>0</v>
      </c>
      <c r="AC2716">
        <f t="shared" si="170"/>
        <v>0</v>
      </c>
      <c r="AD2716">
        <f t="shared" si="171"/>
        <v>0</v>
      </c>
    </row>
    <row r="2717" spans="27:30" x14ac:dyDescent="0.3">
      <c r="AA2717">
        <f t="shared" si="168"/>
        <v>0</v>
      </c>
      <c r="AB2717">
        <f t="shared" si="169"/>
        <v>0</v>
      </c>
      <c r="AC2717">
        <f t="shared" si="170"/>
        <v>0</v>
      </c>
      <c r="AD2717">
        <f t="shared" si="171"/>
        <v>0</v>
      </c>
    </row>
    <row r="2718" spans="27:30" x14ac:dyDescent="0.3">
      <c r="AA2718">
        <f t="shared" si="168"/>
        <v>0</v>
      </c>
      <c r="AB2718">
        <f t="shared" si="169"/>
        <v>0</v>
      </c>
      <c r="AC2718">
        <f t="shared" si="170"/>
        <v>0</v>
      </c>
      <c r="AD2718">
        <f t="shared" si="171"/>
        <v>0</v>
      </c>
    </row>
    <row r="2719" spans="27:30" x14ac:dyDescent="0.3">
      <c r="AA2719">
        <f t="shared" si="168"/>
        <v>0</v>
      </c>
      <c r="AB2719">
        <f t="shared" si="169"/>
        <v>0</v>
      </c>
      <c r="AC2719">
        <f t="shared" si="170"/>
        <v>0</v>
      </c>
      <c r="AD2719">
        <f t="shared" si="171"/>
        <v>0</v>
      </c>
    </row>
    <row r="2720" spans="27:30" x14ac:dyDescent="0.3">
      <c r="AA2720">
        <f t="shared" si="168"/>
        <v>0</v>
      </c>
      <c r="AB2720">
        <f t="shared" si="169"/>
        <v>0</v>
      </c>
      <c r="AC2720">
        <f t="shared" si="170"/>
        <v>0</v>
      </c>
      <c r="AD2720">
        <f t="shared" si="171"/>
        <v>0</v>
      </c>
    </row>
    <row r="2721" spans="27:30" x14ac:dyDescent="0.3">
      <c r="AA2721">
        <f t="shared" si="168"/>
        <v>0</v>
      </c>
      <c r="AB2721">
        <f t="shared" si="169"/>
        <v>0</v>
      </c>
      <c r="AC2721">
        <f t="shared" si="170"/>
        <v>0</v>
      </c>
      <c r="AD2721">
        <f t="shared" si="171"/>
        <v>0</v>
      </c>
    </row>
    <row r="2722" spans="27:30" x14ac:dyDescent="0.3">
      <c r="AA2722">
        <f t="shared" si="168"/>
        <v>0</v>
      </c>
      <c r="AB2722">
        <f t="shared" si="169"/>
        <v>0</v>
      </c>
      <c r="AC2722">
        <f t="shared" si="170"/>
        <v>0</v>
      </c>
      <c r="AD2722">
        <f t="shared" si="171"/>
        <v>0</v>
      </c>
    </row>
    <row r="2723" spans="27:30" x14ac:dyDescent="0.3">
      <c r="AA2723">
        <f t="shared" si="168"/>
        <v>0</v>
      </c>
      <c r="AB2723">
        <f t="shared" si="169"/>
        <v>0</v>
      </c>
      <c r="AC2723">
        <f t="shared" si="170"/>
        <v>0</v>
      </c>
      <c r="AD2723">
        <f t="shared" si="171"/>
        <v>0</v>
      </c>
    </row>
    <row r="2724" spans="27:30" x14ac:dyDescent="0.3">
      <c r="AA2724">
        <f t="shared" si="168"/>
        <v>0</v>
      </c>
      <c r="AB2724">
        <f t="shared" si="169"/>
        <v>0</v>
      </c>
      <c r="AC2724">
        <f t="shared" si="170"/>
        <v>0</v>
      </c>
      <c r="AD2724">
        <f t="shared" si="171"/>
        <v>0</v>
      </c>
    </row>
    <row r="2725" spans="27:30" x14ac:dyDescent="0.3">
      <c r="AA2725">
        <f t="shared" si="168"/>
        <v>0</v>
      </c>
      <c r="AB2725">
        <f t="shared" si="169"/>
        <v>0</v>
      </c>
      <c r="AC2725">
        <f t="shared" si="170"/>
        <v>0</v>
      </c>
      <c r="AD2725">
        <f t="shared" si="171"/>
        <v>0</v>
      </c>
    </row>
    <row r="2726" spans="27:30" x14ac:dyDescent="0.3">
      <c r="AA2726">
        <f t="shared" si="168"/>
        <v>0</v>
      </c>
      <c r="AB2726">
        <f t="shared" si="169"/>
        <v>0</v>
      </c>
      <c r="AC2726">
        <f t="shared" si="170"/>
        <v>0</v>
      </c>
      <c r="AD2726">
        <f t="shared" si="171"/>
        <v>0</v>
      </c>
    </row>
    <row r="2727" spans="27:30" x14ac:dyDescent="0.3">
      <c r="AA2727">
        <f t="shared" si="168"/>
        <v>0</v>
      </c>
      <c r="AB2727">
        <f t="shared" si="169"/>
        <v>0</v>
      </c>
      <c r="AC2727">
        <f t="shared" si="170"/>
        <v>0</v>
      </c>
      <c r="AD2727">
        <f t="shared" si="171"/>
        <v>0</v>
      </c>
    </row>
    <row r="2728" spans="27:30" x14ac:dyDescent="0.3">
      <c r="AA2728">
        <f t="shared" si="168"/>
        <v>0</v>
      </c>
      <c r="AB2728">
        <f t="shared" si="169"/>
        <v>0</v>
      </c>
      <c r="AC2728">
        <f t="shared" si="170"/>
        <v>0</v>
      </c>
      <c r="AD2728">
        <f t="shared" si="171"/>
        <v>0</v>
      </c>
    </row>
    <row r="2729" spans="27:30" x14ac:dyDescent="0.3">
      <c r="AA2729">
        <f t="shared" si="168"/>
        <v>0</v>
      </c>
      <c r="AB2729">
        <f t="shared" si="169"/>
        <v>0</v>
      </c>
      <c r="AC2729">
        <f t="shared" si="170"/>
        <v>0</v>
      </c>
      <c r="AD2729">
        <f t="shared" si="171"/>
        <v>0</v>
      </c>
    </row>
    <row r="2730" spans="27:30" x14ac:dyDescent="0.3">
      <c r="AA2730">
        <f t="shared" si="168"/>
        <v>0</v>
      </c>
      <c r="AB2730">
        <f t="shared" si="169"/>
        <v>0</v>
      </c>
      <c r="AC2730">
        <f t="shared" si="170"/>
        <v>0</v>
      </c>
      <c r="AD2730">
        <f t="shared" si="171"/>
        <v>0</v>
      </c>
    </row>
    <row r="2731" spans="27:30" x14ac:dyDescent="0.3">
      <c r="AA2731">
        <f t="shared" si="168"/>
        <v>0</v>
      </c>
      <c r="AB2731">
        <f t="shared" si="169"/>
        <v>0</v>
      </c>
      <c r="AC2731">
        <f t="shared" si="170"/>
        <v>0</v>
      </c>
      <c r="AD2731">
        <f t="shared" si="171"/>
        <v>0</v>
      </c>
    </row>
    <row r="2732" spans="27:30" x14ac:dyDescent="0.3">
      <c r="AA2732">
        <f t="shared" si="168"/>
        <v>0</v>
      </c>
      <c r="AB2732">
        <f t="shared" si="169"/>
        <v>0</v>
      </c>
      <c r="AC2732">
        <f t="shared" si="170"/>
        <v>0</v>
      </c>
      <c r="AD2732">
        <f t="shared" si="171"/>
        <v>0</v>
      </c>
    </row>
    <row r="2733" spans="27:30" x14ac:dyDescent="0.3">
      <c r="AA2733">
        <f t="shared" si="168"/>
        <v>0</v>
      </c>
      <c r="AB2733">
        <f t="shared" si="169"/>
        <v>0</v>
      </c>
      <c r="AC2733">
        <f t="shared" si="170"/>
        <v>0</v>
      </c>
      <c r="AD2733">
        <f t="shared" si="171"/>
        <v>0</v>
      </c>
    </row>
    <row r="2734" spans="27:30" x14ac:dyDescent="0.3">
      <c r="AA2734">
        <f t="shared" si="168"/>
        <v>0</v>
      </c>
      <c r="AB2734">
        <f t="shared" si="169"/>
        <v>0</v>
      </c>
      <c r="AC2734">
        <f t="shared" si="170"/>
        <v>0</v>
      </c>
      <c r="AD2734">
        <f t="shared" si="171"/>
        <v>0</v>
      </c>
    </row>
    <row r="2735" spans="27:30" x14ac:dyDescent="0.3">
      <c r="AA2735">
        <f t="shared" si="168"/>
        <v>0</v>
      </c>
      <c r="AB2735">
        <f t="shared" si="169"/>
        <v>0</v>
      </c>
      <c r="AC2735">
        <f t="shared" si="170"/>
        <v>0</v>
      </c>
      <c r="AD2735">
        <f t="shared" si="171"/>
        <v>0</v>
      </c>
    </row>
    <row r="2736" spans="27:30" x14ac:dyDescent="0.3">
      <c r="AA2736">
        <f t="shared" si="168"/>
        <v>0</v>
      </c>
      <c r="AB2736">
        <f t="shared" si="169"/>
        <v>0</v>
      </c>
      <c r="AC2736">
        <f t="shared" si="170"/>
        <v>0</v>
      </c>
      <c r="AD2736">
        <f t="shared" si="171"/>
        <v>0</v>
      </c>
    </row>
    <row r="2737" spans="27:30" x14ac:dyDescent="0.3">
      <c r="AA2737">
        <f t="shared" si="168"/>
        <v>0</v>
      </c>
      <c r="AB2737">
        <f t="shared" si="169"/>
        <v>0</v>
      </c>
      <c r="AC2737">
        <f t="shared" si="170"/>
        <v>0</v>
      </c>
      <c r="AD2737">
        <f t="shared" si="171"/>
        <v>0</v>
      </c>
    </row>
    <row r="2738" spans="27:30" x14ac:dyDescent="0.3">
      <c r="AA2738">
        <f t="shared" si="168"/>
        <v>0</v>
      </c>
      <c r="AB2738">
        <f t="shared" si="169"/>
        <v>0</v>
      </c>
      <c r="AC2738">
        <f t="shared" si="170"/>
        <v>0</v>
      </c>
      <c r="AD2738">
        <f t="shared" si="171"/>
        <v>0</v>
      </c>
    </row>
    <row r="2739" spans="27:30" x14ac:dyDescent="0.3">
      <c r="AA2739">
        <f t="shared" si="168"/>
        <v>0</v>
      </c>
      <c r="AB2739">
        <f t="shared" si="169"/>
        <v>0</v>
      </c>
      <c r="AC2739">
        <f t="shared" si="170"/>
        <v>0</v>
      </c>
      <c r="AD2739">
        <f t="shared" si="171"/>
        <v>0</v>
      </c>
    </row>
    <row r="2740" spans="27:30" x14ac:dyDescent="0.3">
      <c r="AA2740">
        <f t="shared" si="168"/>
        <v>0</v>
      </c>
      <c r="AB2740">
        <f t="shared" si="169"/>
        <v>0</v>
      </c>
      <c r="AC2740">
        <f t="shared" si="170"/>
        <v>0</v>
      </c>
      <c r="AD2740">
        <f t="shared" si="171"/>
        <v>0</v>
      </c>
    </row>
    <row r="2741" spans="27:30" x14ac:dyDescent="0.3">
      <c r="AA2741">
        <f t="shared" si="168"/>
        <v>0</v>
      </c>
      <c r="AB2741">
        <f t="shared" si="169"/>
        <v>0</v>
      </c>
      <c r="AC2741">
        <f t="shared" si="170"/>
        <v>0</v>
      </c>
      <c r="AD2741">
        <f t="shared" si="171"/>
        <v>0</v>
      </c>
    </row>
    <row r="2742" spans="27:30" x14ac:dyDescent="0.3">
      <c r="AA2742">
        <f t="shared" si="168"/>
        <v>0</v>
      </c>
      <c r="AB2742">
        <f t="shared" si="169"/>
        <v>0</v>
      </c>
      <c r="AC2742">
        <f t="shared" si="170"/>
        <v>0</v>
      </c>
      <c r="AD2742">
        <f t="shared" si="171"/>
        <v>0</v>
      </c>
    </row>
    <row r="2743" spans="27:30" x14ac:dyDescent="0.3">
      <c r="AA2743">
        <f t="shared" si="168"/>
        <v>0</v>
      </c>
      <c r="AB2743">
        <f t="shared" si="169"/>
        <v>0</v>
      </c>
      <c r="AC2743">
        <f t="shared" si="170"/>
        <v>0</v>
      </c>
      <c r="AD2743">
        <f t="shared" si="171"/>
        <v>0</v>
      </c>
    </row>
    <row r="2744" spans="27:30" x14ac:dyDescent="0.3">
      <c r="AA2744">
        <f t="shared" si="168"/>
        <v>0</v>
      </c>
      <c r="AB2744">
        <f t="shared" si="169"/>
        <v>0</v>
      </c>
      <c r="AC2744">
        <f t="shared" si="170"/>
        <v>0</v>
      </c>
      <c r="AD2744">
        <f t="shared" si="171"/>
        <v>0</v>
      </c>
    </row>
    <row r="2745" spans="27:30" x14ac:dyDescent="0.3">
      <c r="AA2745">
        <f t="shared" si="168"/>
        <v>0</v>
      </c>
      <c r="AB2745">
        <f t="shared" si="169"/>
        <v>0</v>
      </c>
      <c r="AC2745">
        <f t="shared" si="170"/>
        <v>0</v>
      </c>
      <c r="AD2745">
        <f t="shared" si="171"/>
        <v>0</v>
      </c>
    </row>
    <row r="2746" spans="27:30" x14ac:dyDescent="0.3">
      <c r="AA2746">
        <f t="shared" si="168"/>
        <v>0</v>
      </c>
      <c r="AB2746">
        <f t="shared" si="169"/>
        <v>0</v>
      </c>
      <c r="AC2746">
        <f t="shared" si="170"/>
        <v>0</v>
      </c>
      <c r="AD2746">
        <f t="shared" si="171"/>
        <v>0</v>
      </c>
    </row>
    <row r="2747" spans="27:30" x14ac:dyDescent="0.3">
      <c r="AA2747">
        <f t="shared" si="168"/>
        <v>0</v>
      </c>
      <c r="AB2747">
        <f t="shared" si="169"/>
        <v>0</v>
      </c>
      <c r="AC2747">
        <f t="shared" si="170"/>
        <v>0</v>
      </c>
      <c r="AD2747">
        <f t="shared" si="171"/>
        <v>0</v>
      </c>
    </row>
    <row r="2748" spans="27:30" x14ac:dyDescent="0.3">
      <c r="AA2748">
        <f t="shared" si="168"/>
        <v>0</v>
      </c>
      <c r="AB2748">
        <f t="shared" si="169"/>
        <v>0</v>
      </c>
      <c r="AC2748">
        <f t="shared" si="170"/>
        <v>0</v>
      </c>
      <c r="AD2748">
        <f t="shared" si="171"/>
        <v>0</v>
      </c>
    </row>
    <row r="2749" spans="27:30" x14ac:dyDescent="0.3">
      <c r="AA2749">
        <f t="shared" si="168"/>
        <v>0</v>
      </c>
      <c r="AB2749">
        <f t="shared" si="169"/>
        <v>0</v>
      </c>
      <c r="AC2749">
        <f t="shared" si="170"/>
        <v>0</v>
      </c>
      <c r="AD2749">
        <f t="shared" si="171"/>
        <v>0</v>
      </c>
    </row>
    <row r="2750" spans="27:30" x14ac:dyDescent="0.3">
      <c r="AA2750">
        <f t="shared" si="168"/>
        <v>0</v>
      </c>
      <c r="AB2750">
        <f t="shared" si="169"/>
        <v>0</v>
      </c>
      <c r="AC2750">
        <f t="shared" si="170"/>
        <v>0</v>
      </c>
      <c r="AD2750">
        <f t="shared" si="171"/>
        <v>0</v>
      </c>
    </row>
    <row r="2751" spans="27:30" x14ac:dyDescent="0.3">
      <c r="AA2751">
        <f t="shared" si="168"/>
        <v>0</v>
      </c>
      <c r="AB2751">
        <f t="shared" si="169"/>
        <v>0</v>
      </c>
      <c r="AC2751">
        <f t="shared" si="170"/>
        <v>0</v>
      </c>
      <c r="AD2751">
        <f t="shared" si="171"/>
        <v>0</v>
      </c>
    </row>
    <row r="2752" spans="27:30" x14ac:dyDescent="0.3">
      <c r="AA2752">
        <f t="shared" si="168"/>
        <v>0</v>
      </c>
      <c r="AB2752">
        <f t="shared" si="169"/>
        <v>0</v>
      </c>
      <c r="AC2752">
        <f t="shared" si="170"/>
        <v>0</v>
      </c>
      <c r="AD2752">
        <f t="shared" si="171"/>
        <v>0</v>
      </c>
    </row>
    <row r="2753" spans="27:30" x14ac:dyDescent="0.3">
      <c r="AA2753">
        <f t="shared" si="168"/>
        <v>0</v>
      </c>
      <c r="AB2753">
        <f t="shared" si="169"/>
        <v>0</v>
      </c>
      <c r="AC2753">
        <f t="shared" si="170"/>
        <v>0</v>
      </c>
      <c r="AD2753">
        <f t="shared" si="171"/>
        <v>0</v>
      </c>
    </row>
    <row r="2754" spans="27:30" x14ac:dyDescent="0.3">
      <c r="AA2754">
        <f t="shared" si="168"/>
        <v>0</v>
      </c>
      <c r="AB2754">
        <f t="shared" si="169"/>
        <v>0</v>
      </c>
      <c r="AC2754">
        <f t="shared" si="170"/>
        <v>0</v>
      </c>
      <c r="AD2754">
        <f t="shared" si="171"/>
        <v>0</v>
      </c>
    </row>
    <row r="2755" spans="27:30" x14ac:dyDescent="0.3">
      <c r="AA2755">
        <f t="shared" si="168"/>
        <v>0</v>
      </c>
      <c r="AB2755">
        <f t="shared" si="169"/>
        <v>0</v>
      </c>
      <c r="AC2755">
        <f t="shared" si="170"/>
        <v>0</v>
      </c>
      <c r="AD2755">
        <f t="shared" si="171"/>
        <v>0</v>
      </c>
    </row>
    <row r="2756" spans="27:30" x14ac:dyDescent="0.3">
      <c r="AA2756">
        <f t="shared" si="168"/>
        <v>0</v>
      </c>
      <c r="AB2756">
        <f t="shared" si="169"/>
        <v>0</v>
      </c>
      <c r="AC2756">
        <f t="shared" si="170"/>
        <v>0</v>
      </c>
      <c r="AD2756">
        <f t="shared" si="171"/>
        <v>0</v>
      </c>
    </row>
    <row r="2757" spans="27:30" x14ac:dyDescent="0.3">
      <c r="AA2757">
        <f t="shared" ref="AA2757:AA2820" si="172">ROUND(Z2757,0)</f>
        <v>0</v>
      </c>
      <c r="AB2757">
        <f t="shared" ref="AB2757:AB2820" si="173">IF(AA2757=Y2757,0,1)</f>
        <v>0</v>
      </c>
      <c r="AC2757">
        <f t="shared" ref="AC2757:AC2820" si="174">IF(AA2757&lt;Y2757+5,IF(AA2757&gt;Y2757-5,0,1),1)</f>
        <v>0</v>
      </c>
      <c r="AD2757">
        <f t="shared" ref="AD2757:AD2820" si="175">IF(AA2757&lt;Y2757+10,IF(AA2757&gt;Y2757-10,0,1),1)</f>
        <v>0</v>
      </c>
    </row>
    <row r="2758" spans="27:30" x14ac:dyDescent="0.3">
      <c r="AA2758">
        <f t="shared" si="172"/>
        <v>0</v>
      </c>
      <c r="AB2758">
        <f t="shared" si="173"/>
        <v>0</v>
      </c>
      <c r="AC2758">
        <f t="shared" si="174"/>
        <v>0</v>
      </c>
      <c r="AD2758">
        <f t="shared" si="175"/>
        <v>0</v>
      </c>
    </row>
    <row r="2759" spans="27:30" x14ac:dyDescent="0.3">
      <c r="AA2759">
        <f t="shared" si="172"/>
        <v>0</v>
      </c>
      <c r="AB2759">
        <f t="shared" si="173"/>
        <v>0</v>
      </c>
      <c r="AC2759">
        <f t="shared" si="174"/>
        <v>0</v>
      </c>
      <c r="AD2759">
        <f t="shared" si="175"/>
        <v>0</v>
      </c>
    </row>
    <row r="2760" spans="27:30" x14ac:dyDescent="0.3">
      <c r="AA2760">
        <f t="shared" si="172"/>
        <v>0</v>
      </c>
      <c r="AB2760">
        <f t="shared" si="173"/>
        <v>0</v>
      </c>
      <c r="AC2760">
        <f t="shared" si="174"/>
        <v>0</v>
      </c>
      <c r="AD2760">
        <f t="shared" si="175"/>
        <v>0</v>
      </c>
    </row>
    <row r="2761" spans="27:30" x14ac:dyDescent="0.3">
      <c r="AA2761">
        <f t="shared" si="172"/>
        <v>0</v>
      </c>
      <c r="AB2761">
        <f t="shared" si="173"/>
        <v>0</v>
      </c>
      <c r="AC2761">
        <f t="shared" si="174"/>
        <v>0</v>
      </c>
      <c r="AD2761">
        <f t="shared" si="175"/>
        <v>0</v>
      </c>
    </row>
    <row r="2762" spans="27:30" x14ac:dyDescent="0.3">
      <c r="AA2762">
        <f t="shared" si="172"/>
        <v>0</v>
      </c>
      <c r="AB2762">
        <f t="shared" si="173"/>
        <v>0</v>
      </c>
      <c r="AC2762">
        <f t="shared" si="174"/>
        <v>0</v>
      </c>
      <c r="AD2762">
        <f t="shared" si="175"/>
        <v>0</v>
      </c>
    </row>
    <row r="2763" spans="27:30" x14ac:dyDescent="0.3">
      <c r="AA2763">
        <f t="shared" si="172"/>
        <v>0</v>
      </c>
      <c r="AB2763">
        <f t="shared" si="173"/>
        <v>0</v>
      </c>
      <c r="AC2763">
        <f t="shared" si="174"/>
        <v>0</v>
      </c>
      <c r="AD2763">
        <f t="shared" si="175"/>
        <v>0</v>
      </c>
    </row>
    <row r="2764" spans="27:30" x14ac:dyDescent="0.3">
      <c r="AA2764">
        <f t="shared" si="172"/>
        <v>0</v>
      </c>
      <c r="AB2764">
        <f t="shared" si="173"/>
        <v>0</v>
      </c>
      <c r="AC2764">
        <f t="shared" si="174"/>
        <v>0</v>
      </c>
      <c r="AD2764">
        <f t="shared" si="175"/>
        <v>0</v>
      </c>
    </row>
    <row r="2765" spans="27:30" x14ac:dyDescent="0.3">
      <c r="AA2765">
        <f t="shared" si="172"/>
        <v>0</v>
      </c>
      <c r="AB2765">
        <f t="shared" si="173"/>
        <v>0</v>
      </c>
      <c r="AC2765">
        <f t="shared" si="174"/>
        <v>0</v>
      </c>
      <c r="AD2765">
        <f t="shared" si="175"/>
        <v>0</v>
      </c>
    </row>
    <row r="2766" spans="27:30" x14ac:dyDescent="0.3">
      <c r="AA2766">
        <f t="shared" si="172"/>
        <v>0</v>
      </c>
      <c r="AB2766">
        <f t="shared" si="173"/>
        <v>0</v>
      </c>
      <c r="AC2766">
        <f t="shared" si="174"/>
        <v>0</v>
      </c>
      <c r="AD2766">
        <f t="shared" si="175"/>
        <v>0</v>
      </c>
    </row>
    <row r="2767" spans="27:30" x14ac:dyDescent="0.3">
      <c r="AA2767">
        <f t="shared" si="172"/>
        <v>0</v>
      </c>
      <c r="AB2767">
        <f t="shared" si="173"/>
        <v>0</v>
      </c>
      <c r="AC2767">
        <f t="shared" si="174"/>
        <v>0</v>
      </c>
      <c r="AD2767">
        <f t="shared" si="175"/>
        <v>0</v>
      </c>
    </row>
    <row r="2768" spans="27:30" x14ac:dyDescent="0.3">
      <c r="AA2768">
        <f t="shared" si="172"/>
        <v>0</v>
      </c>
      <c r="AB2768">
        <f t="shared" si="173"/>
        <v>0</v>
      </c>
      <c r="AC2768">
        <f t="shared" si="174"/>
        <v>0</v>
      </c>
      <c r="AD2768">
        <f t="shared" si="175"/>
        <v>0</v>
      </c>
    </row>
    <row r="2769" spans="27:30" x14ac:dyDescent="0.3">
      <c r="AA2769">
        <f t="shared" si="172"/>
        <v>0</v>
      </c>
      <c r="AB2769">
        <f t="shared" si="173"/>
        <v>0</v>
      </c>
      <c r="AC2769">
        <f t="shared" si="174"/>
        <v>0</v>
      </c>
      <c r="AD2769">
        <f t="shared" si="175"/>
        <v>0</v>
      </c>
    </row>
    <row r="2770" spans="27:30" x14ac:dyDescent="0.3">
      <c r="AA2770">
        <f t="shared" si="172"/>
        <v>0</v>
      </c>
      <c r="AB2770">
        <f t="shared" si="173"/>
        <v>0</v>
      </c>
      <c r="AC2770">
        <f t="shared" si="174"/>
        <v>0</v>
      </c>
      <c r="AD2770">
        <f t="shared" si="175"/>
        <v>0</v>
      </c>
    </row>
    <row r="2771" spans="27:30" x14ac:dyDescent="0.3">
      <c r="AA2771">
        <f t="shared" si="172"/>
        <v>0</v>
      </c>
      <c r="AB2771">
        <f t="shared" si="173"/>
        <v>0</v>
      </c>
      <c r="AC2771">
        <f t="shared" si="174"/>
        <v>0</v>
      </c>
      <c r="AD2771">
        <f t="shared" si="175"/>
        <v>0</v>
      </c>
    </row>
    <row r="2772" spans="27:30" x14ac:dyDescent="0.3">
      <c r="AA2772">
        <f t="shared" si="172"/>
        <v>0</v>
      </c>
      <c r="AB2772">
        <f t="shared" si="173"/>
        <v>0</v>
      </c>
      <c r="AC2772">
        <f t="shared" si="174"/>
        <v>0</v>
      </c>
      <c r="AD2772">
        <f t="shared" si="175"/>
        <v>0</v>
      </c>
    </row>
    <row r="2773" spans="27:30" x14ac:dyDescent="0.3">
      <c r="AA2773">
        <f t="shared" si="172"/>
        <v>0</v>
      </c>
      <c r="AB2773">
        <f t="shared" si="173"/>
        <v>0</v>
      </c>
      <c r="AC2773">
        <f t="shared" si="174"/>
        <v>0</v>
      </c>
      <c r="AD2773">
        <f t="shared" si="175"/>
        <v>0</v>
      </c>
    </row>
    <row r="2774" spans="27:30" x14ac:dyDescent="0.3">
      <c r="AA2774">
        <f t="shared" si="172"/>
        <v>0</v>
      </c>
      <c r="AB2774">
        <f t="shared" si="173"/>
        <v>0</v>
      </c>
      <c r="AC2774">
        <f t="shared" si="174"/>
        <v>0</v>
      </c>
      <c r="AD2774">
        <f t="shared" si="175"/>
        <v>0</v>
      </c>
    </row>
    <row r="2775" spans="27:30" x14ac:dyDescent="0.3">
      <c r="AA2775">
        <f t="shared" si="172"/>
        <v>0</v>
      </c>
      <c r="AB2775">
        <f t="shared" si="173"/>
        <v>0</v>
      </c>
      <c r="AC2775">
        <f t="shared" si="174"/>
        <v>0</v>
      </c>
      <c r="AD2775">
        <f t="shared" si="175"/>
        <v>0</v>
      </c>
    </row>
    <row r="2776" spans="27:30" x14ac:dyDescent="0.3">
      <c r="AA2776">
        <f t="shared" si="172"/>
        <v>0</v>
      </c>
      <c r="AB2776">
        <f t="shared" si="173"/>
        <v>0</v>
      </c>
      <c r="AC2776">
        <f t="shared" si="174"/>
        <v>0</v>
      </c>
      <c r="AD2776">
        <f t="shared" si="175"/>
        <v>0</v>
      </c>
    </row>
    <row r="2777" spans="27:30" x14ac:dyDescent="0.3">
      <c r="AA2777">
        <f t="shared" si="172"/>
        <v>0</v>
      </c>
      <c r="AB2777">
        <f t="shared" si="173"/>
        <v>0</v>
      </c>
      <c r="AC2777">
        <f t="shared" si="174"/>
        <v>0</v>
      </c>
      <c r="AD2777">
        <f t="shared" si="175"/>
        <v>0</v>
      </c>
    </row>
    <row r="2778" spans="27:30" x14ac:dyDescent="0.3">
      <c r="AA2778">
        <f t="shared" si="172"/>
        <v>0</v>
      </c>
      <c r="AB2778">
        <f t="shared" si="173"/>
        <v>0</v>
      </c>
      <c r="AC2778">
        <f t="shared" si="174"/>
        <v>0</v>
      </c>
      <c r="AD2778">
        <f t="shared" si="175"/>
        <v>0</v>
      </c>
    </row>
    <row r="2779" spans="27:30" x14ac:dyDescent="0.3">
      <c r="AA2779">
        <f t="shared" si="172"/>
        <v>0</v>
      </c>
      <c r="AB2779">
        <f t="shared" si="173"/>
        <v>0</v>
      </c>
      <c r="AC2779">
        <f t="shared" si="174"/>
        <v>0</v>
      </c>
      <c r="AD2779">
        <f t="shared" si="175"/>
        <v>0</v>
      </c>
    </row>
    <row r="2780" spans="27:30" x14ac:dyDescent="0.3">
      <c r="AA2780">
        <f t="shared" si="172"/>
        <v>0</v>
      </c>
      <c r="AB2780">
        <f t="shared" si="173"/>
        <v>0</v>
      </c>
      <c r="AC2780">
        <f t="shared" si="174"/>
        <v>0</v>
      </c>
      <c r="AD2780">
        <f t="shared" si="175"/>
        <v>0</v>
      </c>
    </row>
    <row r="2781" spans="27:30" x14ac:dyDescent="0.3">
      <c r="AA2781">
        <f t="shared" si="172"/>
        <v>0</v>
      </c>
      <c r="AB2781">
        <f t="shared" si="173"/>
        <v>0</v>
      </c>
      <c r="AC2781">
        <f t="shared" si="174"/>
        <v>0</v>
      </c>
      <c r="AD2781">
        <f t="shared" si="175"/>
        <v>0</v>
      </c>
    </row>
    <row r="2782" spans="27:30" x14ac:dyDescent="0.3">
      <c r="AA2782">
        <f t="shared" si="172"/>
        <v>0</v>
      </c>
      <c r="AB2782">
        <f t="shared" si="173"/>
        <v>0</v>
      </c>
      <c r="AC2782">
        <f t="shared" si="174"/>
        <v>0</v>
      </c>
      <c r="AD2782">
        <f t="shared" si="175"/>
        <v>0</v>
      </c>
    </row>
    <row r="2783" spans="27:30" x14ac:dyDescent="0.3">
      <c r="AA2783">
        <f t="shared" si="172"/>
        <v>0</v>
      </c>
      <c r="AB2783">
        <f t="shared" si="173"/>
        <v>0</v>
      </c>
      <c r="AC2783">
        <f t="shared" si="174"/>
        <v>0</v>
      </c>
      <c r="AD2783">
        <f t="shared" si="175"/>
        <v>0</v>
      </c>
    </row>
    <row r="2784" spans="27:30" x14ac:dyDescent="0.3">
      <c r="AA2784">
        <f t="shared" si="172"/>
        <v>0</v>
      </c>
      <c r="AB2784">
        <f t="shared" si="173"/>
        <v>0</v>
      </c>
      <c r="AC2784">
        <f t="shared" si="174"/>
        <v>0</v>
      </c>
      <c r="AD2784">
        <f t="shared" si="175"/>
        <v>0</v>
      </c>
    </row>
    <row r="2785" spans="27:30" x14ac:dyDescent="0.3">
      <c r="AA2785">
        <f t="shared" si="172"/>
        <v>0</v>
      </c>
      <c r="AB2785">
        <f t="shared" si="173"/>
        <v>0</v>
      </c>
      <c r="AC2785">
        <f t="shared" si="174"/>
        <v>0</v>
      </c>
      <c r="AD2785">
        <f t="shared" si="175"/>
        <v>0</v>
      </c>
    </row>
    <row r="2786" spans="27:30" x14ac:dyDescent="0.3">
      <c r="AA2786">
        <f t="shared" si="172"/>
        <v>0</v>
      </c>
      <c r="AB2786">
        <f t="shared" si="173"/>
        <v>0</v>
      </c>
      <c r="AC2786">
        <f t="shared" si="174"/>
        <v>0</v>
      </c>
      <c r="AD2786">
        <f t="shared" si="175"/>
        <v>0</v>
      </c>
    </row>
    <row r="2787" spans="27:30" x14ac:dyDescent="0.3">
      <c r="AA2787">
        <f t="shared" si="172"/>
        <v>0</v>
      </c>
      <c r="AB2787">
        <f t="shared" si="173"/>
        <v>0</v>
      </c>
      <c r="AC2787">
        <f t="shared" si="174"/>
        <v>0</v>
      </c>
      <c r="AD2787">
        <f t="shared" si="175"/>
        <v>0</v>
      </c>
    </row>
    <row r="2788" spans="27:30" x14ac:dyDescent="0.3">
      <c r="AA2788">
        <f t="shared" si="172"/>
        <v>0</v>
      </c>
      <c r="AB2788">
        <f t="shared" si="173"/>
        <v>0</v>
      </c>
      <c r="AC2788">
        <f t="shared" si="174"/>
        <v>0</v>
      </c>
      <c r="AD2788">
        <f t="shared" si="175"/>
        <v>0</v>
      </c>
    </row>
    <row r="2789" spans="27:30" x14ac:dyDescent="0.3">
      <c r="AA2789">
        <f t="shared" si="172"/>
        <v>0</v>
      </c>
      <c r="AB2789">
        <f t="shared" si="173"/>
        <v>0</v>
      </c>
      <c r="AC2789">
        <f t="shared" si="174"/>
        <v>0</v>
      </c>
      <c r="AD2789">
        <f t="shared" si="175"/>
        <v>0</v>
      </c>
    </row>
    <row r="2790" spans="27:30" x14ac:dyDescent="0.3">
      <c r="AA2790">
        <f t="shared" si="172"/>
        <v>0</v>
      </c>
      <c r="AB2790">
        <f t="shared" si="173"/>
        <v>0</v>
      </c>
      <c r="AC2790">
        <f t="shared" si="174"/>
        <v>0</v>
      </c>
      <c r="AD2790">
        <f t="shared" si="175"/>
        <v>0</v>
      </c>
    </row>
    <row r="2791" spans="27:30" x14ac:dyDescent="0.3">
      <c r="AA2791">
        <f t="shared" si="172"/>
        <v>0</v>
      </c>
      <c r="AB2791">
        <f t="shared" si="173"/>
        <v>0</v>
      </c>
      <c r="AC2791">
        <f t="shared" si="174"/>
        <v>0</v>
      </c>
      <c r="AD2791">
        <f t="shared" si="175"/>
        <v>0</v>
      </c>
    </row>
    <row r="2792" spans="27:30" x14ac:dyDescent="0.3">
      <c r="AA2792">
        <f t="shared" si="172"/>
        <v>0</v>
      </c>
      <c r="AB2792">
        <f t="shared" si="173"/>
        <v>0</v>
      </c>
      <c r="AC2792">
        <f t="shared" si="174"/>
        <v>0</v>
      </c>
      <c r="AD2792">
        <f t="shared" si="175"/>
        <v>0</v>
      </c>
    </row>
    <row r="2793" spans="27:30" x14ac:dyDescent="0.3">
      <c r="AA2793">
        <f t="shared" si="172"/>
        <v>0</v>
      </c>
      <c r="AB2793">
        <f t="shared" si="173"/>
        <v>0</v>
      </c>
      <c r="AC2793">
        <f t="shared" si="174"/>
        <v>0</v>
      </c>
      <c r="AD2793">
        <f t="shared" si="175"/>
        <v>0</v>
      </c>
    </row>
    <row r="2794" spans="27:30" x14ac:dyDescent="0.3">
      <c r="AA2794">
        <f t="shared" si="172"/>
        <v>0</v>
      </c>
      <c r="AB2794">
        <f t="shared" si="173"/>
        <v>0</v>
      </c>
      <c r="AC2794">
        <f t="shared" si="174"/>
        <v>0</v>
      </c>
      <c r="AD2794">
        <f t="shared" si="175"/>
        <v>0</v>
      </c>
    </row>
    <row r="2795" spans="27:30" x14ac:dyDescent="0.3">
      <c r="AA2795">
        <f t="shared" si="172"/>
        <v>0</v>
      </c>
      <c r="AB2795">
        <f t="shared" si="173"/>
        <v>0</v>
      </c>
      <c r="AC2795">
        <f t="shared" si="174"/>
        <v>0</v>
      </c>
      <c r="AD2795">
        <f t="shared" si="175"/>
        <v>0</v>
      </c>
    </row>
    <row r="2796" spans="27:30" x14ac:dyDescent="0.3">
      <c r="AA2796">
        <f t="shared" si="172"/>
        <v>0</v>
      </c>
      <c r="AB2796">
        <f t="shared" si="173"/>
        <v>0</v>
      </c>
      <c r="AC2796">
        <f t="shared" si="174"/>
        <v>0</v>
      </c>
      <c r="AD2796">
        <f t="shared" si="175"/>
        <v>0</v>
      </c>
    </row>
    <row r="2797" spans="27:30" x14ac:dyDescent="0.3">
      <c r="AA2797">
        <f t="shared" si="172"/>
        <v>0</v>
      </c>
      <c r="AB2797">
        <f t="shared" si="173"/>
        <v>0</v>
      </c>
      <c r="AC2797">
        <f t="shared" si="174"/>
        <v>0</v>
      </c>
      <c r="AD2797">
        <f t="shared" si="175"/>
        <v>0</v>
      </c>
    </row>
    <row r="2798" spans="27:30" x14ac:dyDescent="0.3">
      <c r="AA2798">
        <f t="shared" si="172"/>
        <v>0</v>
      </c>
      <c r="AB2798">
        <f t="shared" si="173"/>
        <v>0</v>
      </c>
      <c r="AC2798">
        <f t="shared" si="174"/>
        <v>0</v>
      </c>
      <c r="AD2798">
        <f t="shared" si="175"/>
        <v>0</v>
      </c>
    </row>
    <row r="2799" spans="27:30" x14ac:dyDescent="0.3">
      <c r="AA2799">
        <f t="shared" si="172"/>
        <v>0</v>
      </c>
      <c r="AB2799">
        <f t="shared" si="173"/>
        <v>0</v>
      </c>
      <c r="AC2799">
        <f t="shared" si="174"/>
        <v>0</v>
      </c>
      <c r="AD2799">
        <f t="shared" si="175"/>
        <v>0</v>
      </c>
    </row>
    <row r="2800" spans="27:30" x14ac:dyDescent="0.3">
      <c r="AA2800">
        <f t="shared" si="172"/>
        <v>0</v>
      </c>
      <c r="AB2800">
        <f t="shared" si="173"/>
        <v>0</v>
      </c>
      <c r="AC2800">
        <f t="shared" si="174"/>
        <v>0</v>
      </c>
      <c r="AD2800">
        <f t="shared" si="175"/>
        <v>0</v>
      </c>
    </row>
    <row r="2801" spans="27:30" x14ac:dyDescent="0.3">
      <c r="AA2801">
        <f t="shared" si="172"/>
        <v>0</v>
      </c>
      <c r="AB2801">
        <f t="shared" si="173"/>
        <v>0</v>
      </c>
      <c r="AC2801">
        <f t="shared" si="174"/>
        <v>0</v>
      </c>
      <c r="AD2801">
        <f t="shared" si="175"/>
        <v>0</v>
      </c>
    </row>
    <row r="2802" spans="27:30" x14ac:dyDescent="0.3">
      <c r="AA2802">
        <f t="shared" si="172"/>
        <v>0</v>
      </c>
      <c r="AB2802">
        <f t="shared" si="173"/>
        <v>0</v>
      </c>
      <c r="AC2802">
        <f t="shared" si="174"/>
        <v>0</v>
      </c>
      <c r="AD2802">
        <f t="shared" si="175"/>
        <v>0</v>
      </c>
    </row>
    <row r="2803" spans="27:30" x14ac:dyDescent="0.3">
      <c r="AA2803">
        <f t="shared" si="172"/>
        <v>0</v>
      </c>
      <c r="AB2803">
        <f t="shared" si="173"/>
        <v>0</v>
      </c>
      <c r="AC2803">
        <f t="shared" si="174"/>
        <v>0</v>
      </c>
      <c r="AD2803">
        <f t="shared" si="175"/>
        <v>0</v>
      </c>
    </row>
    <row r="2804" spans="27:30" x14ac:dyDescent="0.3">
      <c r="AA2804">
        <f t="shared" si="172"/>
        <v>0</v>
      </c>
      <c r="AB2804">
        <f t="shared" si="173"/>
        <v>0</v>
      </c>
      <c r="AC2804">
        <f t="shared" si="174"/>
        <v>0</v>
      </c>
      <c r="AD2804">
        <f t="shared" si="175"/>
        <v>0</v>
      </c>
    </row>
    <row r="2805" spans="27:30" x14ac:dyDescent="0.3">
      <c r="AA2805">
        <f t="shared" si="172"/>
        <v>0</v>
      </c>
      <c r="AB2805">
        <f t="shared" si="173"/>
        <v>0</v>
      </c>
      <c r="AC2805">
        <f t="shared" si="174"/>
        <v>0</v>
      </c>
      <c r="AD2805">
        <f t="shared" si="175"/>
        <v>0</v>
      </c>
    </row>
    <row r="2806" spans="27:30" x14ac:dyDescent="0.3">
      <c r="AA2806">
        <f t="shared" si="172"/>
        <v>0</v>
      </c>
      <c r="AB2806">
        <f t="shared" si="173"/>
        <v>0</v>
      </c>
      <c r="AC2806">
        <f t="shared" si="174"/>
        <v>0</v>
      </c>
      <c r="AD2806">
        <f t="shared" si="175"/>
        <v>0</v>
      </c>
    </row>
    <row r="2807" spans="27:30" x14ac:dyDescent="0.3">
      <c r="AA2807">
        <f t="shared" si="172"/>
        <v>0</v>
      </c>
      <c r="AB2807">
        <f t="shared" si="173"/>
        <v>0</v>
      </c>
      <c r="AC2807">
        <f t="shared" si="174"/>
        <v>0</v>
      </c>
      <c r="AD2807">
        <f t="shared" si="175"/>
        <v>0</v>
      </c>
    </row>
    <row r="2808" spans="27:30" x14ac:dyDescent="0.3">
      <c r="AA2808">
        <f t="shared" si="172"/>
        <v>0</v>
      </c>
      <c r="AB2808">
        <f t="shared" si="173"/>
        <v>0</v>
      </c>
      <c r="AC2808">
        <f t="shared" si="174"/>
        <v>0</v>
      </c>
      <c r="AD2808">
        <f t="shared" si="175"/>
        <v>0</v>
      </c>
    </row>
    <row r="2809" spans="27:30" x14ac:dyDescent="0.3">
      <c r="AA2809">
        <f t="shared" si="172"/>
        <v>0</v>
      </c>
      <c r="AB2809">
        <f t="shared" si="173"/>
        <v>0</v>
      </c>
      <c r="AC2809">
        <f t="shared" si="174"/>
        <v>0</v>
      </c>
      <c r="AD2809">
        <f t="shared" si="175"/>
        <v>0</v>
      </c>
    </row>
    <row r="2810" spans="27:30" x14ac:dyDescent="0.3">
      <c r="AA2810">
        <f t="shared" si="172"/>
        <v>0</v>
      </c>
      <c r="AB2810">
        <f t="shared" si="173"/>
        <v>0</v>
      </c>
      <c r="AC2810">
        <f t="shared" si="174"/>
        <v>0</v>
      </c>
      <c r="AD2810">
        <f t="shared" si="175"/>
        <v>0</v>
      </c>
    </row>
    <row r="2811" spans="27:30" x14ac:dyDescent="0.3">
      <c r="AA2811">
        <f t="shared" si="172"/>
        <v>0</v>
      </c>
      <c r="AB2811">
        <f t="shared" si="173"/>
        <v>0</v>
      </c>
      <c r="AC2811">
        <f t="shared" si="174"/>
        <v>0</v>
      </c>
      <c r="AD2811">
        <f t="shared" si="175"/>
        <v>0</v>
      </c>
    </row>
    <row r="2812" spans="27:30" x14ac:dyDescent="0.3">
      <c r="AA2812">
        <f t="shared" si="172"/>
        <v>0</v>
      </c>
      <c r="AB2812">
        <f t="shared" si="173"/>
        <v>0</v>
      </c>
      <c r="AC2812">
        <f t="shared" si="174"/>
        <v>0</v>
      </c>
      <c r="AD2812">
        <f t="shared" si="175"/>
        <v>0</v>
      </c>
    </row>
    <row r="2813" spans="27:30" x14ac:dyDescent="0.3">
      <c r="AA2813">
        <f t="shared" si="172"/>
        <v>0</v>
      </c>
      <c r="AB2813">
        <f t="shared" si="173"/>
        <v>0</v>
      </c>
      <c r="AC2813">
        <f t="shared" si="174"/>
        <v>0</v>
      </c>
      <c r="AD2813">
        <f t="shared" si="175"/>
        <v>0</v>
      </c>
    </row>
    <row r="2814" spans="27:30" x14ac:dyDescent="0.3">
      <c r="AA2814">
        <f t="shared" si="172"/>
        <v>0</v>
      </c>
      <c r="AB2814">
        <f t="shared" si="173"/>
        <v>0</v>
      </c>
      <c r="AC2814">
        <f t="shared" si="174"/>
        <v>0</v>
      </c>
      <c r="AD2814">
        <f t="shared" si="175"/>
        <v>0</v>
      </c>
    </row>
    <row r="2815" spans="27:30" x14ac:dyDescent="0.3">
      <c r="AA2815">
        <f t="shared" si="172"/>
        <v>0</v>
      </c>
      <c r="AB2815">
        <f t="shared" si="173"/>
        <v>0</v>
      </c>
      <c r="AC2815">
        <f t="shared" si="174"/>
        <v>0</v>
      </c>
      <c r="AD2815">
        <f t="shared" si="175"/>
        <v>0</v>
      </c>
    </row>
    <row r="2816" spans="27:30" x14ac:dyDescent="0.3">
      <c r="AA2816">
        <f t="shared" si="172"/>
        <v>0</v>
      </c>
      <c r="AB2816">
        <f t="shared" si="173"/>
        <v>0</v>
      </c>
      <c r="AC2816">
        <f t="shared" si="174"/>
        <v>0</v>
      </c>
      <c r="AD2816">
        <f t="shared" si="175"/>
        <v>0</v>
      </c>
    </row>
    <row r="2817" spans="27:30" x14ac:dyDescent="0.3">
      <c r="AA2817">
        <f t="shared" si="172"/>
        <v>0</v>
      </c>
      <c r="AB2817">
        <f t="shared" si="173"/>
        <v>0</v>
      </c>
      <c r="AC2817">
        <f t="shared" si="174"/>
        <v>0</v>
      </c>
      <c r="AD2817">
        <f t="shared" si="175"/>
        <v>0</v>
      </c>
    </row>
    <row r="2818" spans="27:30" x14ac:dyDescent="0.3">
      <c r="AA2818">
        <f t="shared" si="172"/>
        <v>0</v>
      </c>
      <c r="AB2818">
        <f t="shared" si="173"/>
        <v>0</v>
      </c>
      <c r="AC2818">
        <f t="shared" si="174"/>
        <v>0</v>
      </c>
      <c r="AD2818">
        <f t="shared" si="175"/>
        <v>0</v>
      </c>
    </row>
    <row r="2819" spans="27:30" x14ac:dyDescent="0.3">
      <c r="AA2819">
        <f t="shared" si="172"/>
        <v>0</v>
      </c>
      <c r="AB2819">
        <f t="shared" si="173"/>
        <v>0</v>
      </c>
      <c r="AC2819">
        <f t="shared" si="174"/>
        <v>0</v>
      </c>
      <c r="AD2819">
        <f t="shared" si="175"/>
        <v>0</v>
      </c>
    </row>
    <row r="2820" spans="27:30" x14ac:dyDescent="0.3">
      <c r="AA2820">
        <f t="shared" si="172"/>
        <v>0</v>
      </c>
      <c r="AB2820">
        <f t="shared" si="173"/>
        <v>0</v>
      </c>
      <c r="AC2820">
        <f t="shared" si="174"/>
        <v>0</v>
      </c>
      <c r="AD2820">
        <f t="shared" si="175"/>
        <v>0</v>
      </c>
    </row>
    <row r="2821" spans="27:30" x14ac:dyDescent="0.3">
      <c r="AA2821">
        <f t="shared" ref="AA2821:AA2884" si="176">ROUND(Z2821,0)</f>
        <v>0</v>
      </c>
      <c r="AB2821">
        <f t="shared" ref="AB2821:AB2884" si="177">IF(AA2821=Y2821,0,1)</f>
        <v>0</v>
      </c>
      <c r="AC2821">
        <f t="shared" ref="AC2821:AC2884" si="178">IF(AA2821&lt;Y2821+5,IF(AA2821&gt;Y2821-5,0,1),1)</f>
        <v>0</v>
      </c>
      <c r="AD2821">
        <f t="shared" ref="AD2821:AD2884" si="179">IF(AA2821&lt;Y2821+10,IF(AA2821&gt;Y2821-10,0,1),1)</f>
        <v>0</v>
      </c>
    </row>
    <row r="2822" spans="27:30" x14ac:dyDescent="0.3">
      <c r="AA2822">
        <f t="shared" si="176"/>
        <v>0</v>
      </c>
      <c r="AB2822">
        <f t="shared" si="177"/>
        <v>0</v>
      </c>
      <c r="AC2822">
        <f t="shared" si="178"/>
        <v>0</v>
      </c>
      <c r="AD2822">
        <f t="shared" si="179"/>
        <v>0</v>
      </c>
    </row>
    <row r="2823" spans="27:30" x14ac:dyDescent="0.3">
      <c r="AA2823">
        <f t="shared" si="176"/>
        <v>0</v>
      </c>
      <c r="AB2823">
        <f t="shared" si="177"/>
        <v>0</v>
      </c>
      <c r="AC2823">
        <f t="shared" si="178"/>
        <v>0</v>
      </c>
      <c r="AD2823">
        <f t="shared" si="179"/>
        <v>0</v>
      </c>
    </row>
    <row r="2824" spans="27:30" x14ac:dyDescent="0.3">
      <c r="AA2824">
        <f t="shared" si="176"/>
        <v>0</v>
      </c>
      <c r="AB2824">
        <f t="shared" si="177"/>
        <v>0</v>
      </c>
      <c r="AC2824">
        <f t="shared" si="178"/>
        <v>0</v>
      </c>
      <c r="AD2824">
        <f t="shared" si="179"/>
        <v>0</v>
      </c>
    </row>
    <row r="2825" spans="27:30" x14ac:dyDescent="0.3">
      <c r="AA2825">
        <f t="shared" si="176"/>
        <v>0</v>
      </c>
      <c r="AB2825">
        <f t="shared" si="177"/>
        <v>0</v>
      </c>
      <c r="AC2825">
        <f t="shared" si="178"/>
        <v>0</v>
      </c>
      <c r="AD2825">
        <f t="shared" si="179"/>
        <v>0</v>
      </c>
    </row>
    <row r="2826" spans="27:30" x14ac:dyDescent="0.3">
      <c r="AA2826">
        <f t="shared" si="176"/>
        <v>0</v>
      </c>
      <c r="AB2826">
        <f t="shared" si="177"/>
        <v>0</v>
      </c>
      <c r="AC2826">
        <f t="shared" si="178"/>
        <v>0</v>
      </c>
      <c r="AD2826">
        <f t="shared" si="179"/>
        <v>0</v>
      </c>
    </row>
    <row r="2827" spans="27:30" x14ac:dyDescent="0.3">
      <c r="AA2827">
        <f t="shared" si="176"/>
        <v>0</v>
      </c>
      <c r="AB2827">
        <f t="shared" si="177"/>
        <v>0</v>
      </c>
      <c r="AC2827">
        <f t="shared" si="178"/>
        <v>0</v>
      </c>
      <c r="AD2827">
        <f t="shared" si="179"/>
        <v>0</v>
      </c>
    </row>
    <row r="2828" spans="27:30" x14ac:dyDescent="0.3">
      <c r="AA2828">
        <f t="shared" si="176"/>
        <v>0</v>
      </c>
      <c r="AB2828">
        <f t="shared" si="177"/>
        <v>0</v>
      </c>
      <c r="AC2828">
        <f t="shared" si="178"/>
        <v>0</v>
      </c>
      <c r="AD2828">
        <f t="shared" si="179"/>
        <v>0</v>
      </c>
    </row>
    <row r="2829" spans="27:30" x14ac:dyDescent="0.3">
      <c r="AA2829">
        <f t="shared" si="176"/>
        <v>0</v>
      </c>
      <c r="AB2829">
        <f t="shared" si="177"/>
        <v>0</v>
      </c>
      <c r="AC2829">
        <f t="shared" si="178"/>
        <v>0</v>
      </c>
      <c r="AD2829">
        <f t="shared" si="179"/>
        <v>0</v>
      </c>
    </row>
    <row r="2830" spans="27:30" x14ac:dyDescent="0.3">
      <c r="AA2830">
        <f t="shared" si="176"/>
        <v>0</v>
      </c>
      <c r="AB2830">
        <f t="shared" si="177"/>
        <v>0</v>
      </c>
      <c r="AC2830">
        <f t="shared" si="178"/>
        <v>0</v>
      </c>
      <c r="AD2830">
        <f t="shared" si="179"/>
        <v>0</v>
      </c>
    </row>
    <row r="2831" spans="27:30" x14ac:dyDescent="0.3">
      <c r="AA2831">
        <f t="shared" si="176"/>
        <v>0</v>
      </c>
      <c r="AB2831">
        <f t="shared" si="177"/>
        <v>0</v>
      </c>
      <c r="AC2831">
        <f t="shared" si="178"/>
        <v>0</v>
      </c>
      <c r="AD2831">
        <f t="shared" si="179"/>
        <v>0</v>
      </c>
    </row>
    <row r="2832" spans="27:30" x14ac:dyDescent="0.3">
      <c r="AA2832">
        <f t="shared" si="176"/>
        <v>0</v>
      </c>
      <c r="AB2832">
        <f t="shared" si="177"/>
        <v>0</v>
      </c>
      <c r="AC2832">
        <f t="shared" si="178"/>
        <v>0</v>
      </c>
      <c r="AD2832">
        <f t="shared" si="179"/>
        <v>0</v>
      </c>
    </row>
    <row r="2833" spans="27:30" x14ac:dyDescent="0.3">
      <c r="AA2833">
        <f t="shared" si="176"/>
        <v>0</v>
      </c>
      <c r="AB2833">
        <f t="shared" si="177"/>
        <v>0</v>
      </c>
      <c r="AC2833">
        <f t="shared" si="178"/>
        <v>0</v>
      </c>
      <c r="AD2833">
        <f t="shared" si="179"/>
        <v>0</v>
      </c>
    </row>
    <row r="2834" spans="27:30" x14ac:dyDescent="0.3">
      <c r="AA2834">
        <f t="shared" si="176"/>
        <v>0</v>
      </c>
      <c r="AB2834">
        <f t="shared" si="177"/>
        <v>0</v>
      </c>
      <c r="AC2834">
        <f t="shared" si="178"/>
        <v>0</v>
      </c>
      <c r="AD2834">
        <f t="shared" si="179"/>
        <v>0</v>
      </c>
    </row>
    <row r="2835" spans="27:30" x14ac:dyDescent="0.3">
      <c r="AA2835">
        <f t="shared" si="176"/>
        <v>0</v>
      </c>
      <c r="AB2835">
        <f t="shared" si="177"/>
        <v>0</v>
      </c>
      <c r="AC2835">
        <f t="shared" si="178"/>
        <v>0</v>
      </c>
      <c r="AD2835">
        <f t="shared" si="179"/>
        <v>0</v>
      </c>
    </row>
    <row r="2836" spans="27:30" x14ac:dyDescent="0.3">
      <c r="AA2836">
        <f t="shared" si="176"/>
        <v>0</v>
      </c>
      <c r="AB2836">
        <f t="shared" si="177"/>
        <v>0</v>
      </c>
      <c r="AC2836">
        <f t="shared" si="178"/>
        <v>0</v>
      </c>
      <c r="AD2836">
        <f t="shared" si="179"/>
        <v>0</v>
      </c>
    </row>
    <row r="2837" spans="27:30" x14ac:dyDescent="0.3">
      <c r="AA2837">
        <f t="shared" si="176"/>
        <v>0</v>
      </c>
      <c r="AB2837">
        <f t="shared" si="177"/>
        <v>0</v>
      </c>
      <c r="AC2837">
        <f t="shared" si="178"/>
        <v>0</v>
      </c>
      <c r="AD2837">
        <f t="shared" si="179"/>
        <v>0</v>
      </c>
    </row>
    <row r="2838" spans="27:30" x14ac:dyDescent="0.3">
      <c r="AA2838">
        <f t="shared" si="176"/>
        <v>0</v>
      </c>
      <c r="AB2838">
        <f t="shared" si="177"/>
        <v>0</v>
      </c>
      <c r="AC2838">
        <f t="shared" si="178"/>
        <v>0</v>
      </c>
      <c r="AD2838">
        <f t="shared" si="179"/>
        <v>0</v>
      </c>
    </row>
    <row r="2839" spans="27:30" x14ac:dyDescent="0.3">
      <c r="AA2839">
        <f t="shared" si="176"/>
        <v>0</v>
      </c>
      <c r="AB2839">
        <f t="shared" si="177"/>
        <v>0</v>
      </c>
      <c r="AC2839">
        <f t="shared" si="178"/>
        <v>0</v>
      </c>
      <c r="AD2839">
        <f t="shared" si="179"/>
        <v>0</v>
      </c>
    </row>
    <row r="2840" spans="27:30" x14ac:dyDescent="0.3">
      <c r="AA2840">
        <f t="shared" si="176"/>
        <v>0</v>
      </c>
      <c r="AB2840">
        <f t="shared" si="177"/>
        <v>0</v>
      </c>
      <c r="AC2840">
        <f t="shared" si="178"/>
        <v>0</v>
      </c>
      <c r="AD2840">
        <f t="shared" si="179"/>
        <v>0</v>
      </c>
    </row>
    <row r="2841" spans="27:30" x14ac:dyDescent="0.3">
      <c r="AA2841">
        <f t="shared" si="176"/>
        <v>0</v>
      </c>
      <c r="AB2841">
        <f t="shared" si="177"/>
        <v>0</v>
      </c>
      <c r="AC2841">
        <f t="shared" si="178"/>
        <v>0</v>
      </c>
      <c r="AD2841">
        <f t="shared" si="179"/>
        <v>0</v>
      </c>
    </row>
    <row r="2842" spans="27:30" x14ac:dyDescent="0.3">
      <c r="AA2842">
        <f t="shared" si="176"/>
        <v>0</v>
      </c>
      <c r="AB2842">
        <f t="shared" si="177"/>
        <v>0</v>
      </c>
      <c r="AC2842">
        <f t="shared" si="178"/>
        <v>0</v>
      </c>
      <c r="AD2842">
        <f t="shared" si="179"/>
        <v>0</v>
      </c>
    </row>
    <row r="2843" spans="27:30" x14ac:dyDescent="0.3">
      <c r="AA2843">
        <f t="shared" si="176"/>
        <v>0</v>
      </c>
      <c r="AB2843">
        <f t="shared" si="177"/>
        <v>0</v>
      </c>
      <c r="AC2843">
        <f t="shared" si="178"/>
        <v>0</v>
      </c>
      <c r="AD2843">
        <f t="shared" si="179"/>
        <v>0</v>
      </c>
    </row>
    <row r="2844" spans="27:30" x14ac:dyDescent="0.3">
      <c r="AA2844">
        <f t="shared" si="176"/>
        <v>0</v>
      </c>
      <c r="AB2844">
        <f t="shared" si="177"/>
        <v>0</v>
      </c>
      <c r="AC2844">
        <f t="shared" si="178"/>
        <v>0</v>
      </c>
      <c r="AD2844">
        <f t="shared" si="179"/>
        <v>0</v>
      </c>
    </row>
    <row r="2845" spans="27:30" x14ac:dyDescent="0.3">
      <c r="AA2845">
        <f t="shared" si="176"/>
        <v>0</v>
      </c>
      <c r="AB2845">
        <f t="shared" si="177"/>
        <v>0</v>
      </c>
      <c r="AC2845">
        <f t="shared" si="178"/>
        <v>0</v>
      </c>
      <c r="AD2845">
        <f t="shared" si="179"/>
        <v>0</v>
      </c>
    </row>
    <row r="2846" spans="27:30" x14ac:dyDescent="0.3">
      <c r="AA2846">
        <f t="shared" si="176"/>
        <v>0</v>
      </c>
      <c r="AB2846">
        <f t="shared" si="177"/>
        <v>0</v>
      </c>
      <c r="AC2846">
        <f t="shared" si="178"/>
        <v>0</v>
      </c>
      <c r="AD2846">
        <f t="shared" si="179"/>
        <v>0</v>
      </c>
    </row>
    <row r="2847" spans="27:30" x14ac:dyDescent="0.3">
      <c r="AA2847">
        <f t="shared" si="176"/>
        <v>0</v>
      </c>
      <c r="AB2847">
        <f t="shared" si="177"/>
        <v>0</v>
      </c>
      <c r="AC2847">
        <f t="shared" si="178"/>
        <v>0</v>
      </c>
      <c r="AD2847">
        <f t="shared" si="179"/>
        <v>0</v>
      </c>
    </row>
    <row r="2848" spans="27:30" x14ac:dyDescent="0.3">
      <c r="AA2848">
        <f t="shared" si="176"/>
        <v>0</v>
      </c>
      <c r="AB2848">
        <f t="shared" si="177"/>
        <v>0</v>
      </c>
      <c r="AC2848">
        <f t="shared" si="178"/>
        <v>0</v>
      </c>
      <c r="AD2848">
        <f t="shared" si="179"/>
        <v>0</v>
      </c>
    </row>
    <row r="2849" spans="27:30" x14ac:dyDescent="0.3">
      <c r="AA2849">
        <f t="shared" si="176"/>
        <v>0</v>
      </c>
      <c r="AB2849">
        <f t="shared" si="177"/>
        <v>0</v>
      </c>
      <c r="AC2849">
        <f t="shared" si="178"/>
        <v>0</v>
      </c>
      <c r="AD2849">
        <f t="shared" si="179"/>
        <v>0</v>
      </c>
    </row>
    <row r="2850" spans="27:30" x14ac:dyDescent="0.3">
      <c r="AA2850">
        <f t="shared" si="176"/>
        <v>0</v>
      </c>
      <c r="AB2850">
        <f t="shared" si="177"/>
        <v>0</v>
      </c>
      <c r="AC2850">
        <f t="shared" si="178"/>
        <v>0</v>
      </c>
      <c r="AD2850">
        <f t="shared" si="179"/>
        <v>0</v>
      </c>
    </row>
    <row r="2851" spans="27:30" x14ac:dyDescent="0.3">
      <c r="AA2851">
        <f t="shared" si="176"/>
        <v>0</v>
      </c>
      <c r="AB2851">
        <f t="shared" si="177"/>
        <v>0</v>
      </c>
      <c r="AC2851">
        <f t="shared" si="178"/>
        <v>0</v>
      </c>
      <c r="AD2851">
        <f t="shared" si="179"/>
        <v>0</v>
      </c>
    </row>
    <row r="2852" spans="27:30" x14ac:dyDescent="0.3">
      <c r="AA2852">
        <f t="shared" si="176"/>
        <v>0</v>
      </c>
      <c r="AB2852">
        <f t="shared" si="177"/>
        <v>0</v>
      </c>
      <c r="AC2852">
        <f t="shared" si="178"/>
        <v>0</v>
      </c>
      <c r="AD2852">
        <f t="shared" si="179"/>
        <v>0</v>
      </c>
    </row>
    <row r="2853" spans="27:30" x14ac:dyDescent="0.3">
      <c r="AA2853">
        <f t="shared" si="176"/>
        <v>0</v>
      </c>
      <c r="AB2853">
        <f t="shared" si="177"/>
        <v>0</v>
      </c>
      <c r="AC2853">
        <f t="shared" si="178"/>
        <v>0</v>
      </c>
      <c r="AD2853">
        <f t="shared" si="179"/>
        <v>0</v>
      </c>
    </row>
    <row r="2854" spans="27:30" x14ac:dyDescent="0.3">
      <c r="AA2854">
        <f t="shared" si="176"/>
        <v>0</v>
      </c>
      <c r="AB2854">
        <f t="shared" si="177"/>
        <v>0</v>
      </c>
      <c r="AC2854">
        <f t="shared" si="178"/>
        <v>0</v>
      </c>
      <c r="AD2854">
        <f t="shared" si="179"/>
        <v>0</v>
      </c>
    </row>
    <row r="2855" spans="27:30" x14ac:dyDescent="0.3">
      <c r="AA2855">
        <f t="shared" si="176"/>
        <v>0</v>
      </c>
      <c r="AB2855">
        <f t="shared" si="177"/>
        <v>0</v>
      </c>
      <c r="AC2855">
        <f t="shared" si="178"/>
        <v>0</v>
      </c>
      <c r="AD2855">
        <f t="shared" si="179"/>
        <v>0</v>
      </c>
    </row>
    <row r="2856" spans="27:30" x14ac:dyDescent="0.3">
      <c r="AA2856">
        <f t="shared" si="176"/>
        <v>0</v>
      </c>
      <c r="AB2856">
        <f t="shared" si="177"/>
        <v>0</v>
      </c>
      <c r="AC2856">
        <f t="shared" si="178"/>
        <v>0</v>
      </c>
      <c r="AD2856">
        <f t="shared" si="179"/>
        <v>0</v>
      </c>
    </row>
    <row r="2857" spans="27:30" x14ac:dyDescent="0.3">
      <c r="AA2857">
        <f t="shared" si="176"/>
        <v>0</v>
      </c>
      <c r="AB2857">
        <f t="shared" si="177"/>
        <v>0</v>
      </c>
      <c r="AC2857">
        <f t="shared" si="178"/>
        <v>0</v>
      </c>
      <c r="AD2857">
        <f t="shared" si="179"/>
        <v>0</v>
      </c>
    </row>
    <row r="2858" spans="27:30" x14ac:dyDescent="0.3">
      <c r="AA2858">
        <f t="shared" si="176"/>
        <v>0</v>
      </c>
      <c r="AB2858">
        <f t="shared" si="177"/>
        <v>0</v>
      </c>
      <c r="AC2858">
        <f t="shared" si="178"/>
        <v>0</v>
      </c>
      <c r="AD2858">
        <f t="shared" si="179"/>
        <v>0</v>
      </c>
    </row>
    <row r="2859" spans="27:30" x14ac:dyDescent="0.3">
      <c r="AA2859">
        <f t="shared" si="176"/>
        <v>0</v>
      </c>
      <c r="AB2859">
        <f t="shared" si="177"/>
        <v>0</v>
      </c>
      <c r="AC2859">
        <f t="shared" si="178"/>
        <v>0</v>
      </c>
      <c r="AD2859">
        <f t="shared" si="179"/>
        <v>0</v>
      </c>
    </row>
    <row r="2860" spans="27:30" x14ac:dyDescent="0.3">
      <c r="AA2860">
        <f t="shared" si="176"/>
        <v>0</v>
      </c>
      <c r="AB2860">
        <f t="shared" si="177"/>
        <v>0</v>
      </c>
      <c r="AC2860">
        <f t="shared" si="178"/>
        <v>0</v>
      </c>
      <c r="AD2860">
        <f t="shared" si="179"/>
        <v>0</v>
      </c>
    </row>
    <row r="2861" spans="27:30" x14ac:dyDescent="0.3">
      <c r="AA2861">
        <f t="shared" si="176"/>
        <v>0</v>
      </c>
      <c r="AB2861">
        <f t="shared" si="177"/>
        <v>0</v>
      </c>
      <c r="AC2861">
        <f t="shared" si="178"/>
        <v>0</v>
      </c>
      <c r="AD2861">
        <f t="shared" si="179"/>
        <v>0</v>
      </c>
    </row>
    <row r="2862" spans="27:30" x14ac:dyDescent="0.3">
      <c r="AA2862">
        <f t="shared" si="176"/>
        <v>0</v>
      </c>
      <c r="AB2862">
        <f t="shared" si="177"/>
        <v>0</v>
      </c>
      <c r="AC2862">
        <f t="shared" si="178"/>
        <v>0</v>
      </c>
      <c r="AD2862">
        <f t="shared" si="179"/>
        <v>0</v>
      </c>
    </row>
    <row r="2863" spans="27:30" x14ac:dyDescent="0.3">
      <c r="AA2863">
        <f t="shared" si="176"/>
        <v>0</v>
      </c>
      <c r="AB2863">
        <f t="shared" si="177"/>
        <v>0</v>
      </c>
      <c r="AC2863">
        <f t="shared" si="178"/>
        <v>0</v>
      </c>
      <c r="AD2863">
        <f t="shared" si="179"/>
        <v>0</v>
      </c>
    </row>
    <row r="2864" spans="27:30" x14ac:dyDescent="0.3">
      <c r="AA2864">
        <f t="shared" si="176"/>
        <v>0</v>
      </c>
      <c r="AB2864">
        <f t="shared" si="177"/>
        <v>0</v>
      </c>
      <c r="AC2864">
        <f t="shared" si="178"/>
        <v>0</v>
      </c>
      <c r="AD2864">
        <f t="shared" si="179"/>
        <v>0</v>
      </c>
    </row>
    <row r="2865" spans="27:30" x14ac:dyDescent="0.3">
      <c r="AA2865">
        <f t="shared" si="176"/>
        <v>0</v>
      </c>
      <c r="AB2865">
        <f t="shared" si="177"/>
        <v>0</v>
      </c>
      <c r="AC2865">
        <f t="shared" si="178"/>
        <v>0</v>
      </c>
      <c r="AD2865">
        <f t="shared" si="179"/>
        <v>0</v>
      </c>
    </row>
    <row r="2866" spans="27:30" x14ac:dyDescent="0.3">
      <c r="AA2866">
        <f t="shared" si="176"/>
        <v>0</v>
      </c>
      <c r="AB2866">
        <f t="shared" si="177"/>
        <v>0</v>
      </c>
      <c r="AC2866">
        <f t="shared" si="178"/>
        <v>0</v>
      </c>
      <c r="AD2866">
        <f t="shared" si="179"/>
        <v>0</v>
      </c>
    </row>
    <row r="2867" spans="27:30" x14ac:dyDescent="0.3">
      <c r="AA2867">
        <f t="shared" si="176"/>
        <v>0</v>
      </c>
      <c r="AB2867">
        <f t="shared" si="177"/>
        <v>0</v>
      </c>
      <c r="AC2867">
        <f t="shared" si="178"/>
        <v>0</v>
      </c>
      <c r="AD2867">
        <f t="shared" si="179"/>
        <v>0</v>
      </c>
    </row>
    <row r="2868" spans="27:30" x14ac:dyDescent="0.3">
      <c r="AA2868">
        <f t="shared" si="176"/>
        <v>0</v>
      </c>
      <c r="AB2868">
        <f t="shared" si="177"/>
        <v>0</v>
      </c>
      <c r="AC2868">
        <f t="shared" si="178"/>
        <v>0</v>
      </c>
      <c r="AD2868">
        <f t="shared" si="179"/>
        <v>0</v>
      </c>
    </row>
    <row r="2869" spans="27:30" x14ac:dyDescent="0.3">
      <c r="AA2869">
        <f t="shared" si="176"/>
        <v>0</v>
      </c>
      <c r="AB2869">
        <f t="shared" si="177"/>
        <v>0</v>
      </c>
      <c r="AC2869">
        <f t="shared" si="178"/>
        <v>0</v>
      </c>
      <c r="AD2869">
        <f t="shared" si="179"/>
        <v>0</v>
      </c>
    </row>
    <row r="2870" spans="27:30" x14ac:dyDescent="0.3">
      <c r="AA2870">
        <f t="shared" si="176"/>
        <v>0</v>
      </c>
      <c r="AB2870">
        <f t="shared" si="177"/>
        <v>0</v>
      </c>
      <c r="AC2870">
        <f t="shared" si="178"/>
        <v>0</v>
      </c>
      <c r="AD2870">
        <f t="shared" si="179"/>
        <v>0</v>
      </c>
    </row>
    <row r="2871" spans="27:30" x14ac:dyDescent="0.3">
      <c r="AA2871">
        <f t="shared" si="176"/>
        <v>0</v>
      </c>
      <c r="AB2871">
        <f t="shared" si="177"/>
        <v>0</v>
      </c>
      <c r="AC2871">
        <f t="shared" si="178"/>
        <v>0</v>
      </c>
      <c r="AD2871">
        <f t="shared" si="179"/>
        <v>0</v>
      </c>
    </row>
    <row r="2872" spans="27:30" x14ac:dyDescent="0.3">
      <c r="AA2872">
        <f t="shared" si="176"/>
        <v>0</v>
      </c>
      <c r="AB2872">
        <f t="shared" si="177"/>
        <v>0</v>
      </c>
      <c r="AC2872">
        <f t="shared" si="178"/>
        <v>0</v>
      </c>
      <c r="AD2872">
        <f t="shared" si="179"/>
        <v>0</v>
      </c>
    </row>
    <row r="2873" spans="27:30" x14ac:dyDescent="0.3">
      <c r="AA2873">
        <f t="shared" si="176"/>
        <v>0</v>
      </c>
      <c r="AB2873">
        <f t="shared" si="177"/>
        <v>0</v>
      </c>
      <c r="AC2873">
        <f t="shared" si="178"/>
        <v>0</v>
      </c>
      <c r="AD2873">
        <f t="shared" si="179"/>
        <v>0</v>
      </c>
    </row>
    <row r="2874" spans="27:30" x14ac:dyDescent="0.3">
      <c r="AA2874">
        <f t="shared" si="176"/>
        <v>0</v>
      </c>
      <c r="AB2874">
        <f t="shared" si="177"/>
        <v>0</v>
      </c>
      <c r="AC2874">
        <f t="shared" si="178"/>
        <v>0</v>
      </c>
      <c r="AD2874">
        <f t="shared" si="179"/>
        <v>0</v>
      </c>
    </row>
    <row r="2875" spans="27:30" x14ac:dyDescent="0.3">
      <c r="AA2875">
        <f t="shared" si="176"/>
        <v>0</v>
      </c>
      <c r="AB2875">
        <f t="shared" si="177"/>
        <v>0</v>
      </c>
      <c r="AC2875">
        <f t="shared" si="178"/>
        <v>0</v>
      </c>
      <c r="AD2875">
        <f t="shared" si="179"/>
        <v>0</v>
      </c>
    </row>
    <row r="2876" spans="27:30" x14ac:dyDescent="0.3">
      <c r="AA2876">
        <f t="shared" si="176"/>
        <v>0</v>
      </c>
      <c r="AB2876">
        <f t="shared" si="177"/>
        <v>0</v>
      </c>
      <c r="AC2876">
        <f t="shared" si="178"/>
        <v>0</v>
      </c>
      <c r="AD2876">
        <f t="shared" si="179"/>
        <v>0</v>
      </c>
    </row>
    <row r="2877" spans="27:30" x14ac:dyDescent="0.3">
      <c r="AA2877">
        <f t="shared" si="176"/>
        <v>0</v>
      </c>
      <c r="AB2877">
        <f t="shared" si="177"/>
        <v>0</v>
      </c>
      <c r="AC2877">
        <f t="shared" si="178"/>
        <v>0</v>
      </c>
      <c r="AD2877">
        <f t="shared" si="179"/>
        <v>0</v>
      </c>
    </row>
    <row r="2878" spans="27:30" x14ac:dyDescent="0.3">
      <c r="AA2878">
        <f t="shared" si="176"/>
        <v>0</v>
      </c>
      <c r="AB2878">
        <f t="shared" si="177"/>
        <v>0</v>
      </c>
      <c r="AC2878">
        <f t="shared" si="178"/>
        <v>0</v>
      </c>
      <c r="AD2878">
        <f t="shared" si="179"/>
        <v>0</v>
      </c>
    </row>
    <row r="2879" spans="27:30" x14ac:dyDescent="0.3">
      <c r="AA2879">
        <f t="shared" si="176"/>
        <v>0</v>
      </c>
      <c r="AB2879">
        <f t="shared" si="177"/>
        <v>0</v>
      </c>
      <c r="AC2879">
        <f t="shared" si="178"/>
        <v>0</v>
      </c>
      <c r="AD2879">
        <f t="shared" si="179"/>
        <v>0</v>
      </c>
    </row>
    <row r="2880" spans="27:30" x14ac:dyDescent="0.3">
      <c r="AA2880">
        <f t="shared" si="176"/>
        <v>0</v>
      </c>
      <c r="AB2880">
        <f t="shared" si="177"/>
        <v>0</v>
      </c>
      <c r="AC2880">
        <f t="shared" si="178"/>
        <v>0</v>
      </c>
      <c r="AD2880">
        <f t="shared" si="179"/>
        <v>0</v>
      </c>
    </row>
    <row r="2881" spans="27:30" x14ac:dyDescent="0.3">
      <c r="AA2881">
        <f t="shared" si="176"/>
        <v>0</v>
      </c>
      <c r="AB2881">
        <f t="shared" si="177"/>
        <v>0</v>
      </c>
      <c r="AC2881">
        <f t="shared" si="178"/>
        <v>0</v>
      </c>
      <c r="AD2881">
        <f t="shared" si="179"/>
        <v>0</v>
      </c>
    </row>
    <row r="2882" spans="27:30" x14ac:dyDescent="0.3">
      <c r="AA2882">
        <f t="shared" si="176"/>
        <v>0</v>
      </c>
      <c r="AB2882">
        <f t="shared" si="177"/>
        <v>0</v>
      </c>
      <c r="AC2882">
        <f t="shared" si="178"/>
        <v>0</v>
      </c>
      <c r="AD2882">
        <f t="shared" si="179"/>
        <v>0</v>
      </c>
    </row>
    <row r="2883" spans="27:30" x14ac:dyDescent="0.3">
      <c r="AA2883">
        <f t="shared" si="176"/>
        <v>0</v>
      </c>
      <c r="AB2883">
        <f t="shared" si="177"/>
        <v>0</v>
      </c>
      <c r="AC2883">
        <f t="shared" si="178"/>
        <v>0</v>
      </c>
      <c r="AD2883">
        <f t="shared" si="179"/>
        <v>0</v>
      </c>
    </row>
    <row r="2884" spans="27:30" x14ac:dyDescent="0.3">
      <c r="AA2884">
        <f t="shared" si="176"/>
        <v>0</v>
      </c>
      <c r="AB2884">
        <f t="shared" si="177"/>
        <v>0</v>
      </c>
      <c r="AC2884">
        <f t="shared" si="178"/>
        <v>0</v>
      </c>
      <c r="AD2884">
        <f t="shared" si="179"/>
        <v>0</v>
      </c>
    </row>
    <row r="2885" spans="27:30" x14ac:dyDescent="0.3">
      <c r="AA2885">
        <f t="shared" ref="AA2885:AA2948" si="180">ROUND(Z2885,0)</f>
        <v>0</v>
      </c>
      <c r="AB2885">
        <f t="shared" ref="AB2885:AB2948" si="181">IF(AA2885=Y2885,0,1)</f>
        <v>0</v>
      </c>
      <c r="AC2885">
        <f t="shared" ref="AC2885:AC2948" si="182">IF(AA2885&lt;Y2885+5,IF(AA2885&gt;Y2885-5,0,1),1)</f>
        <v>0</v>
      </c>
      <c r="AD2885">
        <f t="shared" ref="AD2885:AD2948" si="183">IF(AA2885&lt;Y2885+10,IF(AA2885&gt;Y2885-10,0,1),1)</f>
        <v>0</v>
      </c>
    </row>
    <row r="2886" spans="27:30" x14ac:dyDescent="0.3">
      <c r="AA2886">
        <f t="shared" si="180"/>
        <v>0</v>
      </c>
      <c r="AB2886">
        <f t="shared" si="181"/>
        <v>0</v>
      </c>
      <c r="AC2886">
        <f t="shared" si="182"/>
        <v>0</v>
      </c>
      <c r="AD2886">
        <f t="shared" si="183"/>
        <v>0</v>
      </c>
    </row>
    <row r="2887" spans="27:30" x14ac:dyDescent="0.3">
      <c r="AA2887">
        <f t="shared" si="180"/>
        <v>0</v>
      </c>
      <c r="AB2887">
        <f t="shared" si="181"/>
        <v>0</v>
      </c>
      <c r="AC2887">
        <f t="shared" si="182"/>
        <v>0</v>
      </c>
      <c r="AD2887">
        <f t="shared" si="183"/>
        <v>0</v>
      </c>
    </row>
    <row r="2888" spans="27:30" x14ac:dyDescent="0.3">
      <c r="AA2888">
        <f t="shared" si="180"/>
        <v>0</v>
      </c>
      <c r="AB2888">
        <f t="shared" si="181"/>
        <v>0</v>
      </c>
      <c r="AC2888">
        <f t="shared" si="182"/>
        <v>0</v>
      </c>
      <c r="AD2888">
        <f t="shared" si="183"/>
        <v>0</v>
      </c>
    </row>
    <row r="2889" spans="27:30" x14ac:dyDescent="0.3">
      <c r="AA2889">
        <f t="shared" si="180"/>
        <v>0</v>
      </c>
      <c r="AB2889">
        <f t="shared" si="181"/>
        <v>0</v>
      </c>
      <c r="AC2889">
        <f t="shared" si="182"/>
        <v>0</v>
      </c>
      <c r="AD2889">
        <f t="shared" si="183"/>
        <v>0</v>
      </c>
    </row>
    <row r="2890" spans="27:30" x14ac:dyDescent="0.3">
      <c r="AA2890">
        <f t="shared" si="180"/>
        <v>0</v>
      </c>
      <c r="AB2890">
        <f t="shared" si="181"/>
        <v>0</v>
      </c>
      <c r="AC2890">
        <f t="shared" si="182"/>
        <v>0</v>
      </c>
      <c r="AD2890">
        <f t="shared" si="183"/>
        <v>0</v>
      </c>
    </row>
    <row r="2891" spans="27:30" x14ac:dyDescent="0.3">
      <c r="AA2891">
        <f t="shared" si="180"/>
        <v>0</v>
      </c>
      <c r="AB2891">
        <f t="shared" si="181"/>
        <v>0</v>
      </c>
      <c r="AC2891">
        <f t="shared" si="182"/>
        <v>0</v>
      </c>
      <c r="AD2891">
        <f t="shared" si="183"/>
        <v>0</v>
      </c>
    </row>
    <row r="2892" spans="27:30" x14ac:dyDescent="0.3">
      <c r="AA2892">
        <f t="shared" si="180"/>
        <v>0</v>
      </c>
      <c r="AB2892">
        <f t="shared" si="181"/>
        <v>0</v>
      </c>
      <c r="AC2892">
        <f t="shared" si="182"/>
        <v>0</v>
      </c>
      <c r="AD2892">
        <f t="shared" si="183"/>
        <v>0</v>
      </c>
    </row>
    <row r="2893" spans="27:30" x14ac:dyDescent="0.3">
      <c r="AA2893">
        <f t="shared" si="180"/>
        <v>0</v>
      </c>
      <c r="AB2893">
        <f t="shared" si="181"/>
        <v>0</v>
      </c>
      <c r="AC2893">
        <f t="shared" si="182"/>
        <v>0</v>
      </c>
      <c r="AD2893">
        <f t="shared" si="183"/>
        <v>0</v>
      </c>
    </row>
    <row r="2894" spans="27:30" x14ac:dyDescent="0.3">
      <c r="AA2894">
        <f t="shared" si="180"/>
        <v>0</v>
      </c>
      <c r="AB2894">
        <f t="shared" si="181"/>
        <v>0</v>
      </c>
      <c r="AC2894">
        <f t="shared" si="182"/>
        <v>0</v>
      </c>
      <c r="AD2894">
        <f t="shared" si="183"/>
        <v>0</v>
      </c>
    </row>
    <row r="2895" spans="27:30" x14ac:dyDescent="0.3">
      <c r="AA2895">
        <f t="shared" si="180"/>
        <v>0</v>
      </c>
      <c r="AB2895">
        <f t="shared" si="181"/>
        <v>0</v>
      </c>
      <c r="AC2895">
        <f t="shared" si="182"/>
        <v>0</v>
      </c>
      <c r="AD2895">
        <f t="shared" si="183"/>
        <v>0</v>
      </c>
    </row>
    <row r="2896" spans="27:30" x14ac:dyDescent="0.3">
      <c r="AA2896">
        <f t="shared" si="180"/>
        <v>0</v>
      </c>
      <c r="AB2896">
        <f t="shared" si="181"/>
        <v>0</v>
      </c>
      <c r="AC2896">
        <f t="shared" si="182"/>
        <v>0</v>
      </c>
      <c r="AD2896">
        <f t="shared" si="183"/>
        <v>0</v>
      </c>
    </row>
    <row r="2897" spans="27:30" x14ac:dyDescent="0.3">
      <c r="AA2897">
        <f t="shared" si="180"/>
        <v>0</v>
      </c>
      <c r="AB2897">
        <f t="shared" si="181"/>
        <v>0</v>
      </c>
      <c r="AC2897">
        <f t="shared" si="182"/>
        <v>0</v>
      </c>
      <c r="AD2897">
        <f t="shared" si="183"/>
        <v>0</v>
      </c>
    </row>
    <row r="2898" spans="27:30" x14ac:dyDescent="0.3">
      <c r="AA2898">
        <f t="shared" si="180"/>
        <v>0</v>
      </c>
      <c r="AB2898">
        <f t="shared" si="181"/>
        <v>0</v>
      </c>
      <c r="AC2898">
        <f t="shared" si="182"/>
        <v>0</v>
      </c>
      <c r="AD2898">
        <f t="shared" si="183"/>
        <v>0</v>
      </c>
    </row>
    <row r="2899" spans="27:30" x14ac:dyDescent="0.3">
      <c r="AA2899">
        <f t="shared" si="180"/>
        <v>0</v>
      </c>
      <c r="AB2899">
        <f t="shared" si="181"/>
        <v>0</v>
      </c>
      <c r="AC2899">
        <f t="shared" si="182"/>
        <v>0</v>
      </c>
      <c r="AD2899">
        <f t="shared" si="183"/>
        <v>0</v>
      </c>
    </row>
    <row r="2900" spans="27:30" x14ac:dyDescent="0.3">
      <c r="AA2900">
        <f t="shared" si="180"/>
        <v>0</v>
      </c>
      <c r="AB2900">
        <f t="shared" si="181"/>
        <v>0</v>
      </c>
      <c r="AC2900">
        <f t="shared" si="182"/>
        <v>0</v>
      </c>
      <c r="AD2900">
        <f t="shared" si="183"/>
        <v>0</v>
      </c>
    </row>
    <row r="2901" spans="27:30" x14ac:dyDescent="0.3">
      <c r="AA2901">
        <f t="shared" si="180"/>
        <v>0</v>
      </c>
      <c r="AB2901">
        <f t="shared" si="181"/>
        <v>0</v>
      </c>
      <c r="AC2901">
        <f t="shared" si="182"/>
        <v>0</v>
      </c>
      <c r="AD2901">
        <f t="shared" si="183"/>
        <v>0</v>
      </c>
    </row>
    <row r="2902" spans="27:30" x14ac:dyDescent="0.3">
      <c r="AA2902">
        <f t="shared" si="180"/>
        <v>0</v>
      </c>
      <c r="AB2902">
        <f t="shared" si="181"/>
        <v>0</v>
      </c>
      <c r="AC2902">
        <f t="shared" si="182"/>
        <v>0</v>
      </c>
      <c r="AD2902">
        <f t="shared" si="183"/>
        <v>0</v>
      </c>
    </row>
    <row r="2903" spans="27:30" x14ac:dyDescent="0.3">
      <c r="AA2903">
        <f t="shared" si="180"/>
        <v>0</v>
      </c>
      <c r="AB2903">
        <f t="shared" si="181"/>
        <v>0</v>
      </c>
      <c r="AC2903">
        <f t="shared" si="182"/>
        <v>0</v>
      </c>
      <c r="AD2903">
        <f t="shared" si="183"/>
        <v>0</v>
      </c>
    </row>
    <row r="2904" spans="27:30" x14ac:dyDescent="0.3">
      <c r="AA2904">
        <f t="shared" si="180"/>
        <v>0</v>
      </c>
      <c r="AB2904">
        <f t="shared" si="181"/>
        <v>0</v>
      </c>
      <c r="AC2904">
        <f t="shared" si="182"/>
        <v>0</v>
      </c>
      <c r="AD2904">
        <f t="shared" si="183"/>
        <v>0</v>
      </c>
    </row>
    <row r="2905" spans="27:30" x14ac:dyDescent="0.3">
      <c r="AA2905">
        <f t="shared" si="180"/>
        <v>0</v>
      </c>
      <c r="AB2905">
        <f t="shared" si="181"/>
        <v>0</v>
      </c>
      <c r="AC2905">
        <f t="shared" si="182"/>
        <v>0</v>
      </c>
      <c r="AD2905">
        <f t="shared" si="183"/>
        <v>0</v>
      </c>
    </row>
    <row r="2906" spans="27:30" x14ac:dyDescent="0.3">
      <c r="AA2906">
        <f t="shared" si="180"/>
        <v>0</v>
      </c>
      <c r="AB2906">
        <f t="shared" si="181"/>
        <v>0</v>
      </c>
      <c r="AC2906">
        <f t="shared" si="182"/>
        <v>0</v>
      </c>
      <c r="AD2906">
        <f t="shared" si="183"/>
        <v>0</v>
      </c>
    </row>
    <row r="2907" spans="27:30" x14ac:dyDescent="0.3">
      <c r="AA2907">
        <f t="shared" si="180"/>
        <v>0</v>
      </c>
      <c r="AB2907">
        <f t="shared" si="181"/>
        <v>0</v>
      </c>
      <c r="AC2907">
        <f t="shared" si="182"/>
        <v>0</v>
      </c>
      <c r="AD2907">
        <f t="shared" si="183"/>
        <v>0</v>
      </c>
    </row>
    <row r="2908" spans="27:30" x14ac:dyDescent="0.3">
      <c r="AA2908">
        <f t="shared" si="180"/>
        <v>0</v>
      </c>
      <c r="AB2908">
        <f t="shared" si="181"/>
        <v>0</v>
      </c>
      <c r="AC2908">
        <f t="shared" si="182"/>
        <v>0</v>
      </c>
      <c r="AD2908">
        <f t="shared" si="183"/>
        <v>0</v>
      </c>
    </row>
    <row r="2909" spans="27:30" x14ac:dyDescent="0.3">
      <c r="AA2909">
        <f t="shared" si="180"/>
        <v>0</v>
      </c>
      <c r="AB2909">
        <f t="shared" si="181"/>
        <v>0</v>
      </c>
      <c r="AC2909">
        <f t="shared" si="182"/>
        <v>0</v>
      </c>
      <c r="AD2909">
        <f t="shared" si="183"/>
        <v>0</v>
      </c>
    </row>
    <row r="2910" spans="27:30" x14ac:dyDescent="0.3">
      <c r="AA2910">
        <f t="shared" si="180"/>
        <v>0</v>
      </c>
      <c r="AB2910">
        <f t="shared" si="181"/>
        <v>0</v>
      </c>
      <c r="AC2910">
        <f t="shared" si="182"/>
        <v>0</v>
      </c>
      <c r="AD2910">
        <f t="shared" si="183"/>
        <v>0</v>
      </c>
    </row>
    <row r="2911" spans="27:30" x14ac:dyDescent="0.3">
      <c r="AA2911">
        <f t="shared" si="180"/>
        <v>0</v>
      </c>
      <c r="AB2911">
        <f t="shared" si="181"/>
        <v>0</v>
      </c>
      <c r="AC2911">
        <f t="shared" si="182"/>
        <v>0</v>
      </c>
      <c r="AD2911">
        <f t="shared" si="183"/>
        <v>0</v>
      </c>
    </row>
    <row r="2912" spans="27:30" x14ac:dyDescent="0.3">
      <c r="AA2912">
        <f t="shared" si="180"/>
        <v>0</v>
      </c>
      <c r="AB2912">
        <f t="shared" si="181"/>
        <v>0</v>
      </c>
      <c r="AC2912">
        <f t="shared" si="182"/>
        <v>0</v>
      </c>
      <c r="AD2912">
        <f t="shared" si="183"/>
        <v>0</v>
      </c>
    </row>
    <row r="2913" spans="27:30" x14ac:dyDescent="0.3">
      <c r="AA2913">
        <f t="shared" si="180"/>
        <v>0</v>
      </c>
      <c r="AB2913">
        <f t="shared" si="181"/>
        <v>0</v>
      </c>
      <c r="AC2913">
        <f t="shared" si="182"/>
        <v>0</v>
      </c>
      <c r="AD2913">
        <f t="shared" si="183"/>
        <v>0</v>
      </c>
    </row>
    <row r="2914" spans="27:30" x14ac:dyDescent="0.3">
      <c r="AA2914">
        <f t="shared" si="180"/>
        <v>0</v>
      </c>
      <c r="AB2914">
        <f t="shared" si="181"/>
        <v>0</v>
      </c>
      <c r="AC2914">
        <f t="shared" si="182"/>
        <v>0</v>
      </c>
      <c r="AD2914">
        <f t="shared" si="183"/>
        <v>0</v>
      </c>
    </row>
    <row r="2915" spans="27:30" x14ac:dyDescent="0.3">
      <c r="AA2915">
        <f t="shared" si="180"/>
        <v>0</v>
      </c>
      <c r="AB2915">
        <f t="shared" si="181"/>
        <v>0</v>
      </c>
      <c r="AC2915">
        <f t="shared" si="182"/>
        <v>0</v>
      </c>
      <c r="AD2915">
        <f t="shared" si="183"/>
        <v>0</v>
      </c>
    </row>
    <row r="2916" spans="27:30" x14ac:dyDescent="0.3">
      <c r="AA2916">
        <f t="shared" si="180"/>
        <v>0</v>
      </c>
      <c r="AB2916">
        <f t="shared" si="181"/>
        <v>0</v>
      </c>
      <c r="AC2916">
        <f t="shared" si="182"/>
        <v>0</v>
      </c>
      <c r="AD2916">
        <f t="shared" si="183"/>
        <v>0</v>
      </c>
    </row>
    <row r="2917" spans="27:30" x14ac:dyDescent="0.3">
      <c r="AA2917">
        <f t="shared" si="180"/>
        <v>0</v>
      </c>
      <c r="AB2917">
        <f t="shared" si="181"/>
        <v>0</v>
      </c>
      <c r="AC2917">
        <f t="shared" si="182"/>
        <v>0</v>
      </c>
      <c r="AD2917">
        <f t="shared" si="183"/>
        <v>0</v>
      </c>
    </row>
    <row r="2918" spans="27:30" x14ac:dyDescent="0.3">
      <c r="AA2918">
        <f t="shared" si="180"/>
        <v>0</v>
      </c>
      <c r="AB2918">
        <f t="shared" si="181"/>
        <v>0</v>
      </c>
      <c r="AC2918">
        <f t="shared" si="182"/>
        <v>0</v>
      </c>
      <c r="AD2918">
        <f t="shared" si="183"/>
        <v>0</v>
      </c>
    </row>
    <row r="2919" spans="27:30" x14ac:dyDescent="0.3">
      <c r="AA2919">
        <f t="shared" si="180"/>
        <v>0</v>
      </c>
      <c r="AB2919">
        <f t="shared" si="181"/>
        <v>0</v>
      </c>
      <c r="AC2919">
        <f t="shared" si="182"/>
        <v>0</v>
      </c>
      <c r="AD2919">
        <f t="shared" si="183"/>
        <v>0</v>
      </c>
    </row>
    <row r="2920" spans="27:30" x14ac:dyDescent="0.3">
      <c r="AA2920">
        <f t="shared" si="180"/>
        <v>0</v>
      </c>
      <c r="AB2920">
        <f t="shared" si="181"/>
        <v>0</v>
      </c>
      <c r="AC2920">
        <f t="shared" si="182"/>
        <v>0</v>
      </c>
      <c r="AD2920">
        <f t="shared" si="183"/>
        <v>0</v>
      </c>
    </row>
    <row r="2921" spans="27:30" x14ac:dyDescent="0.3">
      <c r="AA2921">
        <f t="shared" si="180"/>
        <v>0</v>
      </c>
      <c r="AB2921">
        <f t="shared" si="181"/>
        <v>0</v>
      </c>
      <c r="AC2921">
        <f t="shared" si="182"/>
        <v>0</v>
      </c>
      <c r="AD2921">
        <f t="shared" si="183"/>
        <v>0</v>
      </c>
    </row>
    <row r="2922" spans="27:30" x14ac:dyDescent="0.3">
      <c r="AA2922">
        <f t="shared" si="180"/>
        <v>0</v>
      </c>
      <c r="AB2922">
        <f t="shared" si="181"/>
        <v>0</v>
      </c>
      <c r="AC2922">
        <f t="shared" si="182"/>
        <v>0</v>
      </c>
      <c r="AD2922">
        <f t="shared" si="183"/>
        <v>0</v>
      </c>
    </row>
    <row r="2923" spans="27:30" x14ac:dyDescent="0.3">
      <c r="AA2923">
        <f t="shared" si="180"/>
        <v>0</v>
      </c>
      <c r="AB2923">
        <f t="shared" si="181"/>
        <v>0</v>
      </c>
      <c r="AC2923">
        <f t="shared" si="182"/>
        <v>0</v>
      </c>
      <c r="AD2923">
        <f t="shared" si="183"/>
        <v>0</v>
      </c>
    </row>
    <row r="2924" spans="27:30" x14ac:dyDescent="0.3">
      <c r="AA2924">
        <f t="shared" si="180"/>
        <v>0</v>
      </c>
      <c r="AB2924">
        <f t="shared" si="181"/>
        <v>0</v>
      </c>
      <c r="AC2924">
        <f t="shared" si="182"/>
        <v>0</v>
      </c>
      <c r="AD2924">
        <f t="shared" si="183"/>
        <v>0</v>
      </c>
    </row>
    <row r="2925" spans="27:30" x14ac:dyDescent="0.3">
      <c r="AA2925">
        <f t="shared" si="180"/>
        <v>0</v>
      </c>
      <c r="AB2925">
        <f t="shared" si="181"/>
        <v>0</v>
      </c>
      <c r="AC2925">
        <f t="shared" si="182"/>
        <v>0</v>
      </c>
      <c r="AD2925">
        <f t="shared" si="183"/>
        <v>0</v>
      </c>
    </row>
    <row r="2926" spans="27:30" x14ac:dyDescent="0.3">
      <c r="AA2926">
        <f t="shared" si="180"/>
        <v>0</v>
      </c>
      <c r="AB2926">
        <f t="shared" si="181"/>
        <v>0</v>
      </c>
      <c r="AC2926">
        <f t="shared" si="182"/>
        <v>0</v>
      </c>
      <c r="AD2926">
        <f t="shared" si="183"/>
        <v>0</v>
      </c>
    </row>
    <row r="2927" spans="27:30" x14ac:dyDescent="0.3">
      <c r="AA2927">
        <f t="shared" si="180"/>
        <v>0</v>
      </c>
      <c r="AB2927">
        <f t="shared" si="181"/>
        <v>0</v>
      </c>
      <c r="AC2927">
        <f t="shared" si="182"/>
        <v>0</v>
      </c>
      <c r="AD2927">
        <f t="shared" si="183"/>
        <v>0</v>
      </c>
    </row>
    <row r="2928" spans="27:30" x14ac:dyDescent="0.3">
      <c r="AA2928">
        <f t="shared" si="180"/>
        <v>0</v>
      </c>
      <c r="AB2928">
        <f t="shared" si="181"/>
        <v>0</v>
      </c>
      <c r="AC2928">
        <f t="shared" si="182"/>
        <v>0</v>
      </c>
      <c r="AD2928">
        <f t="shared" si="183"/>
        <v>0</v>
      </c>
    </row>
    <row r="2929" spans="27:30" x14ac:dyDescent="0.3">
      <c r="AA2929">
        <f t="shared" si="180"/>
        <v>0</v>
      </c>
      <c r="AB2929">
        <f t="shared" si="181"/>
        <v>0</v>
      </c>
      <c r="AC2929">
        <f t="shared" si="182"/>
        <v>0</v>
      </c>
      <c r="AD2929">
        <f t="shared" si="183"/>
        <v>0</v>
      </c>
    </row>
    <row r="2930" spans="27:30" x14ac:dyDescent="0.3">
      <c r="AA2930">
        <f t="shared" si="180"/>
        <v>0</v>
      </c>
      <c r="AB2930">
        <f t="shared" si="181"/>
        <v>0</v>
      </c>
      <c r="AC2930">
        <f t="shared" si="182"/>
        <v>0</v>
      </c>
      <c r="AD2930">
        <f t="shared" si="183"/>
        <v>0</v>
      </c>
    </row>
    <row r="2931" spans="27:30" x14ac:dyDescent="0.3">
      <c r="AA2931">
        <f t="shared" si="180"/>
        <v>0</v>
      </c>
      <c r="AB2931">
        <f t="shared" si="181"/>
        <v>0</v>
      </c>
      <c r="AC2931">
        <f t="shared" si="182"/>
        <v>0</v>
      </c>
      <c r="AD2931">
        <f t="shared" si="183"/>
        <v>0</v>
      </c>
    </row>
    <row r="2932" spans="27:30" x14ac:dyDescent="0.3">
      <c r="AA2932">
        <f t="shared" si="180"/>
        <v>0</v>
      </c>
      <c r="AB2932">
        <f t="shared" si="181"/>
        <v>0</v>
      </c>
      <c r="AC2932">
        <f t="shared" si="182"/>
        <v>0</v>
      </c>
      <c r="AD2932">
        <f t="shared" si="183"/>
        <v>0</v>
      </c>
    </row>
    <row r="2933" spans="27:30" x14ac:dyDescent="0.3">
      <c r="AA2933">
        <f t="shared" si="180"/>
        <v>0</v>
      </c>
      <c r="AB2933">
        <f t="shared" si="181"/>
        <v>0</v>
      </c>
      <c r="AC2933">
        <f t="shared" si="182"/>
        <v>0</v>
      </c>
      <c r="AD2933">
        <f t="shared" si="183"/>
        <v>0</v>
      </c>
    </row>
    <row r="2934" spans="27:30" x14ac:dyDescent="0.3">
      <c r="AA2934">
        <f t="shared" si="180"/>
        <v>0</v>
      </c>
      <c r="AB2934">
        <f t="shared" si="181"/>
        <v>0</v>
      </c>
      <c r="AC2934">
        <f t="shared" si="182"/>
        <v>0</v>
      </c>
      <c r="AD2934">
        <f t="shared" si="183"/>
        <v>0</v>
      </c>
    </row>
    <row r="2935" spans="27:30" x14ac:dyDescent="0.3">
      <c r="AA2935">
        <f t="shared" si="180"/>
        <v>0</v>
      </c>
      <c r="AB2935">
        <f t="shared" si="181"/>
        <v>0</v>
      </c>
      <c r="AC2935">
        <f t="shared" si="182"/>
        <v>0</v>
      </c>
      <c r="AD2935">
        <f t="shared" si="183"/>
        <v>0</v>
      </c>
    </row>
    <row r="2936" spans="27:30" x14ac:dyDescent="0.3">
      <c r="AA2936">
        <f t="shared" si="180"/>
        <v>0</v>
      </c>
      <c r="AB2936">
        <f t="shared" si="181"/>
        <v>0</v>
      </c>
      <c r="AC2936">
        <f t="shared" si="182"/>
        <v>0</v>
      </c>
      <c r="AD2936">
        <f t="shared" si="183"/>
        <v>0</v>
      </c>
    </row>
    <row r="2937" spans="27:30" x14ac:dyDescent="0.3">
      <c r="AA2937">
        <f t="shared" si="180"/>
        <v>0</v>
      </c>
      <c r="AB2937">
        <f t="shared" si="181"/>
        <v>0</v>
      </c>
      <c r="AC2937">
        <f t="shared" si="182"/>
        <v>0</v>
      </c>
      <c r="AD2937">
        <f t="shared" si="183"/>
        <v>0</v>
      </c>
    </row>
    <row r="2938" spans="27:30" x14ac:dyDescent="0.3">
      <c r="AA2938">
        <f t="shared" si="180"/>
        <v>0</v>
      </c>
      <c r="AB2938">
        <f t="shared" si="181"/>
        <v>0</v>
      </c>
      <c r="AC2938">
        <f t="shared" si="182"/>
        <v>0</v>
      </c>
      <c r="AD2938">
        <f t="shared" si="183"/>
        <v>0</v>
      </c>
    </row>
    <row r="2939" spans="27:30" x14ac:dyDescent="0.3">
      <c r="AA2939">
        <f t="shared" si="180"/>
        <v>0</v>
      </c>
      <c r="AB2939">
        <f t="shared" si="181"/>
        <v>0</v>
      </c>
      <c r="AC2939">
        <f t="shared" si="182"/>
        <v>0</v>
      </c>
      <c r="AD2939">
        <f t="shared" si="183"/>
        <v>0</v>
      </c>
    </row>
    <row r="2940" spans="27:30" x14ac:dyDescent="0.3">
      <c r="AA2940">
        <f t="shared" si="180"/>
        <v>0</v>
      </c>
      <c r="AB2940">
        <f t="shared" si="181"/>
        <v>0</v>
      </c>
      <c r="AC2940">
        <f t="shared" si="182"/>
        <v>0</v>
      </c>
      <c r="AD2940">
        <f t="shared" si="183"/>
        <v>0</v>
      </c>
    </row>
    <row r="2941" spans="27:30" x14ac:dyDescent="0.3">
      <c r="AA2941">
        <f t="shared" si="180"/>
        <v>0</v>
      </c>
      <c r="AB2941">
        <f t="shared" si="181"/>
        <v>0</v>
      </c>
      <c r="AC2941">
        <f t="shared" si="182"/>
        <v>0</v>
      </c>
      <c r="AD2941">
        <f t="shared" si="183"/>
        <v>0</v>
      </c>
    </row>
    <row r="2942" spans="27:30" x14ac:dyDescent="0.3">
      <c r="AA2942">
        <f t="shared" si="180"/>
        <v>0</v>
      </c>
      <c r="AB2942">
        <f t="shared" si="181"/>
        <v>0</v>
      </c>
      <c r="AC2942">
        <f t="shared" si="182"/>
        <v>0</v>
      </c>
      <c r="AD2942">
        <f t="shared" si="183"/>
        <v>0</v>
      </c>
    </row>
    <row r="2943" spans="27:30" x14ac:dyDescent="0.3">
      <c r="AA2943">
        <f t="shared" si="180"/>
        <v>0</v>
      </c>
      <c r="AB2943">
        <f t="shared" si="181"/>
        <v>0</v>
      </c>
      <c r="AC2943">
        <f t="shared" si="182"/>
        <v>0</v>
      </c>
      <c r="AD2943">
        <f t="shared" si="183"/>
        <v>0</v>
      </c>
    </row>
    <row r="2944" spans="27:30" x14ac:dyDescent="0.3">
      <c r="AA2944">
        <f t="shared" si="180"/>
        <v>0</v>
      </c>
      <c r="AB2944">
        <f t="shared" si="181"/>
        <v>0</v>
      </c>
      <c r="AC2944">
        <f t="shared" si="182"/>
        <v>0</v>
      </c>
      <c r="AD2944">
        <f t="shared" si="183"/>
        <v>0</v>
      </c>
    </row>
    <row r="2945" spans="27:30" x14ac:dyDescent="0.3">
      <c r="AA2945">
        <f t="shared" si="180"/>
        <v>0</v>
      </c>
      <c r="AB2945">
        <f t="shared" si="181"/>
        <v>0</v>
      </c>
      <c r="AC2945">
        <f t="shared" si="182"/>
        <v>0</v>
      </c>
      <c r="AD2945">
        <f t="shared" si="183"/>
        <v>0</v>
      </c>
    </row>
    <row r="2946" spans="27:30" x14ac:dyDescent="0.3">
      <c r="AA2946">
        <f t="shared" si="180"/>
        <v>0</v>
      </c>
      <c r="AB2946">
        <f t="shared" si="181"/>
        <v>0</v>
      </c>
      <c r="AC2946">
        <f t="shared" si="182"/>
        <v>0</v>
      </c>
      <c r="AD2946">
        <f t="shared" si="183"/>
        <v>0</v>
      </c>
    </row>
    <row r="2947" spans="27:30" x14ac:dyDescent="0.3">
      <c r="AA2947">
        <f t="shared" si="180"/>
        <v>0</v>
      </c>
      <c r="AB2947">
        <f t="shared" si="181"/>
        <v>0</v>
      </c>
      <c r="AC2947">
        <f t="shared" si="182"/>
        <v>0</v>
      </c>
      <c r="AD2947">
        <f t="shared" si="183"/>
        <v>0</v>
      </c>
    </row>
    <row r="2948" spans="27:30" x14ac:dyDescent="0.3">
      <c r="AA2948">
        <f t="shared" si="180"/>
        <v>0</v>
      </c>
      <c r="AB2948">
        <f t="shared" si="181"/>
        <v>0</v>
      </c>
      <c r="AC2948">
        <f t="shared" si="182"/>
        <v>0</v>
      </c>
      <c r="AD2948">
        <f t="shared" si="183"/>
        <v>0</v>
      </c>
    </row>
    <row r="2949" spans="27:30" x14ac:dyDescent="0.3">
      <c r="AA2949">
        <f t="shared" ref="AA2949:AA3012" si="184">ROUND(Z2949,0)</f>
        <v>0</v>
      </c>
      <c r="AB2949">
        <f t="shared" ref="AB2949:AB3012" si="185">IF(AA2949=Y2949,0,1)</f>
        <v>0</v>
      </c>
      <c r="AC2949">
        <f t="shared" ref="AC2949:AC3012" si="186">IF(AA2949&lt;Y2949+5,IF(AA2949&gt;Y2949-5,0,1),1)</f>
        <v>0</v>
      </c>
      <c r="AD2949">
        <f t="shared" ref="AD2949:AD3012" si="187">IF(AA2949&lt;Y2949+10,IF(AA2949&gt;Y2949-10,0,1),1)</f>
        <v>0</v>
      </c>
    </row>
    <row r="2950" spans="27:30" x14ac:dyDescent="0.3">
      <c r="AA2950">
        <f t="shared" si="184"/>
        <v>0</v>
      </c>
      <c r="AB2950">
        <f t="shared" si="185"/>
        <v>0</v>
      </c>
      <c r="AC2950">
        <f t="shared" si="186"/>
        <v>0</v>
      </c>
      <c r="AD2950">
        <f t="shared" si="187"/>
        <v>0</v>
      </c>
    </row>
    <row r="2951" spans="27:30" x14ac:dyDescent="0.3">
      <c r="AA2951">
        <f t="shared" si="184"/>
        <v>0</v>
      </c>
      <c r="AB2951">
        <f t="shared" si="185"/>
        <v>0</v>
      </c>
      <c r="AC2951">
        <f t="shared" si="186"/>
        <v>0</v>
      </c>
      <c r="AD2951">
        <f t="shared" si="187"/>
        <v>0</v>
      </c>
    </row>
    <row r="2952" spans="27:30" x14ac:dyDescent="0.3">
      <c r="AA2952">
        <f t="shared" si="184"/>
        <v>0</v>
      </c>
      <c r="AB2952">
        <f t="shared" si="185"/>
        <v>0</v>
      </c>
      <c r="AC2952">
        <f t="shared" si="186"/>
        <v>0</v>
      </c>
      <c r="AD2952">
        <f t="shared" si="187"/>
        <v>0</v>
      </c>
    </row>
    <row r="2953" spans="27:30" x14ac:dyDescent="0.3">
      <c r="AA2953">
        <f t="shared" si="184"/>
        <v>0</v>
      </c>
      <c r="AB2953">
        <f t="shared" si="185"/>
        <v>0</v>
      </c>
      <c r="AC2953">
        <f t="shared" si="186"/>
        <v>0</v>
      </c>
      <c r="AD2953">
        <f t="shared" si="187"/>
        <v>0</v>
      </c>
    </row>
    <row r="2954" spans="27:30" x14ac:dyDescent="0.3">
      <c r="AA2954">
        <f t="shared" si="184"/>
        <v>0</v>
      </c>
      <c r="AB2954">
        <f t="shared" si="185"/>
        <v>0</v>
      </c>
      <c r="AC2954">
        <f t="shared" si="186"/>
        <v>0</v>
      </c>
      <c r="AD2954">
        <f t="shared" si="187"/>
        <v>0</v>
      </c>
    </row>
    <row r="2955" spans="27:30" x14ac:dyDescent="0.3">
      <c r="AA2955">
        <f t="shared" si="184"/>
        <v>0</v>
      </c>
      <c r="AB2955">
        <f t="shared" si="185"/>
        <v>0</v>
      </c>
      <c r="AC2955">
        <f t="shared" si="186"/>
        <v>0</v>
      </c>
      <c r="AD2955">
        <f t="shared" si="187"/>
        <v>0</v>
      </c>
    </row>
    <row r="2956" spans="27:30" x14ac:dyDescent="0.3">
      <c r="AA2956">
        <f t="shared" si="184"/>
        <v>0</v>
      </c>
      <c r="AB2956">
        <f t="shared" si="185"/>
        <v>0</v>
      </c>
      <c r="AC2956">
        <f t="shared" si="186"/>
        <v>0</v>
      </c>
      <c r="AD2956">
        <f t="shared" si="187"/>
        <v>0</v>
      </c>
    </row>
    <row r="2957" spans="27:30" x14ac:dyDescent="0.3">
      <c r="AA2957">
        <f t="shared" si="184"/>
        <v>0</v>
      </c>
      <c r="AB2957">
        <f t="shared" si="185"/>
        <v>0</v>
      </c>
      <c r="AC2957">
        <f t="shared" si="186"/>
        <v>0</v>
      </c>
      <c r="AD2957">
        <f t="shared" si="187"/>
        <v>0</v>
      </c>
    </row>
    <row r="2958" spans="27:30" x14ac:dyDescent="0.3">
      <c r="AA2958">
        <f t="shared" si="184"/>
        <v>0</v>
      </c>
      <c r="AB2958">
        <f t="shared" si="185"/>
        <v>0</v>
      </c>
      <c r="AC2958">
        <f t="shared" si="186"/>
        <v>0</v>
      </c>
      <c r="AD2958">
        <f t="shared" si="187"/>
        <v>0</v>
      </c>
    </row>
    <row r="2959" spans="27:30" x14ac:dyDescent="0.3">
      <c r="AA2959">
        <f t="shared" si="184"/>
        <v>0</v>
      </c>
      <c r="AB2959">
        <f t="shared" si="185"/>
        <v>0</v>
      </c>
      <c r="AC2959">
        <f t="shared" si="186"/>
        <v>0</v>
      </c>
      <c r="AD2959">
        <f t="shared" si="187"/>
        <v>0</v>
      </c>
    </row>
    <row r="2960" spans="27:30" x14ac:dyDescent="0.3">
      <c r="AA2960">
        <f t="shared" si="184"/>
        <v>0</v>
      </c>
      <c r="AB2960">
        <f t="shared" si="185"/>
        <v>0</v>
      </c>
      <c r="AC2960">
        <f t="shared" si="186"/>
        <v>0</v>
      </c>
      <c r="AD2960">
        <f t="shared" si="187"/>
        <v>0</v>
      </c>
    </row>
    <row r="2961" spans="27:30" x14ac:dyDescent="0.3">
      <c r="AA2961">
        <f t="shared" si="184"/>
        <v>0</v>
      </c>
      <c r="AB2961">
        <f t="shared" si="185"/>
        <v>0</v>
      </c>
      <c r="AC2961">
        <f t="shared" si="186"/>
        <v>0</v>
      </c>
      <c r="AD2961">
        <f t="shared" si="187"/>
        <v>0</v>
      </c>
    </row>
    <row r="2962" spans="27:30" x14ac:dyDescent="0.3">
      <c r="AA2962">
        <f t="shared" si="184"/>
        <v>0</v>
      </c>
      <c r="AB2962">
        <f t="shared" si="185"/>
        <v>0</v>
      </c>
      <c r="AC2962">
        <f t="shared" si="186"/>
        <v>0</v>
      </c>
      <c r="AD2962">
        <f t="shared" si="187"/>
        <v>0</v>
      </c>
    </row>
    <row r="2963" spans="27:30" x14ac:dyDescent="0.3">
      <c r="AA2963">
        <f t="shared" si="184"/>
        <v>0</v>
      </c>
      <c r="AB2963">
        <f t="shared" si="185"/>
        <v>0</v>
      </c>
      <c r="AC2963">
        <f t="shared" si="186"/>
        <v>0</v>
      </c>
      <c r="AD2963">
        <f t="shared" si="187"/>
        <v>0</v>
      </c>
    </row>
    <row r="2964" spans="27:30" x14ac:dyDescent="0.3">
      <c r="AA2964">
        <f t="shared" si="184"/>
        <v>0</v>
      </c>
      <c r="AB2964">
        <f t="shared" si="185"/>
        <v>0</v>
      </c>
      <c r="AC2964">
        <f t="shared" si="186"/>
        <v>0</v>
      </c>
      <c r="AD2964">
        <f t="shared" si="187"/>
        <v>0</v>
      </c>
    </row>
    <row r="2965" spans="27:30" x14ac:dyDescent="0.3">
      <c r="AA2965">
        <f t="shared" si="184"/>
        <v>0</v>
      </c>
      <c r="AB2965">
        <f t="shared" si="185"/>
        <v>0</v>
      </c>
      <c r="AC2965">
        <f t="shared" si="186"/>
        <v>0</v>
      </c>
      <c r="AD2965">
        <f t="shared" si="187"/>
        <v>0</v>
      </c>
    </row>
    <row r="2966" spans="27:30" x14ac:dyDescent="0.3">
      <c r="AA2966">
        <f t="shared" si="184"/>
        <v>0</v>
      </c>
      <c r="AB2966">
        <f t="shared" si="185"/>
        <v>0</v>
      </c>
      <c r="AC2966">
        <f t="shared" si="186"/>
        <v>0</v>
      </c>
      <c r="AD2966">
        <f t="shared" si="187"/>
        <v>0</v>
      </c>
    </row>
    <row r="2967" spans="27:30" x14ac:dyDescent="0.3">
      <c r="AA2967">
        <f t="shared" si="184"/>
        <v>0</v>
      </c>
      <c r="AB2967">
        <f t="shared" si="185"/>
        <v>0</v>
      </c>
      <c r="AC2967">
        <f t="shared" si="186"/>
        <v>0</v>
      </c>
      <c r="AD2967">
        <f t="shared" si="187"/>
        <v>0</v>
      </c>
    </row>
    <row r="2968" spans="27:30" x14ac:dyDescent="0.3">
      <c r="AA2968">
        <f t="shared" si="184"/>
        <v>0</v>
      </c>
      <c r="AB2968">
        <f t="shared" si="185"/>
        <v>0</v>
      </c>
      <c r="AC2968">
        <f t="shared" si="186"/>
        <v>0</v>
      </c>
      <c r="AD2968">
        <f t="shared" si="187"/>
        <v>0</v>
      </c>
    </row>
    <row r="2969" spans="27:30" x14ac:dyDescent="0.3">
      <c r="AA2969">
        <f t="shared" si="184"/>
        <v>0</v>
      </c>
      <c r="AB2969">
        <f t="shared" si="185"/>
        <v>0</v>
      </c>
      <c r="AC2969">
        <f t="shared" si="186"/>
        <v>0</v>
      </c>
      <c r="AD2969">
        <f t="shared" si="187"/>
        <v>0</v>
      </c>
    </row>
    <row r="2970" spans="27:30" x14ac:dyDescent="0.3">
      <c r="AA2970">
        <f t="shared" si="184"/>
        <v>0</v>
      </c>
      <c r="AB2970">
        <f t="shared" si="185"/>
        <v>0</v>
      </c>
      <c r="AC2970">
        <f t="shared" si="186"/>
        <v>0</v>
      </c>
      <c r="AD2970">
        <f t="shared" si="187"/>
        <v>0</v>
      </c>
    </row>
    <row r="2971" spans="27:30" x14ac:dyDescent="0.3">
      <c r="AA2971">
        <f t="shared" si="184"/>
        <v>0</v>
      </c>
      <c r="AB2971">
        <f t="shared" si="185"/>
        <v>0</v>
      </c>
      <c r="AC2971">
        <f t="shared" si="186"/>
        <v>0</v>
      </c>
      <c r="AD2971">
        <f t="shared" si="187"/>
        <v>0</v>
      </c>
    </row>
    <row r="2972" spans="27:30" x14ac:dyDescent="0.3">
      <c r="AA2972">
        <f t="shared" si="184"/>
        <v>0</v>
      </c>
      <c r="AB2972">
        <f t="shared" si="185"/>
        <v>0</v>
      </c>
      <c r="AC2972">
        <f t="shared" si="186"/>
        <v>0</v>
      </c>
      <c r="AD2972">
        <f t="shared" si="187"/>
        <v>0</v>
      </c>
    </row>
    <row r="2973" spans="27:30" x14ac:dyDescent="0.3">
      <c r="AA2973">
        <f t="shared" si="184"/>
        <v>0</v>
      </c>
      <c r="AB2973">
        <f t="shared" si="185"/>
        <v>0</v>
      </c>
      <c r="AC2973">
        <f t="shared" si="186"/>
        <v>0</v>
      </c>
      <c r="AD2973">
        <f t="shared" si="187"/>
        <v>0</v>
      </c>
    </row>
    <row r="2974" spans="27:30" x14ac:dyDescent="0.3">
      <c r="AA2974">
        <f t="shared" si="184"/>
        <v>0</v>
      </c>
      <c r="AB2974">
        <f t="shared" si="185"/>
        <v>0</v>
      </c>
      <c r="AC2974">
        <f t="shared" si="186"/>
        <v>0</v>
      </c>
      <c r="AD2974">
        <f t="shared" si="187"/>
        <v>0</v>
      </c>
    </row>
    <row r="2975" spans="27:30" x14ac:dyDescent="0.3">
      <c r="AA2975">
        <f t="shared" si="184"/>
        <v>0</v>
      </c>
      <c r="AB2975">
        <f t="shared" si="185"/>
        <v>0</v>
      </c>
      <c r="AC2975">
        <f t="shared" si="186"/>
        <v>0</v>
      </c>
      <c r="AD2975">
        <f t="shared" si="187"/>
        <v>0</v>
      </c>
    </row>
    <row r="2976" spans="27:30" x14ac:dyDescent="0.3">
      <c r="AA2976">
        <f t="shared" si="184"/>
        <v>0</v>
      </c>
      <c r="AB2976">
        <f t="shared" si="185"/>
        <v>0</v>
      </c>
      <c r="AC2976">
        <f t="shared" si="186"/>
        <v>0</v>
      </c>
      <c r="AD2976">
        <f t="shared" si="187"/>
        <v>0</v>
      </c>
    </row>
    <row r="2977" spans="27:30" x14ac:dyDescent="0.3">
      <c r="AA2977">
        <f t="shared" si="184"/>
        <v>0</v>
      </c>
      <c r="AB2977">
        <f t="shared" si="185"/>
        <v>0</v>
      </c>
      <c r="AC2977">
        <f t="shared" si="186"/>
        <v>0</v>
      </c>
      <c r="AD2977">
        <f t="shared" si="187"/>
        <v>0</v>
      </c>
    </row>
    <row r="2978" spans="27:30" x14ac:dyDescent="0.3">
      <c r="AA2978">
        <f t="shared" si="184"/>
        <v>0</v>
      </c>
      <c r="AB2978">
        <f t="shared" si="185"/>
        <v>0</v>
      </c>
      <c r="AC2978">
        <f t="shared" si="186"/>
        <v>0</v>
      </c>
      <c r="AD2978">
        <f t="shared" si="187"/>
        <v>0</v>
      </c>
    </row>
    <row r="2979" spans="27:30" x14ac:dyDescent="0.3">
      <c r="AA2979">
        <f t="shared" si="184"/>
        <v>0</v>
      </c>
      <c r="AB2979">
        <f t="shared" si="185"/>
        <v>0</v>
      </c>
      <c r="AC2979">
        <f t="shared" si="186"/>
        <v>0</v>
      </c>
      <c r="AD2979">
        <f t="shared" si="187"/>
        <v>0</v>
      </c>
    </row>
    <row r="2980" spans="27:30" x14ac:dyDescent="0.3">
      <c r="AA2980">
        <f t="shared" si="184"/>
        <v>0</v>
      </c>
      <c r="AB2980">
        <f t="shared" si="185"/>
        <v>0</v>
      </c>
      <c r="AC2980">
        <f t="shared" si="186"/>
        <v>0</v>
      </c>
      <c r="AD2980">
        <f t="shared" si="187"/>
        <v>0</v>
      </c>
    </row>
    <row r="2981" spans="27:30" x14ac:dyDescent="0.3">
      <c r="AA2981">
        <f t="shared" si="184"/>
        <v>0</v>
      </c>
      <c r="AB2981">
        <f t="shared" si="185"/>
        <v>0</v>
      </c>
      <c r="AC2981">
        <f t="shared" si="186"/>
        <v>0</v>
      </c>
      <c r="AD2981">
        <f t="shared" si="187"/>
        <v>0</v>
      </c>
    </row>
    <row r="2982" spans="27:30" x14ac:dyDescent="0.3">
      <c r="AA2982">
        <f t="shared" si="184"/>
        <v>0</v>
      </c>
      <c r="AB2982">
        <f t="shared" si="185"/>
        <v>0</v>
      </c>
      <c r="AC2982">
        <f t="shared" si="186"/>
        <v>0</v>
      </c>
      <c r="AD2982">
        <f t="shared" si="187"/>
        <v>0</v>
      </c>
    </row>
    <row r="2983" spans="27:30" x14ac:dyDescent="0.3">
      <c r="AA2983">
        <f t="shared" si="184"/>
        <v>0</v>
      </c>
      <c r="AB2983">
        <f t="shared" si="185"/>
        <v>0</v>
      </c>
      <c r="AC2983">
        <f t="shared" si="186"/>
        <v>0</v>
      </c>
      <c r="AD2983">
        <f t="shared" si="187"/>
        <v>0</v>
      </c>
    </row>
    <row r="2984" spans="27:30" x14ac:dyDescent="0.3">
      <c r="AA2984">
        <f t="shared" si="184"/>
        <v>0</v>
      </c>
      <c r="AB2984">
        <f t="shared" si="185"/>
        <v>0</v>
      </c>
      <c r="AC2984">
        <f t="shared" si="186"/>
        <v>0</v>
      </c>
      <c r="AD2984">
        <f t="shared" si="187"/>
        <v>0</v>
      </c>
    </row>
    <row r="2985" spans="27:30" x14ac:dyDescent="0.3">
      <c r="AA2985">
        <f t="shared" si="184"/>
        <v>0</v>
      </c>
      <c r="AB2985">
        <f t="shared" si="185"/>
        <v>0</v>
      </c>
      <c r="AC2985">
        <f t="shared" si="186"/>
        <v>0</v>
      </c>
      <c r="AD2985">
        <f t="shared" si="187"/>
        <v>0</v>
      </c>
    </row>
    <row r="2986" spans="27:30" x14ac:dyDescent="0.3">
      <c r="AA2986">
        <f t="shared" si="184"/>
        <v>0</v>
      </c>
      <c r="AB2986">
        <f t="shared" si="185"/>
        <v>0</v>
      </c>
      <c r="AC2986">
        <f t="shared" si="186"/>
        <v>0</v>
      </c>
      <c r="AD2986">
        <f t="shared" si="187"/>
        <v>0</v>
      </c>
    </row>
    <row r="2987" spans="27:30" x14ac:dyDescent="0.3">
      <c r="AA2987">
        <f t="shared" si="184"/>
        <v>0</v>
      </c>
      <c r="AB2987">
        <f t="shared" si="185"/>
        <v>0</v>
      </c>
      <c r="AC2987">
        <f t="shared" si="186"/>
        <v>0</v>
      </c>
      <c r="AD2987">
        <f t="shared" si="187"/>
        <v>0</v>
      </c>
    </row>
    <row r="2988" spans="27:30" x14ac:dyDescent="0.3">
      <c r="AA2988">
        <f t="shared" si="184"/>
        <v>0</v>
      </c>
      <c r="AB2988">
        <f t="shared" si="185"/>
        <v>0</v>
      </c>
      <c r="AC2988">
        <f t="shared" si="186"/>
        <v>0</v>
      </c>
      <c r="AD2988">
        <f t="shared" si="187"/>
        <v>0</v>
      </c>
    </row>
    <row r="2989" spans="27:30" x14ac:dyDescent="0.3">
      <c r="AA2989">
        <f t="shared" si="184"/>
        <v>0</v>
      </c>
      <c r="AB2989">
        <f t="shared" si="185"/>
        <v>0</v>
      </c>
      <c r="AC2989">
        <f t="shared" si="186"/>
        <v>0</v>
      </c>
      <c r="AD2989">
        <f t="shared" si="187"/>
        <v>0</v>
      </c>
    </row>
    <row r="2990" spans="27:30" x14ac:dyDescent="0.3">
      <c r="AA2990">
        <f t="shared" si="184"/>
        <v>0</v>
      </c>
      <c r="AB2990">
        <f t="shared" si="185"/>
        <v>0</v>
      </c>
      <c r="AC2990">
        <f t="shared" si="186"/>
        <v>0</v>
      </c>
      <c r="AD2990">
        <f t="shared" si="187"/>
        <v>0</v>
      </c>
    </row>
    <row r="2991" spans="27:30" x14ac:dyDescent="0.3">
      <c r="AA2991">
        <f t="shared" si="184"/>
        <v>0</v>
      </c>
      <c r="AB2991">
        <f t="shared" si="185"/>
        <v>0</v>
      </c>
      <c r="AC2991">
        <f t="shared" si="186"/>
        <v>0</v>
      </c>
      <c r="AD2991">
        <f t="shared" si="187"/>
        <v>0</v>
      </c>
    </row>
    <row r="2992" spans="27:30" x14ac:dyDescent="0.3">
      <c r="AA2992">
        <f t="shared" si="184"/>
        <v>0</v>
      </c>
      <c r="AB2992">
        <f t="shared" si="185"/>
        <v>0</v>
      </c>
      <c r="AC2992">
        <f t="shared" si="186"/>
        <v>0</v>
      </c>
      <c r="AD2992">
        <f t="shared" si="187"/>
        <v>0</v>
      </c>
    </row>
    <row r="2993" spans="27:30" x14ac:dyDescent="0.3">
      <c r="AA2993">
        <f t="shared" si="184"/>
        <v>0</v>
      </c>
      <c r="AB2993">
        <f t="shared" si="185"/>
        <v>0</v>
      </c>
      <c r="AC2993">
        <f t="shared" si="186"/>
        <v>0</v>
      </c>
      <c r="AD2993">
        <f t="shared" si="187"/>
        <v>0</v>
      </c>
    </row>
    <row r="2994" spans="27:30" x14ac:dyDescent="0.3">
      <c r="AA2994">
        <f t="shared" si="184"/>
        <v>0</v>
      </c>
      <c r="AB2994">
        <f t="shared" si="185"/>
        <v>0</v>
      </c>
      <c r="AC2994">
        <f t="shared" si="186"/>
        <v>0</v>
      </c>
      <c r="AD2994">
        <f t="shared" si="187"/>
        <v>0</v>
      </c>
    </row>
    <row r="2995" spans="27:30" x14ac:dyDescent="0.3">
      <c r="AA2995">
        <f t="shared" si="184"/>
        <v>0</v>
      </c>
      <c r="AB2995">
        <f t="shared" si="185"/>
        <v>0</v>
      </c>
      <c r="AC2995">
        <f t="shared" si="186"/>
        <v>0</v>
      </c>
      <c r="AD2995">
        <f t="shared" si="187"/>
        <v>0</v>
      </c>
    </row>
    <row r="2996" spans="27:30" x14ac:dyDescent="0.3">
      <c r="AA2996">
        <f t="shared" si="184"/>
        <v>0</v>
      </c>
      <c r="AB2996">
        <f t="shared" si="185"/>
        <v>0</v>
      </c>
      <c r="AC2996">
        <f t="shared" si="186"/>
        <v>0</v>
      </c>
      <c r="AD2996">
        <f t="shared" si="187"/>
        <v>0</v>
      </c>
    </row>
    <row r="2997" spans="27:30" x14ac:dyDescent="0.3">
      <c r="AA2997">
        <f t="shared" si="184"/>
        <v>0</v>
      </c>
      <c r="AB2997">
        <f t="shared" si="185"/>
        <v>0</v>
      </c>
      <c r="AC2997">
        <f t="shared" si="186"/>
        <v>0</v>
      </c>
      <c r="AD2997">
        <f t="shared" si="187"/>
        <v>0</v>
      </c>
    </row>
    <row r="2998" spans="27:30" x14ac:dyDescent="0.3">
      <c r="AA2998">
        <f t="shared" si="184"/>
        <v>0</v>
      </c>
      <c r="AB2998">
        <f t="shared" si="185"/>
        <v>0</v>
      </c>
      <c r="AC2998">
        <f t="shared" si="186"/>
        <v>0</v>
      </c>
      <c r="AD2998">
        <f t="shared" si="187"/>
        <v>0</v>
      </c>
    </row>
    <row r="2999" spans="27:30" x14ac:dyDescent="0.3">
      <c r="AA2999">
        <f t="shared" si="184"/>
        <v>0</v>
      </c>
      <c r="AB2999">
        <f t="shared" si="185"/>
        <v>0</v>
      </c>
      <c r="AC2999">
        <f t="shared" si="186"/>
        <v>0</v>
      </c>
      <c r="AD2999">
        <f t="shared" si="187"/>
        <v>0</v>
      </c>
    </row>
    <row r="3000" spans="27:30" x14ac:dyDescent="0.3">
      <c r="AA3000">
        <f t="shared" si="184"/>
        <v>0</v>
      </c>
      <c r="AB3000">
        <f t="shared" si="185"/>
        <v>0</v>
      </c>
      <c r="AC3000">
        <f t="shared" si="186"/>
        <v>0</v>
      </c>
      <c r="AD3000">
        <f t="shared" si="187"/>
        <v>0</v>
      </c>
    </row>
    <row r="3001" spans="27:30" x14ac:dyDescent="0.3">
      <c r="AA3001">
        <f t="shared" si="184"/>
        <v>0</v>
      </c>
      <c r="AB3001">
        <f t="shared" si="185"/>
        <v>0</v>
      </c>
      <c r="AC3001">
        <f t="shared" si="186"/>
        <v>0</v>
      </c>
      <c r="AD3001">
        <f t="shared" si="187"/>
        <v>0</v>
      </c>
    </row>
    <row r="3002" spans="27:30" x14ac:dyDescent="0.3">
      <c r="AA3002">
        <f t="shared" si="184"/>
        <v>0</v>
      </c>
      <c r="AB3002">
        <f t="shared" si="185"/>
        <v>0</v>
      </c>
      <c r="AC3002">
        <f t="shared" si="186"/>
        <v>0</v>
      </c>
      <c r="AD3002">
        <f t="shared" si="187"/>
        <v>0</v>
      </c>
    </row>
    <row r="3003" spans="27:30" x14ac:dyDescent="0.3">
      <c r="AA3003">
        <f t="shared" si="184"/>
        <v>0</v>
      </c>
      <c r="AB3003">
        <f t="shared" si="185"/>
        <v>0</v>
      </c>
      <c r="AC3003">
        <f t="shared" si="186"/>
        <v>0</v>
      </c>
      <c r="AD3003">
        <f t="shared" si="187"/>
        <v>0</v>
      </c>
    </row>
    <row r="3004" spans="27:30" x14ac:dyDescent="0.3">
      <c r="AA3004">
        <f t="shared" si="184"/>
        <v>0</v>
      </c>
      <c r="AB3004">
        <f t="shared" si="185"/>
        <v>0</v>
      </c>
      <c r="AC3004">
        <f t="shared" si="186"/>
        <v>0</v>
      </c>
      <c r="AD3004">
        <f t="shared" si="187"/>
        <v>0</v>
      </c>
    </row>
    <row r="3005" spans="27:30" x14ac:dyDescent="0.3">
      <c r="AA3005">
        <f t="shared" si="184"/>
        <v>0</v>
      </c>
      <c r="AB3005">
        <f t="shared" si="185"/>
        <v>0</v>
      </c>
      <c r="AC3005">
        <f t="shared" si="186"/>
        <v>0</v>
      </c>
      <c r="AD3005">
        <f t="shared" si="187"/>
        <v>0</v>
      </c>
    </row>
    <row r="3006" spans="27:30" x14ac:dyDescent="0.3">
      <c r="AA3006">
        <f t="shared" si="184"/>
        <v>0</v>
      </c>
      <c r="AB3006">
        <f t="shared" si="185"/>
        <v>0</v>
      </c>
      <c r="AC3006">
        <f t="shared" si="186"/>
        <v>0</v>
      </c>
      <c r="AD3006">
        <f t="shared" si="187"/>
        <v>0</v>
      </c>
    </row>
    <row r="3007" spans="27:30" x14ac:dyDescent="0.3">
      <c r="AA3007">
        <f t="shared" si="184"/>
        <v>0</v>
      </c>
      <c r="AB3007">
        <f t="shared" si="185"/>
        <v>0</v>
      </c>
      <c r="AC3007">
        <f t="shared" si="186"/>
        <v>0</v>
      </c>
      <c r="AD3007">
        <f t="shared" si="187"/>
        <v>0</v>
      </c>
    </row>
    <row r="3008" spans="27:30" x14ac:dyDescent="0.3">
      <c r="AA3008">
        <f t="shared" si="184"/>
        <v>0</v>
      </c>
      <c r="AB3008">
        <f t="shared" si="185"/>
        <v>0</v>
      </c>
      <c r="AC3008">
        <f t="shared" si="186"/>
        <v>0</v>
      </c>
      <c r="AD3008">
        <f t="shared" si="187"/>
        <v>0</v>
      </c>
    </row>
    <row r="3009" spans="27:30" x14ac:dyDescent="0.3">
      <c r="AA3009">
        <f t="shared" si="184"/>
        <v>0</v>
      </c>
      <c r="AB3009">
        <f t="shared" si="185"/>
        <v>0</v>
      </c>
      <c r="AC3009">
        <f t="shared" si="186"/>
        <v>0</v>
      </c>
      <c r="AD3009">
        <f t="shared" si="187"/>
        <v>0</v>
      </c>
    </row>
    <row r="3010" spans="27:30" x14ac:dyDescent="0.3">
      <c r="AA3010">
        <f t="shared" si="184"/>
        <v>0</v>
      </c>
      <c r="AB3010">
        <f t="shared" si="185"/>
        <v>0</v>
      </c>
      <c r="AC3010">
        <f t="shared" si="186"/>
        <v>0</v>
      </c>
      <c r="AD3010">
        <f t="shared" si="187"/>
        <v>0</v>
      </c>
    </row>
    <row r="3011" spans="27:30" x14ac:dyDescent="0.3">
      <c r="AA3011">
        <f t="shared" si="184"/>
        <v>0</v>
      </c>
      <c r="AB3011">
        <f t="shared" si="185"/>
        <v>0</v>
      </c>
      <c r="AC3011">
        <f t="shared" si="186"/>
        <v>0</v>
      </c>
      <c r="AD3011">
        <f t="shared" si="187"/>
        <v>0</v>
      </c>
    </row>
    <row r="3012" spans="27:30" x14ac:dyDescent="0.3">
      <c r="AA3012">
        <f t="shared" si="184"/>
        <v>0</v>
      </c>
      <c r="AB3012">
        <f t="shared" si="185"/>
        <v>0</v>
      </c>
      <c r="AC3012">
        <f t="shared" si="186"/>
        <v>0</v>
      </c>
      <c r="AD3012">
        <f t="shared" si="187"/>
        <v>0</v>
      </c>
    </row>
    <row r="3013" spans="27:30" x14ac:dyDescent="0.3">
      <c r="AA3013">
        <f t="shared" ref="AA3013:AA3076" si="188">ROUND(Z3013,0)</f>
        <v>0</v>
      </c>
      <c r="AB3013">
        <f t="shared" ref="AB3013:AB3076" si="189">IF(AA3013=Y3013,0,1)</f>
        <v>0</v>
      </c>
      <c r="AC3013">
        <f t="shared" ref="AC3013:AC3076" si="190">IF(AA3013&lt;Y3013+5,IF(AA3013&gt;Y3013-5,0,1),1)</f>
        <v>0</v>
      </c>
      <c r="AD3013">
        <f t="shared" ref="AD3013:AD3076" si="191">IF(AA3013&lt;Y3013+10,IF(AA3013&gt;Y3013-10,0,1),1)</f>
        <v>0</v>
      </c>
    </row>
    <row r="3014" spans="27:30" x14ac:dyDescent="0.3">
      <c r="AA3014">
        <f t="shared" si="188"/>
        <v>0</v>
      </c>
      <c r="AB3014">
        <f t="shared" si="189"/>
        <v>0</v>
      </c>
      <c r="AC3014">
        <f t="shared" si="190"/>
        <v>0</v>
      </c>
      <c r="AD3014">
        <f t="shared" si="191"/>
        <v>0</v>
      </c>
    </row>
    <row r="3015" spans="27:30" x14ac:dyDescent="0.3">
      <c r="AA3015">
        <f t="shared" si="188"/>
        <v>0</v>
      </c>
      <c r="AB3015">
        <f t="shared" si="189"/>
        <v>0</v>
      </c>
      <c r="AC3015">
        <f t="shared" si="190"/>
        <v>0</v>
      </c>
      <c r="AD3015">
        <f t="shared" si="191"/>
        <v>0</v>
      </c>
    </row>
    <row r="3016" spans="27:30" x14ac:dyDescent="0.3">
      <c r="AA3016">
        <f t="shared" si="188"/>
        <v>0</v>
      </c>
      <c r="AB3016">
        <f t="shared" si="189"/>
        <v>0</v>
      </c>
      <c r="AC3016">
        <f t="shared" si="190"/>
        <v>0</v>
      </c>
      <c r="AD3016">
        <f t="shared" si="191"/>
        <v>0</v>
      </c>
    </row>
    <row r="3017" spans="27:30" x14ac:dyDescent="0.3">
      <c r="AA3017">
        <f t="shared" si="188"/>
        <v>0</v>
      </c>
      <c r="AB3017">
        <f t="shared" si="189"/>
        <v>0</v>
      </c>
      <c r="AC3017">
        <f t="shared" si="190"/>
        <v>0</v>
      </c>
      <c r="AD3017">
        <f t="shared" si="191"/>
        <v>0</v>
      </c>
    </row>
    <row r="3018" spans="27:30" x14ac:dyDescent="0.3">
      <c r="AA3018">
        <f t="shared" si="188"/>
        <v>0</v>
      </c>
      <c r="AB3018">
        <f t="shared" si="189"/>
        <v>0</v>
      </c>
      <c r="AC3018">
        <f t="shared" si="190"/>
        <v>0</v>
      </c>
      <c r="AD3018">
        <f t="shared" si="191"/>
        <v>0</v>
      </c>
    </row>
    <row r="3019" spans="27:30" x14ac:dyDescent="0.3">
      <c r="AA3019">
        <f t="shared" si="188"/>
        <v>0</v>
      </c>
      <c r="AB3019">
        <f t="shared" si="189"/>
        <v>0</v>
      </c>
      <c r="AC3019">
        <f t="shared" si="190"/>
        <v>0</v>
      </c>
      <c r="AD3019">
        <f t="shared" si="191"/>
        <v>0</v>
      </c>
    </row>
    <row r="3020" spans="27:30" x14ac:dyDescent="0.3">
      <c r="AA3020">
        <f t="shared" si="188"/>
        <v>0</v>
      </c>
      <c r="AB3020">
        <f t="shared" si="189"/>
        <v>0</v>
      </c>
      <c r="AC3020">
        <f t="shared" si="190"/>
        <v>0</v>
      </c>
      <c r="AD3020">
        <f t="shared" si="191"/>
        <v>0</v>
      </c>
    </row>
    <row r="3021" spans="27:30" x14ac:dyDescent="0.3">
      <c r="AA3021">
        <f t="shared" si="188"/>
        <v>0</v>
      </c>
      <c r="AB3021">
        <f t="shared" si="189"/>
        <v>0</v>
      </c>
      <c r="AC3021">
        <f t="shared" si="190"/>
        <v>0</v>
      </c>
      <c r="AD3021">
        <f t="shared" si="191"/>
        <v>0</v>
      </c>
    </row>
    <row r="3022" spans="27:30" x14ac:dyDescent="0.3">
      <c r="AA3022">
        <f t="shared" si="188"/>
        <v>0</v>
      </c>
      <c r="AB3022">
        <f t="shared" si="189"/>
        <v>0</v>
      </c>
      <c r="AC3022">
        <f t="shared" si="190"/>
        <v>0</v>
      </c>
      <c r="AD3022">
        <f t="shared" si="191"/>
        <v>0</v>
      </c>
    </row>
    <row r="3023" spans="27:30" x14ac:dyDescent="0.3">
      <c r="AA3023">
        <f t="shared" si="188"/>
        <v>0</v>
      </c>
      <c r="AB3023">
        <f t="shared" si="189"/>
        <v>0</v>
      </c>
      <c r="AC3023">
        <f t="shared" si="190"/>
        <v>0</v>
      </c>
      <c r="AD3023">
        <f t="shared" si="191"/>
        <v>0</v>
      </c>
    </row>
    <row r="3024" spans="27:30" x14ac:dyDescent="0.3">
      <c r="AA3024">
        <f t="shared" si="188"/>
        <v>0</v>
      </c>
      <c r="AB3024">
        <f t="shared" si="189"/>
        <v>0</v>
      </c>
      <c r="AC3024">
        <f t="shared" si="190"/>
        <v>0</v>
      </c>
      <c r="AD3024">
        <f t="shared" si="191"/>
        <v>0</v>
      </c>
    </row>
    <row r="3025" spans="27:30" x14ac:dyDescent="0.3">
      <c r="AA3025">
        <f t="shared" si="188"/>
        <v>0</v>
      </c>
      <c r="AB3025">
        <f t="shared" si="189"/>
        <v>0</v>
      </c>
      <c r="AC3025">
        <f t="shared" si="190"/>
        <v>0</v>
      </c>
      <c r="AD3025">
        <f t="shared" si="191"/>
        <v>0</v>
      </c>
    </row>
    <row r="3026" spans="27:30" x14ac:dyDescent="0.3">
      <c r="AA3026">
        <f t="shared" si="188"/>
        <v>0</v>
      </c>
      <c r="AB3026">
        <f t="shared" si="189"/>
        <v>0</v>
      </c>
      <c r="AC3026">
        <f t="shared" si="190"/>
        <v>0</v>
      </c>
      <c r="AD3026">
        <f t="shared" si="191"/>
        <v>0</v>
      </c>
    </row>
    <row r="3027" spans="27:30" x14ac:dyDescent="0.3">
      <c r="AA3027">
        <f t="shared" si="188"/>
        <v>0</v>
      </c>
      <c r="AB3027">
        <f t="shared" si="189"/>
        <v>0</v>
      </c>
      <c r="AC3027">
        <f t="shared" si="190"/>
        <v>0</v>
      </c>
      <c r="AD3027">
        <f t="shared" si="191"/>
        <v>0</v>
      </c>
    </row>
    <row r="3028" spans="27:30" x14ac:dyDescent="0.3">
      <c r="AA3028">
        <f t="shared" si="188"/>
        <v>0</v>
      </c>
      <c r="AB3028">
        <f t="shared" si="189"/>
        <v>0</v>
      </c>
      <c r="AC3028">
        <f t="shared" si="190"/>
        <v>0</v>
      </c>
      <c r="AD3028">
        <f t="shared" si="191"/>
        <v>0</v>
      </c>
    </row>
    <row r="3029" spans="27:30" x14ac:dyDescent="0.3">
      <c r="AA3029">
        <f t="shared" si="188"/>
        <v>0</v>
      </c>
      <c r="AB3029">
        <f t="shared" si="189"/>
        <v>0</v>
      </c>
      <c r="AC3029">
        <f t="shared" si="190"/>
        <v>0</v>
      </c>
      <c r="AD3029">
        <f t="shared" si="191"/>
        <v>0</v>
      </c>
    </row>
    <row r="3030" spans="27:30" x14ac:dyDescent="0.3">
      <c r="AA3030">
        <f t="shared" si="188"/>
        <v>0</v>
      </c>
      <c r="AB3030">
        <f t="shared" si="189"/>
        <v>0</v>
      </c>
      <c r="AC3030">
        <f t="shared" si="190"/>
        <v>0</v>
      </c>
      <c r="AD3030">
        <f t="shared" si="191"/>
        <v>0</v>
      </c>
    </row>
    <row r="3031" spans="27:30" x14ac:dyDescent="0.3">
      <c r="AA3031">
        <f t="shared" si="188"/>
        <v>0</v>
      </c>
      <c r="AB3031">
        <f t="shared" si="189"/>
        <v>0</v>
      </c>
      <c r="AC3031">
        <f t="shared" si="190"/>
        <v>0</v>
      </c>
      <c r="AD3031">
        <f t="shared" si="191"/>
        <v>0</v>
      </c>
    </row>
    <row r="3032" spans="27:30" x14ac:dyDescent="0.3">
      <c r="AA3032">
        <f t="shared" si="188"/>
        <v>0</v>
      </c>
      <c r="AB3032">
        <f t="shared" si="189"/>
        <v>0</v>
      </c>
      <c r="AC3032">
        <f t="shared" si="190"/>
        <v>0</v>
      </c>
      <c r="AD3032">
        <f t="shared" si="191"/>
        <v>0</v>
      </c>
    </row>
    <row r="3033" spans="27:30" x14ac:dyDescent="0.3">
      <c r="AA3033">
        <f t="shared" si="188"/>
        <v>0</v>
      </c>
      <c r="AB3033">
        <f t="shared" si="189"/>
        <v>0</v>
      </c>
      <c r="AC3033">
        <f t="shared" si="190"/>
        <v>0</v>
      </c>
      <c r="AD3033">
        <f t="shared" si="191"/>
        <v>0</v>
      </c>
    </row>
    <row r="3034" spans="27:30" x14ac:dyDescent="0.3">
      <c r="AA3034">
        <f t="shared" si="188"/>
        <v>0</v>
      </c>
      <c r="AB3034">
        <f t="shared" si="189"/>
        <v>0</v>
      </c>
      <c r="AC3034">
        <f t="shared" si="190"/>
        <v>0</v>
      </c>
      <c r="AD3034">
        <f t="shared" si="191"/>
        <v>0</v>
      </c>
    </row>
    <row r="3035" spans="27:30" x14ac:dyDescent="0.3">
      <c r="AA3035">
        <f t="shared" si="188"/>
        <v>0</v>
      </c>
      <c r="AB3035">
        <f t="shared" si="189"/>
        <v>0</v>
      </c>
      <c r="AC3035">
        <f t="shared" si="190"/>
        <v>0</v>
      </c>
      <c r="AD3035">
        <f t="shared" si="191"/>
        <v>0</v>
      </c>
    </row>
    <row r="3036" spans="27:30" x14ac:dyDescent="0.3">
      <c r="AA3036">
        <f t="shared" si="188"/>
        <v>0</v>
      </c>
      <c r="AB3036">
        <f t="shared" si="189"/>
        <v>0</v>
      </c>
      <c r="AC3036">
        <f t="shared" si="190"/>
        <v>0</v>
      </c>
      <c r="AD3036">
        <f t="shared" si="191"/>
        <v>0</v>
      </c>
    </row>
    <row r="3037" spans="27:30" x14ac:dyDescent="0.3">
      <c r="AA3037">
        <f t="shared" si="188"/>
        <v>0</v>
      </c>
      <c r="AB3037">
        <f t="shared" si="189"/>
        <v>0</v>
      </c>
      <c r="AC3037">
        <f t="shared" si="190"/>
        <v>0</v>
      </c>
      <c r="AD3037">
        <f t="shared" si="191"/>
        <v>0</v>
      </c>
    </row>
    <row r="3038" spans="27:30" x14ac:dyDescent="0.3">
      <c r="AA3038">
        <f t="shared" si="188"/>
        <v>0</v>
      </c>
      <c r="AB3038">
        <f t="shared" si="189"/>
        <v>0</v>
      </c>
      <c r="AC3038">
        <f t="shared" si="190"/>
        <v>0</v>
      </c>
      <c r="AD3038">
        <f t="shared" si="191"/>
        <v>0</v>
      </c>
    </row>
    <row r="3039" spans="27:30" x14ac:dyDescent="0.3">
      <c r="AA3039">
        <f t="shared" si="188"/>
        <v>0</v>
      </c>
      <c r="AB3039">
        <f t="shared" si="189"/>
        <v>0</v>
      </c>
      <c r="AC3039">
        <f t="shared" si="190"/>
        <v>0</v>
      </c>
      <c r="AD3039">
        <f t="shared" si="191"/>
        <v>0</v>
      </c>
    </row>
    <row r="3040" spans="27:30" x14ac:dyDescent="0.3">
      <c r="AA3040">
        <f t="shared" si="188"/>
        <v>0</v>
      </c>
      <c r="AB3040">
        <f t="shared" si="189"/>
        <v>0</v>
      </c>
      <c r="AC3040">
        <f t="shared" si="190"/>
        <v>0</v>
      </c>
      <c r="AD3040">
        <f t="shared" si="191"/>
        <v>0</v>
      </c>
    </row>
    <row r="3041" spans="27:30" x14ac:dyDescent="0.3">
      <c r="AA3041">
        <f t="shared" si="188"/>
        <v>0</v>
      </c>
      <c r="AB3041">
        <f t="shared" si="189"/>
        <v>0</v>
      </c>
      <c r="AC3041">
        <f t="shared" si="190"/>
        <v>0</v>
      </c>
      <c r="AD3041">
        <f t="shared" si="191"/>
        <v>0</v>
      </c>
    </row>
    <row r="3042" spans="27:30" x14ac:dyDescent="0.3">
      <c r="AA3042">
        <f t="shared" si="188"/>
        <v>0</v>
      </c>
      <c r="AB3042">
        <f t="shared" si="189"/>
        <v>0</v>
      </c>
      <c r="AC3042">
        <f t="shared" si="190"/>
        <v>0</v>
      </c>
      <c r="AD3042">
        <f t="shared" si="191"/>
        <v>0</v>
      </c>
    </row>
    <row r="3043" spans="27:30" x14ac:dyDescent="0.3">
      <c r="AA3043">
        <f t="shared" si="188"/>
        <v>0</v>
      </c>
      <c r="AB3043">
        <f t="shared" si="189"/>
        <v>0</v>
      </c>
      <c r="AC3043">
        <f t="shared" si="190"/>
        <v>0</v>
      </c>
      <c r="AD3043">
        <f t="shared" si="191"/>
        <v>0</v>
      </c>
    </row>
    <row r="3044" spans="27:30" x14ac:dyDescent="0.3">
      <c r="AA3044">
        <f t="shared" si="188"/>
        <v>0</v>
      </c>
      <c r="AB3044">
        <f t="shared" si="189"/>
        <v>0</v>
      </c>
      <c r="AC3044">
        <f t="shared" si="190"/>
        <v>0</v>
      </c>
      <c r="AD3044">
        <f t="shared" si="191"/>
        <v>0</v>
      </c>
    </row>
    <row r="3045" spans="27:30" x14ac:dyDescent="0.3">
      <c r="AA3045">
        <f t="shared" si="188"/>
        <v>0</v>
      </c>
      <c r="AB3045">
        <f t="shared" si="189"/>
        <v>0</v>
      </c>
      <c r="AC3045">
        <f t="shared" si="190"/>
        <v>0</v>
      </c>
      <c r="AD3045">
        <f t="shared" si="191"/>
        <v>0</v>
      </c>
    </row>
    <row r="3046" spans="27:30" x14ac:dyDescent="0.3">
      <c r="AA3046">
        <f t="shared" si="188"/>
        <v>0</v>
      </c>
      <c r="AB3046">
        <f t="shared" si="189"/>
        <v>0</v>
      </c>
      <c r="AC3046">
        <f t="shared" si="190"/>
        <v>0</v>
      </c>
      <c r="AD3046">
        <f t="shared" si="191"/>
        <v>0</v>
      </c>
    </row>
    <row r="3047" spans="27:30" x14ac:dyDescent="0.3">
      <c r="AA3047">
        <f t="shared" si="188"/>
        <v>0</v>
      </c>
      <c r="AB3047">
        <f t="shared" si="189"/>
        <v>0</v>
      </c>
      <c r="AC3047">
        <f t="shared" si="190"/>
        <v>0</v>
      </c>
      <c r="AD3047">
        <f t="shared" si="191"/>
        <v>0</v>
      </c>
    </row>
    <row r="3048" spans="27:30" x14ac:dyDescent="0.3">
      <c r="AA3048">
        <f t="shared" si="188"/>
        <v>0</v>
      </c>
      <c r="AB3048">
        <f t="shared" si="189"/>
        <v>0</v>
      </c>
      <c r="AC3048">
        <f t="shared" si="190"/>
        <v>0</v>
      </c>
      <c r="AD3048">
        <f t="shared" si="191"/>
        <v>0</v>
      </c>
    </row>
    <row r="3049" spans="27:30" x14ac:dyDescent="0.3">
      <c r="AA3049">
        <f t="shared" si="188"/>
        <v>0</v>
      </c>
      <c r="AB3049">
        <f t="shared" si="189"/>
        <v>0</v>
      </c>
      <c r="AC3049">
        <f t="shared" si="190"/>
        <v>0</v>
      </c>
      <c r="AD3049">
        <f t="shared" si="191"/>
        <v>0</v>
      </c>
    </row>
    <row r="3050" spans="27:30" x14ac:dyDescent="0.3">
      <c r="AA3050">
        <f t="shared" si="188"/>
        <v>0</v>
      </c>
      <c r="AB3050">
        <f t="shared" si="189"/>
        <v>0</v>
      </c>
      <c r="AC3050">
        <f t="shared" si="190"/>
        <v>0</v>
      </c>
      <c r="AD3050">
        <f t="shared" si="191"/>
        <v>0</v>
      </c>
    </row>
    <row r="3051" spans="27:30" x14ac:dyDescent="0.3">
      <c r="AA3051">
        <f t="shared" si="188"/>
        <v>0</v>
      </c>
      <c r="AB3051">
        <f t="shared" si="189"/>
        <v>0</v>
      </c>
      <c r="AC3051">
        <f t="shared" si="190"/>
        <v>0</v>
      </c>
      <c r="AD3051">
        <f t="shared" si="191"/>
        <v>0</v>
      </c>
    </row>
    <row r="3052" spans="27:30" x14ac:dyDescent="0.3">
      <c r="AA3052">
        <f t="shared" si="188"/>
        <v>0</v>
      </c>
      <c r="AB3052">
        <f t="shared" si="189"/>
        <v>0</v>
      </c>
      <c r="AC3052">
        <f t="shared" si="190"/>
        <v>0</v>
      </c>
      <c r="AD3052">
        <f t="shared" si="191"/>
        <v>0</v>
      </c>
    </row>
    <row r="3053" spans="27:30" x14ac:dyDescent="0.3">
      <c r="AA3053">
        <f t="shared" si="188"/>
        <v>0</v>
      </c>
      <c r="AB3053">
        <f t="shared" si="189"/>
        <v>0</v>
      </c>
      <c r="AC3053">
        <f t="shared" si="190"/>
        <v>0</v>
      </c>
      <c r="AD3053">
        <f t="shared" si="191"/>
        <v>0</v>
      </c>
    </row>
    <row r="3054" spans="27:30" x14ac:dyDescent="0.3">
      <c r="AA3054">
        <f t="shared" si="188"/>
        <v>0</v>
      </c>
      <c r="AB3054">
        <f t="shared" si="189"/>
        <v>0</v>
      </c>
      <c r="AC3054">
        <f t="shared" si="190"/>
        <v>0</v>
      </c>
      <c r="AD3054">
        <f t="shared" si="191"/>
        <v>0</v>
      </c>
    </row>
    <row r="3055" spans="27:30" x14ac:dyDescent="0.3">
      <c r="AA3055">
        <f t="shared" si="188"/>
        <v>0</v>
      </c>
      <c r="AB3055">
        <f t="shared" si="189"/>
        <v>0</v>
      </c>
      <c r="AC3055">
        <f t="shared" si="190"/>
        <v>0</v>
      </c>
      <c r="AD3055">
        <f t="shared" si="191"/>
        <v>0</v>
      </c>
    </row>
    <row r="3056" spans="27:30" x14ac:dyDescent="0.3">
      <c r="AA3056">
        <f t="shared" si="188"/>
        <v>0</v>
      </c>
      <c r="AB3056">
        <f t="shared" si="189"/>
        <v>0</v>
      </c>
      <c r="AC3056">
        <f t="shared" si="190"/>
        <v>0</v>
      </c>
      <c r="AD3056">
        <f t="shared" si="191"/>
        <v>0</v>
      </c>
    </row>
    <row r="3057" spans="27:30" x14ac:dyDescent="0.3">
      <c r="AA3057">
        <f t="shared" si="188"/>
        <v>0</v>
      </c>
      <c r="AB3057">
        <f t="shared" si="189"/>
        <v>0</v>
      </c>
      <c r="AC3057">
        <f t="shared" si="190"/>
        <v>0</v>
      </c>
      <c r="AD3057">
        <f t="shared" si="191"/>
        <v>0</v>
      </c>
    </row>
    <row r="3058" spans="27:30" x14ac:dyDescent="0.3">
      <c r="AA3058">
        <f t="shared" si="188"/>
        <v>0</v>
      </c>
      <c r="AB3058">
        <f t="shared" si="189"/>
        <v>0</v>
      </c>
      <c r="AC3058">
        <f t="shared" si="190"/>
        <v>0</v>
      </c>
      <c r="AD3058">
        <f t="shared" si="191"/>
        <v>0</v>
      </c>
    </row>
    <row r="3059" spans="27:30" x14ac:dyDescent="0.3">
      <c r="AA3059">
        <f t="shared" si="188"/>
        <v>0</v>
      </c>
      <c r="AB3059">
        <f t="shared" si="189"/>
        <v>0</v>
      </c>
      <c r="AC3059">
        <f t="shared" si="190"/>
        <v>0</v>
      </c>
      <c r="AD3059">
        <f t="shared" si="191"/>
        <v>0</v>
      </c>
    </row>
    <row r="3060" spans="27:30" x14ac:dyDescent="0.3">
      <c r="AA3060">
        <f t="shared" si="188"/>
        <v>0</v>
      </c>
      <c r="AB3060">
        <f t="shared" si="189"/>
        <v>0</v>
      </c>
      <c r="AC3060">
        <f t="shared" si="190"/>
        <v>0</v>
      </c>
      <c r="AD3060">
        <f t="shared" si="191"/>
        <v>0</v>
      </c>
    </row>
    <row r="3061" spans="27:30" x14ac:dyDescent="0.3">
      <c r="AA3061">
        <f t="shared" si="188"/>
        <v>0</v>
      </c>
      <c r="AB3061">
        <f t="shared" si="189"/>
        <v>0</v>
      </c>
      <c r="AC3061">
        <f t="shared" si="190"/>
        <v>0</v>
      </c>
      <c r="AD3061">
        <f t="shared" si="191"/>
        <v>0</v>
      </c>
    </row>
    <row r="3062" spans="27:30" x14ac:dyDescent="0.3">
      <c r="AA3062">
        <f t="shared" si="188"/>
        <v>0</v>
      </c>
      <c r="AB3062">
        <f t="shared" si="189"/>
        <v>0</v>
      </c>
      <c r="AC3062">
        <f t="shared" si="190"/>
        <v>0</v>
      </c>
      <c r="AD3062">
        <f t="shared" si="191"/>
        <v>0</v>
      </c>
    </row>
    <row r="3063" spans="27:30" x14ac:dyDescent="0.3">
      <c r="AA3063">
        <f t="shared" si="188"/>
        <v>0</v>
      </c>
      <c r="AB3063">
        <f t="shared" si="189"/>
        <v>0</v>
      </c>
      <c r="AC3063">
        <f t="shared" si="190"/>
        <v>0</v>
      </c>
      <c r="AD3063">
        <f t="shared" si="191"/>
        <v>0</v>
      </c>
    </row>
    <row r="3064" spans="27:30" x14ac:dyDescent="0.3">
      <c r="AA3064">
        <f t="shared" si="188"/>
        <v>0</v>
      </c>
      <c r="AB3064">
        <f t="shared" si="189"/>
        <v>0</v>
      </c>
      <c r="AC3064">
        <f t="shared" si="190"/>
        <v>0</v>
      </c>
      <c r="AD3064">
        <f t="shared" si="191"/>
        <v>0</v>
      </c>
    </row>
    <row r="3065" spans="27:30" x14ac:dyDescent="0.3">
      <c r="AA3065">
        <f t="shared" si="188"/>
        <v>0</v>
      </c>
      <c r="AB3065">
        <f t="shared" si="189"/>
        <v>0</v>
      </c>
      <c r="AC3065">
        <f t="shared" si="190"/>
        <v>0</v>
      </c>
      <c r="AD3065">
        <f t="shared" si="191"/>
        <v>0</v>
      </c>
    </row>
    <row r="3066" spans="27:30" x14ac:dyDescent="0.3">
      <c r="AA3066">
        <f t="shared" si="188"/>
        <v>0</v>
      </c>
      <c r="AB3066">
        <f t="shared" si="189"/>
        <v>0</v>
      </c>
      <c r="AC3066">
        <f t="shared" si="190"/>
        <v>0</v>
      </c>
      <c r="AD3066">
        <f t="shared" si="191"/>
        <v>0</v>
      </c>
    </row>
    <row r="3067" spans="27:30" x14ac:dyDescent="0.3">
      <c r="AA3067">
        <f t="shared" si="188"/>
        <v>0</v>
      </c>
      <c r="AB3067">
        <f t="shared" si="189"/>
        <v>0</v>
      </c>
      <c r="AC3067">
        <f t="shared" si="190"/>
        <v>0</v>
      </c>
      <c r="AD3067">
        <f t="shared" si="191"/>
        <v>0</v>
      </c>
    </row>
    <row r="3068" spans="27:30" x14ac:dyDescent="0.3">
      <c r="AA3068">
        <f t="shared" si="188"/>
        <v>0</v>
      </c>
      <c r="AB3068">
        <f t="shared" si="189"/>
        <v>0</v>
      </c>
      <c r="AC3068">
        <f t="shared" si="190"/>
        <v>0</v>
      </c>
      <c r="AD3068">
        <f t="shared" si="191"/>
        <v>0</v>
      </c>
    </row>
    <row r="3069" spans="27:30" x14ac:dyDescent="0.3">
      <c r="AA3069">
        <f t="shared" si="188"/>
        <v>0</v>
      </c>
      <c r="AB3069">
        <f t="shared" si="189"/>
        <v>0</v>
      </c>
      <c r="AC3069">
        <f t="shared" si="190"/>
        <v>0</v>
      </c>
      <c r="AD3069">
        <f t="shared" si="191"/>
        <v>0</v>
      </c>
    </row>
    <row r="3070" spans="27:30" x14ac:dyDescent="0.3">
      <c r="AA3070">
        <f t="shared" si="188"/>
        <v>0</v>
      </c>
      <c r="AB3070">
        <f t="shared" si="189"/>
        <v>0</v>
      </c>
      <c r="AC3070">
        <f t="shared" si="190"/>
        <v>0</v>
      </c>
      <c r="AD3070">
        <f t="shared" si="191"/>
        <v>0</v>
      </c>
    </row>
    <row r="3071" spans="27:30" x14ac:dyDescent="0.3">
      <c r="AA3071">
        <f t="shared" si="188"/>
        <v>0</v>
      </c>
      <c r="AB3071">
        <f t="shared" si="189"/>
        <v>0</v>
      </c>
      <c r="AC3071">
        <f t="shared" si="190"/>
        <v>0</v>
      </c>
      <c r="AD3071">
        <f t="shared" si="191"/>
        <v>0</v>
      </c>
    </row>
    <row r="3072" spans="27:30" x14ac:dyDescent="0.3">
      <c r="AA3072">
        <f t="shared" si="188"/>
        <v>0</v>
      </c>
      <c r="AB3072">
        <f t="shared" si="189"/>
        <v>0</v>
      </c>
      <c r="AC3072">
        <f t="shared" si="190"/>
        <v>0</v>
      </c>
      <c r="AD3072">
        <f t="shared" si="191"/>
        <v>0</v>
      </c>
    </row>
    <row r="3073" spans="27:30" x14ac:dyDescent="0.3">
      <c r="AA3073">
        <f t="shared" si="188"/>
        <v>0</v>
      </c>
      <c r="AB3073">
        <f t="shared" si="189"/>
        <v>0</v>
      </c>
      <c r="AC3073">
        <f t="shared" si="190"/>
        <v>0</v>
      </c>
      <c r="AD3073">
        <f t="shared" si="191"/>
        <v>0</v>
      </c>
    </row>
    <row r="3074" spans="27:30" x14ac:dyDescent="0.3">
      <c r="AA3074">
        <f t="shared" si="188"/>
        <v>0</v>
      </c>
      <c r="AB3074">
        <f t="shared" si="189"/>
        <v>0</v>
      </c>
      <c r="AC3074">
        <f t="shared" si="190"/>
        <v>0</v>
      </c>
      <c r="AD3074">
        <f t="shared" si="191"/>
        <v>0</v>
      </c>
    </row>
    <row r="3075" spans="27:30" x14ac:dyDescent="0.3">
      <c r="AA3075">
        <f t="shared" si="188"/>
        <v>0</v>
      </c>
      <c r="AB3075">
        <f t="shared" si="189"/>
        <v>0</v>
      </c>
      <c r="AC3075">
        <f t="shared" si="190"/>
        <v>0</v>
      </c>
      <c r="AD3075">
        <f t="shared" si="191"/>
        <v>0</v>
      </c>
    </row>
    <row r="3076" spans="27:30" x14ac:dyDescent="0.3">
      <c r="AA3076">
        <f t="shared" si="188"/>
        <v>0</v>
      </c>
      <c r="AB3076">
        <f t="shared" si="189"/>
        <v>0</v>
      </c>
      <c r="AC3076">
        <f t="shared" si="190"/>
        <v>0</v>
      </c>
      <c r="AD3076">
        <f t="shared" si="191"/>
        <v>0</v>
      </c>
    </row>
    <row r="3077" spans="27:30" x14ac:dyDescent="0.3">
      <c r="AA3077">
        <f t="shared" ref="AA3077:AA3140" si="192">ROUND(Z3077,0)</f>
        <v>0</v>
      </c>
      <c r="AB3077">
        <f t="shared" ref="AB3077:AB3140" si="193">IF(AA3077=Y3077,0,1)</f>
        <v>0</v>
      </c>
      <c r="AC3077">
        <f t="shared" ref="AC3077:AC3140" si="194">IF(AA3077&lt;Y3077+5,IF(AA3077&gt;Y3077-5,0,1),1)</f>
        <v>0</v>
      </c>
      <c r="AD3077">
        <f t="shared" ref="AD3077:AD3140" si="195">IF(AA3077&lt;Y3077+10,IF(AA3077&gt;Y3077-10,0,1),1)</f>
        <v>0</v>
      </c>
    </row>
    <row r="3078" spans="27:30" x14ac:dyDescent="0.3">
      <c r="AA3078">
        <f t="shared" si="192"/>
        <v>0</v>
      </c>
      <c r="AB3078">
        <f t="shared" si="193"/>
        <v>0</v>
      </c>
      <c r="AC3078">
        <f t="shared" si="194"/>
        <v>0</v>
      </c>
      <c r="AD3078">
        <f t="shared" si="195"/>
        <v>0</v>
      </c>
    </row>
    <row r="3079" spans="27:30" x14ac:dyDescent="0.3">
      <c r="AA3079">
        <f t="shared" si="192"/>
        <v>0</v>
      </c>
      <c r="AB3079">
        <f t="shared" si="193"/>
        <v>0</v>
      </c>
      <c r="AC3079">
        <f t="shared" si="194"/>
        <v>0</v>
      </c>
      <c r="AD3079">
        <f t="shared" si="195"/>
        <v>0</v>
      </c>
    </row>
    <row r="3080" spans="27:30" x14ac:dyDescent="0.3">
      <c r="AA3080">
        <f t="shared" si="192"/>
        <v>0</v>
      </c>
      <c r="AB3080">
        <f t="shared" si="193"/>
        <v>0</v>
      </c>
      <c r="AC3080">
        <f t="shared" si="194"/>
        <v>0</v>
      </c>
      <c r="AD3080">
        <f t="shared" si="195"/>
        <v>0</v>
      </c>
    </row>
    <row r="3081" spans="27:30" x14ac:dyDescent="0.3">
      <c r="AA3081">
        <f t="shared" si="192"/>
        <v>0</v>
      </c>
      <c r="AB3081">
        <f t="shared" si="193"/>
        <v>0</v>
      </c>
      <c r="AC3081">
        <f t="shared" si="194"/>
        <v>0</v>
      </c>
      <c r="AD3081">
        <f t="shared" si="195"/>
        <v>0</v>
      </c>
    </row>
    <row r="3082" spans="27:30" x14ac:dyDescent="0.3">
      <c r="AA3082">
        <f t="shared" si="192"/>
        <v>0</v>
      </c>
      <c r="AB3082">
        <f t="shared" si="193"/>
        <v>0</v>
      </c>
      <c r="AC3082">
        <f t="shared" si="194"/>
        <v>0</v>
      </c>
      <c r="AD3082">
        <f t="shared" si="195"/>
        <v>0</v>
      </c>
    </row>
    <row r="3083" spans="27:30" x14ac:dyDescent="0.3">
      <c r="AA3083">
        <f t="shared" si="192"/>
        <v>0</v>
      </c>
      <c r="AB3083">
        <f t="shared" si="193"/>
        <v>0</v>
      </c>
      <c r="AC3083">
        <f t="shared" si="194"/>
        <v>0</v>
      </c>
      <c r="AD3083">
        <f t="shared" si="195"/>
        <v>0</v>
      </c>
    </row>
    <row r="3084" spans="27:30" x14ac:dyDescent="0.3">
      <c r="AA3084">
        <f t="shared" si="192"/>
        <v>0</v>
      </c>
      <c r="AB3084">
        <f t="shared" si="193"/>
        <v>0</v>
      </c>
      <c r="AC3084">
        <f t="shared" si="194"/>
        <v>0</v>
      </c>
      <c r="AD3084">
        <f t="shared" si="195"/>
        <v>0</v>
      </c>
    </row>
    <row r="3085" spans="27:30" x14ac:dyDescent="0.3">
      <c r="AA3085">
        <f t="shared" si="192"/>
        <v>0</v>
      </c>
      <c r="AB3085">
        <f t="shared" si="193"/>
        <v>0</v>
      </c>
      <c r="AC3085">
        <f t="shared" si="194"/>
        <v>0</v>
      </c>
      <c r="AD3085">
        <f t="shared" si="195"/>
        <v>0</v>
      </c>
    </row>
    <row r="3086" spans="27:30" x14ac:dyDescent="0.3">
      <c r="AA3086">
        <f t="shared" si="192"/>
        <v>0</v>
      </c>
      <c r="AB3086">
        <f t="shared" si="193"/>
        <v>0</v>
      </c>
      <c r="AC3086">
        <f t="shared" si="194"/>
        <v>0</v>
      </c>
      <c r="AD3086">
        <f t="shared" si="195"/>
        <v>0</v>
      </c>
    </row>
    <row r="3087" spans="27:30" x14ac:dyDescent="0.3">
      <c r="AA3087">
        <f t="shared" si="192"/>
        <v>0</v>
      </c>
      <c r="AB3087">
        <f t="shared" si="193"/>
        <v>0</v>
      </c>
      <c r="AC3087">
        <f t="shared" si="194"/>
        <v>0</v>
      </c>
      <c r="AD3087">
        <f t="shared" si="195"/>
        <v>0</v>
      </c>
    </row>
    <row r="3088" spans="27:30" x14ac:dyDescent="0.3">
      <c r="AA3088">
        <f t="shared" si="192"/>
        <v>0</v>
      </c>
      <c r="AB3088">
        <f t="shared" si="193"/>
        <v>0</v>
      </c>
      <c r="AC3088">
        <f t="shared" si="194"/>
        <v>0</v>
      </c>
      <c r="AD3088">
        <f t="shared" si="195"/>
        <v>0</v>
      </c>
    </row>
    <row r="3089" spans="27:30" x14ac:dyDescent="0.3">
      <c r="AA3089">
        <f t="shared" si="192"/>
        <v>0</v>
      </c>
      <c r="AB3089">
        <f t="shared" si="193"/>
        <v>0</v>
      </c>
      <c r="AC3089">
        <f t="shared" si="194"/>
        <v>0</v>
      </c>
      <c r="AD3089">
        <f t="shared" si="195"/>
        <v>0</v>
      </c>
    </row>
    <row r="3090" spans="27:30" x14ac:dyDescent="0.3">
      <c r="AA3090">
        <f t="shared" si="192"/>
        <v>0</v>
      </c>
      <c r="AB3090">
        <f t="shared" si="193"/>
        <v>0</v>
      </c>
      <c r="AC3090">
        <f t="shared" si="194"/>
        <v>0</v>
      </c>
      <c r="AD3090">
        <f t="shared" si="195"/>
        <v>0</v>
      </c>
    </row>
    <row r="3091" spans="27:30" x14ac:dyDescent="0.3">
      <c r="AA3091">
        <f t="shared" si="192"/>
        <v>0</v>
      </c>
      <c r="AB3091">
        <f t="shared" si="193"/>
        <v>0</v>
      </c>
      <c r="AC3091">
        <f t="shared" si="194"/>
        <v>0</v>
      </c>
      <c r="AD3091">
        <f t="shared" si="195"/>
        <v>0</v>
      </c>
    </row>
    <row r="3092" spans="27:30" x14ac:dyDescent="0.3">
      <c r="AA3092">
        <f t="shared" si="192"/>
        <v>0</v>
      </c>
      <c r="AB3092">
        <f t="shared" si="193"/>
        <v>0</v>
      </c>
      <c r="AC3092">
        <f t="shared" si="194"/>
        <v>0</v>
      </c>
      <c r="AD3092">
        <f t="shared" si="195"/>
        <v>0</v>
      </c>
    </row>
    <row r="3093" spans="27:30" x14ac:dyDescent="0.3">
      <c r="AA3093">
        <f t="shared" si="192"/>
        <v>0</v>
      </c>
      <c r="AB3093">
        <f t="shared" si="193"/>
        <v>0</v>
      </c>
      <c r="AC3093">
        <f t="shared" si="194"/>
        <v>0</v>
      </c>
      <c r="AD3093">
        <f t="shared" si="195"/>
        <v>0</v>
      </c>
    </row>
    <row r="3094" spans="27:30" x14ac:dyDescent="0.3">
      <c r="AA3094">
        <f t="shared" si="192"/>
        <v>0</v>
      </c>
      <c r="AB3094">
        <f t="shared" si="193"/>
        <v>0</v>
      </c>
      <c r="AC3094">
        <f t="shared" si="194"/>
        <v>0</v>
      </c>
      <c r="AD3094">
        <f t="shared" si="195"/>
        <v>0</v>
      </c>
    </row>
    <row r="3095" spans="27:30" x14ac:dyDescent="0.3">
      <c r="AA3095">
        <f t="shared" si="192"/>
        <v>0</v>
      </c>
      <c r="AB3095">
        <f t="shared" si="193"/>
        <v>0</v>
      </c>
      <c r="AC3095">
        <f t="shared" si="194"/>
        <v>0</v>
      </c>
      <c r="AD3095">
        <f t="shared" si="195"/>
        <v>0</v>
      </c>
    </row>
    <row r="3096" spans="27:30" x14ac:dyDescent="0.3">
      <c r="AA3096">
        <f t="shared" si="192"/>
        <v>0</v>
      </c>
      <c r="AB3096">
        <f t="shared" si="193"/>
        <v>0</v>
      </c>
      <c r="AC3096">
        <f t="shared" si="194"/>
        <v>0</v>
      </c>
      <c r="AD3096">
        <f t="shared" si="195"/>
        <v>0</v>
      </c>
    </row>
    <row r="3097" spans="27:30" x14ac:dyDescent="0.3">
      <c r="AA3097">
        <f t="shared" si="192"/>
        <v>0</v>
      </c>
      <c r="AB3097">
        <f t="shared" si="193"/>
        <v>0</v>
      </c>
      <c r="AC3097">
        <f t="shared" si="194"/>
        <v>0</v>
      </c>
      <c r="AD3097">
        <f t="shared" si="195"/>
        <v>0</v>
      </c>
    </row>
    <row r="3098" spans="27:30" x14ac:dyDescent="0.3">
      <c r="AA3098">
        <f t="shared" si="192"/>
        <v>0</v>
      </c>
      <c r="AB3098">
        <f t="shared" si="193"/>
        <v>0</v>
      </c>
      <c r="AC3098">
        <f t="shared" si="194"/>
        <v>0</v>
      </c>
      <c r="AD3098">
        <f t="shared" si="195"/>
        <v>0</v>
      </c>
    </row>
    <row r="3099" spans="27:30" x14ac:dyDescent="0.3">
      <c r="AA3099">
        <f t="shared" si="192"/>
        <v>0</v>
      </c>
      <c r="AB3099">
        <f t="shared" si="193"/>
        <v>0</v>
      </c>
      <c r="AC3099">
        <f t="shared" si="194"/>
        <v>0</v>
      </c>
      <c r="AD3099">
        <f t="shared" si="195"/>
        <v>0</v>
      </c>
    </row>
    <row r="3100" spans="27:30" x14ac:dyDescent="0.3">
      <c r="AA3100">
        <f t="shared" si="192"/>
        <v>0</v>
      </c>
      <c r="AB3100">
        <f t="shared" si="193"/>
        <v>0</v>
      </c>
      <c r="AC3100">
        <f t="shared" si="194"/>
        <v>0</v>
      </c>
      <c r="AD3100">
        <f t="shared" si="195"/>
        <v>0</v>
      </c>
    </row>
    <row r="3101" spans="27:30" x14ac:dyDescent="0.3">
      <c r="AA3101">
        <f t="shared" si="192"/>
        <v>0</v>
      </c>
      <c r="AB3101">
        <f t="shared" si="193"/>
        <v>0</v>
      </c>
      <c r="AC3101">
        <f t="shared" si="194"/>
        <v>0</v>
      </c>
      <c r="AD3101">
        <f t="shared" si="195"/>
        <v>0</v>
      </c>
    </row>
    <row r="3102" spans="27:30" x14ac:dyDescent="0.3">
      <c r="AA3102">
        <f t="shared" si="192"/>
        <v>0</v>
      </c>
      <c r="AB3102">
        <f t="shared" si="193"/>
        <v>0</v>
      </c>
      <c r="AC3102">
        <f t="shared" si="194"/>
        <v>0</v>
      </c>
      <c r="AD3102">
        <f t="shared" si="195"/>
        <v>0</v>
      </c>
    </row>
    <row r="3103" spans="27:30" x14ac:dyDescent="0.3">
      <c r="AA3103">
        <f t="shared" si="192"/>
        <v>0</v>
      </c>
      <c r="AB3103">
        <f t="shared" si="193"/>
        <v>0</v>
      </c>
      <c r="AC3103">
        <f t="shared" si="194"/>
        <v>0</v>
      </c>
      <c r="AD3103">
        <f t="shared" si="195"/>
        <v>0</v>
      </c>
    </row>
    <row r="3104" spans="27:30" x14ac:dyDescent="0.3">
      <c r="AA3104">
        <f t="shared" si="192"/>
        <v>0</v>
      </c>
      <c r="AB3104">
        <f t="shared" si="193"/>
        <v>0</v>
      </c>
      <c r="AC3104">
        <f t="shared" si="194"/>
        <v>0</v>
      </c>
      <c r="AD3104">
        <f t="shared" si="195"/>
        <v>0</v>
      </c>
    </row>
    <row r="3105" spans="27:30" x14ac:dyDescent="0.3">
      <c r="AA3105">
        <f t="shared" si="192"/>
        <v>0</v>
      </c>
      <c r="AB3105">
        <f t="shared" si="193"/>
        <v>0</v>
      </c>
      <c r="AC3105">
        <f t="shared" si="194"/>
        <v>0</v>
      </c>
      <c r="AD3105">
        <f t="shared" si="195"/>
        <v>0</v>
      </c>
    </row>
    <row r="3106" spans="27:30" x14ac:dyDescent="0.3">
      <c r="AA3106">
        <f t="shared" si="192"/>
        <v>0</v>
      </c>
      <c r="AB3106">
        <f t="shared" si="193"/>
        <v>0</v>
      </c>
      <c r="AC3106">
        <f t="shared" si="194"/>
        <v>0</v>
      </c>
      <c r="AD3106">
        <f t="shared" si="195"/>
        <v>0</v>
      </c>
    </row>
    <row r="3107" spans="27:30" x14ac:dyDescent="0.3">
      <c r="AA3107">
        <f t="shared" si="192"/>
        <v>0</v>
      </c>
      <c r="AB3107">
        <f t="shared" si="193"/>
        <v>0</v>
      </c>
      <c r="AC3107">
        <f t="shared" si="194"/>
        <v>0</v>
      </c>
      <c r="AD3107">
        <f t="shared" si="195"/>
        <v>0</v>
      </c>
    </row>
    <row r="3108" spans="27:30" x14ac:dyDescent="0.3">
      <c r="AA3108">
        <f t="shared" si="192"/>
        <v>0</v>
      </c>
      <c r="AB3108">
        <f t="shared" si="193"/>
        <v>0</v>
      </c>
      <c r="AC3108">
        <f t="shared" si="194"/>
        <v>0</v>
      </c>
      <c r="AD3108">
        <f t="shared" si="195"/>
        <v>0</v>
      </c>
    </row>
    <row r="3109" spans="27:30" x14ac:dyDescent="0.3">
      <c r="AA3109">
        <f t="shared" si="192"/>
        <v>0</v>
      </c>
      <c r="AB3109">
        <f t="shared" si="193"/>
        <v>0</v>
      </c>
      <c r="AC3109">
        <f t="shared" si="194"/>
        <v>0</v>
      </c>
      <c r="AD3109">
        <f t="shared" si="195"/>
        <v>0</v>
      </c>
    </row>
    <row r="3110" spans="27:30" x14ac:dyDescent="0.3">
      <c r="AA3110">
        <f t="shared" si="192"/>
        <v>0</v>
      </c>
      <c r="AB3110">
        <f t="shared" si="193"/>
        <v>0</v>
      </c>
      <c r="AC3110">
        <f t="shared" si="194"/>
        <v>0</v>
      </c>
      <c r="AD3110">
        <f t="shared" si="195"/>
        <v>0</v>
      </c>
    </row>
    <row r="3111" spans="27:30" x14ac:dyDescent="0.3">
      <c r="AA3111">
        <f t="shared" si="192"/>
        <v>0</v>
      </c>
      <c r="AB3111">
        <f t="shared" si="193"/>
        <v>0</v>
      </c>
      <c r="AC3111">
        <f t="shared" si="194"/>
        <v>0</v>
      </c>
      <c r="AD3111">
        <f t="shared" si="195"/>
        <v>0</v>
      </c>
    </row>
    <row r="3112" spans="27:30" x14ac:dyDescent="0.3">
      <c r="AA3112">
        <f t="shared" si="192"/>
        <v>0</v>
      </c>
      <c r="AB3112">
        <f t="shared" si="193"/>
        <v>0</v>
      </c>
      <c r="AC3112">
        <f t="shared" si="194"/>
        <v>0</v>
      </c>
      <c r="AD3112">
        <f t="shared" si="195"/>
        <v>0</v>
      </c>
    </row>
    <row r="3113" spans="27:30" x14ac:dyDescent="0.3">
      <c r="AA3113">
        <f t="shared" si="192"/>
        <v>0</v>
      </c>
      <c r="AB3113">
        <f t="shared" si="193"/>
        <v>0</v>
      </c>
      <c r="AC3113">
        <f t="shared" si="194"/>
        <v>0</v>
      </c>
      <c r="AD3113">
        <f t="shared" si="195"/>
        <v>0</v>
      </c>
    </row>
    <row r="3114" spans="27:30" x14ac:dyDescent="0.3">
      <c r="AA3114">
        <f t="shared" si="192"/>
        <v>0</v>
      </c>
      <c r="AB3114">
        <f t="shared" si="193"/>
        <v>0</v>
      </c>
      <c r="AC3114">
        <f t="shared" si="194"/>
        <v>0</v>
      </c>
      <c r="AD3114">
        <f t="shared" si="195"/>
        <v>0</v>
      </c>
    </row>
    <row r="3115" spans="27:30" x14ac:dyDescent="0.3">
      <c r="AA3115">
        <f t="shared" si="192"/>
        <v>0</v>
      </c>
      <c r="AB3115">
        <f t="shared" si="193"/>
        <v>0</v>
      </c>
      <c r="AC3115">
        <f t="shared" si="194"/>
        <v>0</v>
      </c>
      <c r="AD3115">
        <f t="shared" si="195"/>
        <v>0</v>
      </c>
    </row>
    <row r="3116" spans="27:30" x14ac:dyDescent="0.3">
      <c r="AA3116">
        <f t="shared" si="192"/>
        <v>0</v>
      </c>
      <c r="AB3116">
        <f t="shared" si="193"/>
        <v>0</v>
      </c>
      <c r="AC3116">
        <f t="shared" si="194"/>
        <v>0</v>
      </c>
      <c r="AD3116">
        <f t="shared" si="195"/>
        <v>0</v>
      </c>
    </row>
    <row r="3117" spans="27:30" x14ac:dyDescent="0.3">
      <c r="AA3117">
        <f t="shared" si="192"/>
        <v>0</v>
      </c>
      <c r="AB3117">
        <f t="shared" si="193"/>
        <v>0</v>
      </c>
      <c r="AC3117">
        <f t="shared" si="194"/>
        <v>0</v>
      </c>
      <c r="AD3117">
        <f t="shared" si="195"/>
        <v>0</v>
      </c>
    </row>
    <row r="3118" spans="27:30" x14ac:dyDescent="0.3">
      <c r="AA3118">
        <f t="shared" si="192"/>
        <v>0</v>
      </c>
      <c r="AB3118">
        <f t="shared" si="193"/>
        <v>0</v>
      </c>
      <c r="AC3118">
        <f t="shared" si="194"/>
        <v>0</v>
      </c>
      <c r="AD3118">
        <f t="shared" si="195"/>
        <v>0</v>
      </c>
    </row>
    <row r="3119" spans="27:30" x14ac:dyDescent="0.3">
      <c r="AA3119">
        <f t="shared" si="192"/>
        <v>0</v>
      </c>
      <c r="AB3119">
        <f t="shared" si="193"/>
        <v>0</v>
      </c>
      <c r="AC3119">
        <f t="shared" si="194"/>
        <v>0</v>
      </c>
      <c r="AD3119">
        <f t="shared" si="195"/>
        <v>0</v>
      </c>
    </row>
    <row r="3120" spans="27:30" x14ac:dyDescent="0.3">
      <c r="AA3120">
        <f t="shared" si="192"/>
        <v>0</v>
      </c>
      <c r="AB3120">
        <f t="shared" si="193"/>
        <v>0</v>
      </c>
      <c r="AC3120">
        <f t="shared" si="194"/>
        <v>0</v>
      </c>
      <c r="AD3120">
        <f t="shared" si="195"/>
        <v>0</v>
      </c>
    </row>
    <row r="3121" spans="27:30" x14ac:dyDescent="0.3">
      <c r="AA3121">
        <f t="shared" si="192"/>
        <v>0</v>
      </c>
      <c r="AB3121">
        <f t="shared" si="193"/>
        <v>0</v>
      </c>
      <c r="AC3121">
        <f t="shared" si="194"/>
        <v>0</v>
      </c>
      <c r="AD3121">
        <f t="shared" si="195"/>
        <v>0</v>
      </c>
    </row>
    <row r="3122" spans="27:30" x14ac:dyDescent="0.3">
      <c r="AA3122">
        <f t="shared" si="192"/>
        <v>0</v>
      </c>
      <c r="AB3122">
        <f t="shared" si="193"/>
        <v>0</v>
      </c>
      <c r="AC3122">
        <f t="shared" si="194"/>
        <v>0</v>
      </c>
      <c r="AD3122">
        <f t="shared" si="195"/>
        <v>0</v>
      </c>
    </row>
    <row r="3123" spans="27:30" x14ac:dyDescent="0.3">
      <c r="AA3123">
        <f t="shared" si="192"/>
        <v>0</v>
      </c>
      <c r="AB3123">
        <f t="shared" si="193"/>
        <v>0</v>
      </c>
      <c r="AC3123">
        <f t="shared" si="194"/>
        <v>0</v>
      </c>
      <c r="AD3123">
        <f t="shared" si="195"/>
        <v>0</v>
      </c>
    </row>
    <row r="3124" spans="27:30" x14ac:dyDescent="0.3">
      <c r="AA3124">
        <f t="shared" si="192"/>
        <v>0</v>
      </c>
      <c r="AB3124">
        <f t="shared" si="193"/>
        <v>0</v>
      </c>
      <c r="AC3124">
        <f t="shared" si="194"/>
        <v>0</v>
      </c>
      <c r="AD3124">
        <f t="shared" si="195"/>
        <v>0</v>
      </c>
    </row>
    <row r="3125" spans="27:30" x14ac:dyDescent="0.3">
      <c r="AA3125">
        <f t="shared" si="192"/>
        <v>0</v>
      </c>
      <c r="AB3125">
        <f t="shared" si="193"/>
        <v>0</v>
      </c>
      <c r="AC3125">
        <f t="shared" si="194"/>
        <v>0</v>
      </c>
      <c r="AD3125">
        <f t="shared" si="195"/>
        <v>0</v>
      </c>
    </row>
    <row r="3126" spans="27:30" x14ac:dyDescent="0.3">
      <c r="AA3126">
        <f t="shared" si="192"/>
        <v>0</v>
      </c>
      <c r="AB3126">
        <f t="shared" si="193"/>
        <v>0</v>
      </c>
      <c r="AC3126">
        <f t="shared" si="194"/>
        <v>0</v>
      </c>
      <c r="AD3126">
        <f t="shared" si="195"/>
        <v>0</v>
      </c>
    </row>
    <row r="3127" spans="27:30" x14ac:dyDescent="0.3">
      <c r="AA3127">
        <f t="shared" si="192"/>
        <v>0</v>
      </c>
      <c r="AB3127">
        <f t="shared" si="193"/>
        <v>0</v>
      </c>
      <c r="AC3127">
        <f t="shared" si="194"/>
        <v>0</v>
      </c>
      <c r="AD3127">
        <f t="shared" si="195"/>
        <v>0</v>
      </c>
    </row>
    <row r="3128" spans="27:30" x14ac:dyDescent="0.3">
      <c r="AA3128">
        <f t="shared" si="192"/>
        <v>0</v>
      </c>
      <c r="AB3128">
        <f t="shared" si="193"/>
        <v>0</v>
      </c>
      <c r="AC3128">
        <f t="shared" si="194"/>
        <v>0</v>
      </c>
      <c r="AD3128">
        <f t="shared" si="195"/>
        <v>0</v>
      </c>
    </row>
    <row r="3129" spans="27:30" x14ac:dyDescent="0.3">
      <c r="AA3129">
        <f t="shared" si="192"/>
        <v>0</v>
      </c>
      <c r="AB3129">
        <f t="shared" si="193"/>
        <v>0</v>
      </c>
      <c r="AC3129">
        <f t="shared" si="194"/>
        <v>0</v>
      </c>
      <c r="AD3129">
        <f t="shared" si="195"/>
        <v>0</v>
      </c>
    </row>
    <row r="3130" spans="27:30" x14ac:dyDescent="0.3">
      <c r="AA3130">
        <f t="shared" si="192"/>
        <v>0</v>
      </c>
      <c r="AB3130">
        <f t="shared" si="193"/>
        <v>0</v>
      </c>
      <c r="AC3130">
        <f t="shared" si="194"/>
        <v>0</v>
      </c>
      <c r="AD3130">
        <f t="shared" si="195"/>
        <v>0</v>
      </c>
    </row>
    <row r="3131" spans="27:30" x14ac:dyDescent="0.3">
      <c r="AA3131">
        <f t="shared" si="192"/>
        <v>0</v>
      </c>
      <c r="AB3131">
        <f t="shared" si="193"/>
        <v>0</v>
      </c>
      <c r="AC3131">
        <f t="shared" si="194"/>
        <v>0</v>
      </c>
      <c r="AD3131">
        <f t="shared" si="195"/>
        <v>0</v>
      </c>
    </row>
    <row r="3132" spans="27:30" x14ac:dyDescent="0.3">
      <c r="AA3132">
        <f t="shared" si="192"/>
        <v>0</v>
      </c>
      <c r="AB3132">
        <f t="shared" si="193"/>
        <v>0</v>
      </c>
      <c r="AC3132">
        <f t="shared" si="194"/>
        <v>0</v>
      </c>
      <c r="AD3132">
        <f t="shared" si="195"/>
        <v>0</v>
      </c>
    </row>
    <row r="3133" spans="27:30" x14ac:dyDescent="0.3">
      <c r="AA3133">
        <f t="shared" si="192"/>
        <v>0</v>
      </c>
      <c r="AB3133">
        <f t="shared" si="193"/>
        <v>0</v>
      </c>
      <c r="AC3133">
        <f t="shared" si="194"/>
        <v>0</v>
      </c>
      <c r="AD3133">
        <f t="shared" si="195"/>
        <v>0</v>
      </c>
    </row>
    <row r="3134" spans="27:30" x14ac:dyDescent="0.3">
      <c r="AA3134">
        <f t="shared" si="192"/>
        <v>0</v>
      </c>
      <c r="AB3134">
        <f t="shared" si="193"/>
        <v>0</v>
      </c>
      <c r="AC3134">
        <f t="shared" si="194"/>
        <v>0</v>
      </c>
      <c r="AD3134">
        <f t="shared" si="195"/>
        <v>0</v>
      </c>
    </row>
    <row r="3135" spans="27:30" x14ac:dyDescent="0.3">
      <c r="AA3135">
        <f t="shared" si="192"/>
        <v>0</v>
      </c>
      <c r="AB3135">
        <f t="shared" si="193"/>
        <v>0</v>
      </c>
      <c r="AC3135">
        <f t="shared" si="194"/>
        <v>0</v>
      </c>
      <c r="AD3135">
        <f t="shared" si="195"/>
        <v>0</v>
      </c>
    </row>
    <row r="3136" spans="27:30" x14ac:dyDescent="0.3">
      <c r="AA3136">
        <f t="shared" si="192"/>
        <v>0</v>
      </c>
      <c r="AB3136">
        <f t="shared" si="193"/>
        <v>0</v>
      </c>
      <c r="AC3136">
        <f t="shared" si="194"/>
        <v>0</v>
      </c>
      <c r="AD3136">
        <f t="shared" si="195"/>
        <v>0</v>
      </c>
    </row>
    <row r="3137" spans="27:30" x14ac:dyDescent="0.3">
      <c r="AA3137">
        <f t="shared" si="192"/>
        <v>0</v>
      </c>
      <c r="AB3137">
        <f t="shared" si="193"/>
        <v>0</v>
      </c>
      <c r="AC3137">
        <f t="shared" si="194"/>
        <v>0</v>
      </c>
      <c r="AD3137">
        <f t="shared" si="195"/>
        <v>0</v>
      </c>
    </row>
    <row r="3138" spans="27:30" x14ac:dyDescent="0.3">
      <c r="AA3138">
        <f t="shared" si="192"/>
        <v>0</v>
      </c>
      <c r="AB3138">
        <f t="shared" si="193"/>
        <v>0</v>
      </c>
      <c r="AC3138">
        <f t="shared" si="194"/>
        <v>0</v>
      </c>
      <c r="AD3138">
        <f t="shared" si="195"/>
        <v>0</v>
      </c>
    </row>
    <row r="3139" spans="27:30" x14ac:dyDescent="0.3">
      <c r="AA3139">
        <f t="shared" si="192"/>
        <v>0</v>
      </c>
      <c r="AB3139">
        <f t="shared" si="193"/>
        <v>0</v>
      </c>
      <c r="AC3139">
        <f t="shared" si="194"/>
        <v>0</v>
      </c>
      <c r="AD3139">
        <f t="shared" si="195"/>
        <v>0</v>
      </c>
    </row>
    <row r="3140" spans="27:30" x14ac:dyDescent="0.3">
      <c r="AA3140">
        <f t="shared" si="192"/>
        <v>0</v>
      </c>
      <c r="AB3140">
        <f t="shared" si="193"/>
        <v>0</v>
      </c>
      <c r="AC3140">
        <f t="shared" si="194"/>
        <v>0</v>
      </c>
      <c r="AD3140">
        <f t="shared" si="195"/>
        <v>0</v>
      </c>
    </row>
    <row r="3141" spans="27:30" x14ac:dyDescent="0.3">
      <c r="AA3141">
        <f t="shared" ref="AA3141:AA3204" si="196">ROUND(Z3141,0)</f>
        <v>0</v>
      </c>
      <c r="AB3141">
        <f t="shared" ref="AB3141:AB3204" si="197">IF(AA3141=Y3141,0,1)</f>
        <v>0</v>
      </c>
      <c r="AC3141">
        <f t="shared" ref="AC3141:AC3204" si="198">IF(AA3141&lt;Y3141+5,IF(AA3141&gt;Y3141-5,0,1),1)</f>
        <v>0</v>
      </c>
      <c r="AD3141">
        <f t="shared" ref="AD3141:AD3204" si="199">IF(AA3141&lt;Y3141+10,IF(AA3141&gt;Y3141-10,0,1),1)</f>
        <v>0</v>
      </c>
    </row>
    <row r="3142" spans="27:30" x14ac:dyDescent="0.3">
      <c r="AA3142">
        <f t="shared" si="196"/>
        <v>0</v>
      </c>
      <c r="AB3142">
        <f t="shared" si="197"/>
        <v>0</v>
      </c>
      <c r="AC3142">
        <f t="shared" si="198"/>
        <v>0</v>
      </c>
      <c r="AD3142">
        <f t="shared" si="199"/>
        <v>0</v>
      </c>
    </row>
    <row r="3143" spans="27:30" x14ac:dyDescent="0.3">
      <c r="AA3143">
        <f t="shared" si="196"/>
        <v>0</v>
      </c>
      <c r="AB3143">
        <f t="shared" si="197"/>
        <v>0</v>
      </c>
      <c r="AC3143">
        <f t="shared" si="198"/>
        <v>0</v>
      </c>
      <c r="AD3143">
        <f t="shared" si="199"/>
        <v>0</v>
      </c>
    </row>
    <row r="3144" spans="27:30" x14ac:dyDescent="0.3">
      <c r="AA3144">
        <f t="shared" si="196"/>
        <v>0</v>
      </c>
      <c r="AB3144">
        <f t="shared" si="197"/>
        <v>0</v>
      </c>
      <c r="AC3144">
        <f t="shared" si="198"/>
        <v>0</v>
      </c>
      <c r="AD3144">
        <f t="shared" si="199"/>
        <v>0</v>
      </c>
    </row>
    <row r="3145" spans="27:30" x14ac:dyDescent="0.3">
      <c r="AA3145">
        <f t="shared" si="196"/>
        <v>0</v>
      </c>
      <c r="AB3145">
        <f t="shared" si="197"/>
        <v>0</v>
      </c>
      <c r="AC3145">
        <f t="shared" si="198"/>
        <v>0</v>
      </c>
      <c r="AD3145">
        <f t="shared" si="199"/>
        <v>0</v>
      </c>
    </row>
    <row r="3146" spans="27:30" x14ac:dyDescent="0.3">
      <c r="AA3146">
        <f t="shared" si="196"/>
        <v>0</v>
      </c>
      <c r="AB3146">
        <f t="shared" si="197"/>
        <v>0</v>
      </c>
      <c r="AC3146">
        <f t="shared" si="198"/>
        <v>0</v>
      </c>
      <c r="AD3146">
        <f t="shared" si="199"/>
        <v>0</v>
      </c>
    </row>
    <row r="3147" spans="27:30" x14ac:dyDescent="0.3">
      <c r="AA3147">
        <f t="shared" si="196"/>
        <v>0</v>
      </c>
      <c r="AB3147">
        <f t="shared" si="197"/>
        <v>0</v>
      </c>
      <c r="AC3147">
        <f t="shared" si="198"/>
        <v>0</v>
      </c>
      <c r="AD3147">
        <f t="shared" si="199"/>
        <v>0</v>
      </c>
    </row>
    <row r="3148" spans="27:30" x14ac:dyDescent="0.3">
      <c r="AA3148">
        <f t="shared" si="196"/>
        <v>0</v>
      </c>
      <c r="AB3148">
        <f t="shared" si="197"/>
        <v>0</v>
      </c>
      <c r="AC3148">
        <f t="shared" si="198"/>
        <v>0</v>
      </c>
      <c r="AD3148">
        <f t="shared" si="199"/>
        <v>0</v>
      </c>
    </row>
    <row r="3149" spans="27:30" x14ac:dyDescent="0.3">
      <c r="AA3149">
        <f t="shared" si="196"/>
        <v>0</v>
      </c>
      <c r="AB3149">
        <f t="shared" si="197"/>
        <v>0</v>
      </c>
      <c r="AC3149">
        <f t="shared" si="198"/>
        <v>0</v>
      </c>
      <c r="AD3149">
        <f t="shared" si="199"/>
        <v>0</v>
      </c>
    </row>
    <row r="3150" spans="27:30" x14ac:dyDescent="0.3">
      <c r="AA3150">
        <f t="shared" si="196"/>
        <v>0</v>
      </c>
      <c r="AB3150">
        <f t="shared" si="197"/>
        <v>0</v>
      </c>
      <c r="AC3150">
        <f t="shared" si="198"/>
        <v>0</v>
      </c>
      <c r="AD3150">
        <f t="shared" si="199"/>
        <v>0</v>
      </c>
    </row>
    <row r="3151" spans="27:30" x14ac:dyDescent="0.3">
      <c r="AA3151">
        <f t="shared" si="196"/>
        <v>0</v>
      </c>
      <c r="AB3151">
        <f t="shared" si="197"/>
        <v>0</v>
      </c>
      <c r="AC3151">
        <f t="shared" si="198"/>
        <v>0</v>
      </c>
      <c r="AD3151">
        <f t="shared" si="199"/>
        <v>0</v>
      </c>
    </row>
    <row r="3152" spans="27:30" x14ac:dyDescent="0.3">
      <c r="AA3152">
        <f t="shared" si="196"/>
        <v>0</v>
      </c>
      <c r="AB3152">
        <f t="shared" si="197"/>
        <v>0</v>
      </c>
      <c r="AC3152">
        <f t="shared" si="198"/>
        <v>0</v>
      </c>
      <c r="AD3152">
        <f t="shared" si="199"/>
        <v>0</v>
      </c>
    </row>
    <row r="3153" spans="27:30" x14ac:dyDescent="0.3">
      <c r="AA3153">
        <f t="shared" si="196"/>
        <v>0</v>
      </c>
      <c r="AB3153">
        <f t="shared" si="197"/>
        <v>0</v>
      </c>
      <c r="AC3153">
        <f t="shared" si="198"/>
        <v>0</v>
      </c>
      <c r="AD3153">
        <f t="shared" si="199"/>
        <v>0</v>
      </c>
    </row>
    <row r="3154" spans="27:30" x14ac:dyDescent="0.3">
      <c r="AA3154">
        <f t="shared" si="196"/>
        <v>0</v>
      </c>
      <c r="AB3154">
        <f t="shared" si="197"/>
        <v>0</v>
      </c>
      <c r="AC3154">
        <f t="shared" si="198"/>
        <v>0</v>
      </c>
      <c r="AD3154">
        <f t="shared" si="199"/>
        <v>0</v>
      </c>
    </row>
    <row r="3155" spans="27:30" x14ac:dyDescent="0.3">
      <c r="AA3155">
        <f t="shared" si="196"/>
        <v>0</v>
      </c>
      <c r="AB3155">
        <f t="shared" si="197"/>
        <v>0</v>
      </c>
      <c r="AC3155">
        <f t="shared" si="198"/>
        <v>0</v>
      </c>
      <c r="AD3155">
        <f t="shared" si="199"/>
        <v>0</v>
      </c>
    </row>
    <row r="3156" spans="27:30" x14ac:dyDescent="0.3">
      <c r="AA3156">
        <f t="shared" si="196"/>
        <v>0</v>
      </c>
      <c r="AB3156">
        <f t="shared" si="197"/>
        <v>0</v>
      </c>
      <c r="AC3156">
        <f t="shared" si="198"/>
        <v>0</v>
      </c>
      <c r="AD3156">
        <f t="shared" si="199"/>
        <v>0</v>
      </c>
    </row>
    <row r="3157" spans="27:30" x14ac:dyDescent="0.3">
      <c r="AA3157">
        <f t="shared" si="196"/>
        <v>0</v>
      </c>
      <c r="AB3157">
        <f t="shared" si="197"/>
        <v>0</v>
      </c>
      <c r="AC3157">
        <f t="shared" si="198"/>
        <v>0</v>
      </c>
      <c r="AD3157">
        <f t="shared" si="199"/>
        <v>0</v>
      </c>
    </row>
    <row r="3158" spans="27:30" x14ac:dyDescent="0.3">
      <c r="AA3158">
        <f t="shared" si="196"/>
        <v>0</v>
      </c>
      <c r="AB3158">
        <f t="shared" si="197"/>
        <v>0</v>
      </c>
      <c r="AC3158">
        <f t="shared" si="198"/>
        <v>0</v>
      </c>
      <c r="AD3158">
        <f t="shared" si="199"/>
        <v>0</v>
      </c>
    </row>
    <row r="3159" spans="27:30" x14ac:dyDescent="0.3">
      <c r="AA3159">
        <f t="shared" si="196"/>
        <v>0</v>
      </c>
      <c r="AB3159">
        <f t="shared" si="197"/>
        <v>0</v>
      </c>
      <c r="AC3159">
        <f t="shared" si="198"/>
        <v>0</v>
      </c>
      <c r="AD3159">
        <f t="shared" si="199"/>
        <v>0</v>
      </c>
    </row>
    <row r="3160" spans="27:30" x14ac:dyDescent="0.3">
      <c r="AA3160">
        <f t="shared" si="196"/>
        <v>0</v>
      </c>
      <c r="AB3160">
        <f t="shared" si="197"/>
        <v>0</v>
      </c>
      <c r="AC3160">
        <f t="shared" si="198"/>
        <v>0</v>
      </c>
      <c r="AD3160">
        <f t="shared" si="199"/>
        <v>0</v>
      </c>
    </row>
    <row r="3161" spans="27:30" x14ac:dyDescent="0.3">
      <c r="AA3161">
        <f t="shared" si="196"/>
        <v>0</v>
      </c>
      <c r="AB3161">
        <f t="shared" si="197"/>
        <v>0</v>
      </c>
      <c r="AC3161">
        <f t="shared" si="198"/>
        <v>0</v>
      </c>
      <c r="AD3161">
        <f t="shared" si="199"/>
        <v>0</v>
      </c>
    </row>
    <row r="3162" spans="27:30" x14ac:dyDescent="0.3">
      <c r="AA3162">
        <f t="shared" si="196"/>
        <v>0</v>
      </c>
      <c r="AB3162">
        <f t="shared" si="197"/>
        <v>0</v>
      </c>
      <c r="AC3162">
        <f t="shared" si="198"/>
        <v>0</v>
      </c>
      <c r="AD3162">
        <f t="shared" si="199"/>
        <v>0</v>
      </c>
    </row>
    <row r="3163" spans="27:30" x14ac:dyDescent="0.3">
      <c r="AA3163">
        <f t="shared" si="196"/>
        <v>0</v>
      </c>
      <c r="AB3163">
        <f t="shared" si="197"/>
        <v>0</v>
      </c>
      <c r="AC3163">
        <f t="shared" si="198"/>
        <v>0</v>
      </c>
      <c r="AD3163">
        <f t="shared" si="199"/>
        <v>0</v>
      </c>
    </row>
    <row r="3164" spans="27:30" x14ac:dyDescent="0.3">
      <c r="AA3164">
        <f t="shared" si="196"/>
        <v>0</v>
      </c>
      <c r="AB3164">
        <f t="shared" si="197"/>
        <v>0</v>
      </c>
      <c r="AC3164">
        <f t="shared" si="198"/>
        <v>0</v>
      </c>
      <c r="AD3164">
        <f t="shared" si="199"/>
        <v>0</v>
      </c>
    </row>
    <row r="3165" spans="27:30" x14ac:dyDescent="0.3">
      <c r="AA3165">
        <f t="shared" si="196"/>
        <v>0</v>
      </c>
      <c r="AB3165">
        <f t="shared" si="197"/>
        <v>0</v>
      </c>
      <c r="AC3165">
        <f t="shared" si="198"/>
        <v>0</v>
      </c>
      <c r="AD3165">
        <f t="shared" si="199"/>
        <v>0</v>
      </c>
    </row>
    <row r="3166" spans="27:30" x14ac:dyDescent="0.3">
      <c r="AA3166">
        <f t="shared" si="196"/>
        <v>0</v>
      </c>
      <c r="AB3166">
        <f t="shared" si="197"/>
        <v>0</v>
      </c>
      <c r="AC3166">
        <f t="shared" si="198"/>
        <v>0</v>
      </c>
      <c r="AD3166">
        <f t="shared" si="199"/>
        <v>0</v>
      </c>
    </row>
    <row r="3167" spans="27:30" x14ac:dyDescent="0.3">
      <c r="AA3167">
        <f t="shared" si="196"/>
        <v>0</v>
      </c>
      <c r="AB3167">
        <f t="shared" si="197"/>
        <v>0</v>
      </c>
      <c r="AC3167">
        <f t="shared" si="198"/>
        <v>0</v>
      </c>
      <c r="AD3167">
        <f t="shared" si="199"/>
        <v>0</v>
      </c>
    </row>
    <row r="3168" spans="27:30" x14ac:dyDescent="0.3">
      <c r="AA3168">
        <f t="shared" si="196"/>
        <v>0</v>
      </c>
      <c r="AB3168">
        <f t="shared" si="197"/>
        <v>0</v>
      </c>
      <c r="AC3168">
        <f t="shared" si="198"/>
        <v>0</v>
      </c>
      <c r="AD3168">
        <f t="shared" si="199"/>
        <v>0</v>
      </c>
    </row>
    <row r="3169" spans="27:30" x14ac:dyDescent="0.3">
      <c r="AA3169">
        <f t="shared" si="196"/>
        <v>0</v>
      </c>
      <c r="AB3169">
        <f t="shared" si="197"/>
        <v>0</v>
      </c>
      <c r="AC3169">
        <f t="shared" si="198"/>
        <v>0</v>
      </c>
      <c r="AD3169">
        <f t="shared" si="199"/>
        <v>0</v>
      </c>
    </row>
    <row r="3170" spans="27:30" x14ac:dyDescent="0.3">
      <c r="AA3170">
        <f t="shared" si="196"/>
        <v>0</v>
      </c>
      <c r="AB3170">
        <f t="shared" si="197"/>
        <v>0</v>
      </c>
      <c r="AC3170">
        <f t="shared" si="198"/>
        <v>0</v>
      </c>
      <c r="AD3170">
        <f t="shared" si="199"/>
        <v>0</v>
      </c>
    </row>
    <row r="3171" spans="27:30" x14ac:dyDescent="0.3">
      <c r="AA3171">
        <f t="shared" si="196"/>
        <v>0</v>
      </c>
      <c r="AB3171">
        <f t="shared" si="197"/>
        <v>0</v>
      </c>
      <c r="AC3171">
        <f t="shared" si="198"/>
        <v>0</v>
      </c>
      <c r="AD3171">
        <f t="shared" si="199"/>
        <v>0</v>
      </c>
    </row>
    <row r="3172" spans="27:30" x14ac:dyDescent="0.3">
      <c r="AA3172">
        <f t="shared" si="196"/>
        <v>0</v>
      </c>
      <c r="AB3172">
        <f t="shared" si="197"/>
        <v>0</v>
      </c>
      <c r="AC3172">
        <f t="shared" si="198"/>
        <v>0</v>
      </c>
      <c r="AD3172">
        <f t="shared" si="199"/>
        <v>0</v>
      </c>
    </row>
    <row r="3173" spans="27:30" x14ac:dyDescent="0.3">
      <c r="AA3173">
        <f t="shared" si="196"/>
        <v>0</v>
      </c>
      <c r="AB3173">
        <f t="shared" si="197"/>
        <v>0</v>
      </c>
      <c r="AC3173">
        <f t="shared" si="198"/>
        <v>0</v>
      </c>
      <c r="AD3173">
        <f t="shared" si="199"/>
        <v>0</v>
      </c>
    </row>
    <row r="3174" spans="27:30" x14ac:dyDescent="0.3">
      <c r="AA3174">
        <f t="shared" si="196"/>
        <v>0</v>
      </c>
      <c r="AB3174">
        <f t="shared" si="197"/>
        <v>0</v>
      </c>
      <c r="AC3174">
        <f t="shared" si="198"/>
        <v>0</v>
      </c>
      <c r="AD3174">
        <f t="shared" si="199"/>
        <v>0</v>
      </c>
    </row>
    <row r="3175" spans="27:30" x14ac:dyDescent="0.3">
      <c r="AA3175">
        <f t="shared" si="196"/>
        <v>0</v>
      </c>
      <c r="AB3175">
        <f t="shared" si="197"/>
        <v>0</v>
      </c>
      <c r="AC3175">
        <f t="shared" si="198"/>
        <v>0</v>
      </c>
      <c r="AD3175">
        <f t="shared" si="199"/>
        <v>0</v>
      </c>
    </row>
    <row r="3176" spans="27:30" x14ac:dyDescent="0.3">
      <c r="AA3176">
        <f t="shared" si="196"/>
        <v>0</v>
      </c>
      <c r="AB3176">
        <f t="shared" si="197"/>
        <v>0</v>
      </c>
      <c r="AC3176">
        <f t="shared" si="198"/>
        <v>0</v>
      </c>
      <c r="AD3176">
        <f t="shared" si="199"/>
        <v>0</v>
      </c>
    </row>
    <row r="3177" spans="27:30" x14ac:dyDescent="0.3">
      <c r="AA3177">
        <f t="shared" si="196"/>
        <v>0</v>
      </c>
      <c r="AB3177">
        <f t="shared" si="197"/>
        <v>0</v>
      </c>
      <c r="AC3177">
        <f t="shared" si="198"/>
        <v>0</v>
      </c>
      <c r="AD3177">
        <f t="shared" si="199"/>
        <v>0</v>
      </c>
    </row>
    <row r="3178" spans="27:30" x14ac:dyDescent="0.3">
      <c r="AA3178">
        <f t="shared" si="196"/>
        <v>0</v>
      </c>
      <c r="AB3178">
        <f t="shared" si="197"/>
        <v>0</v>
      </c>
      <c r="AC3178">
        <f t="shared" si="198"/>
        <v>0</v>
      </c>
      <c r="AD3178">
        <f t="shared" si="199"/>
        <v>0</v>
      </c>
    </row>
    <row r="3179" spans="27:30" x14ac:dyDescent="0.3">
      <c r="AA3179">
        <f t="shared" si="196"/>
        <v>0</v>
      </c>
      <c r="AB3179">
        <f t="shared" si="197"/>
        <v>0</v>
      </c>
      <c r="AC3179">
        <f t="shared" si="198"/>
        <v>0</v>
      </c>
      <c r="AD3179">
        <f t="shared" si="199"/>
        <v>0</v>
      </c>
    </row>
    <row r="3180" spans="27:30" x14ac:dyDescent="0.3">
      <c r="AA3180">
        <f t="shared" si="196"/>
        <v>0</v>
      </c>
      <c r="AB3180">
        <f t="shared" si="197"/>
        <v>0</v>
      </c>
      <c r="AC3180">
        <f t="shared" si="198"/>
        <v>0</v>
      </c>
      <c r="AD3180">
        <f t="shared" si="199"/>
        <v>0</v>
      </c>
    </row>
    <row r="3181" spans="27:30" x14ac:dyDescent="0.3">
      <c r="AA3181">
        <f t="shared" si="196"/>
        <v>0</v>
      </c>
      <c r="AB3181">
        <f t="shared" si="197"/>
        <v>0</v>
      </c>
      <c r="AC3181">
        <f t="shared" si="198"/>
        <v>0</v>
      </c>
      <c r="AD3181">
        <f t="shared" si="199"/>
        <v>0</v>
      </c>
    </row>
    <row r="3182" spans="27:30" x14ac:dyDescent="0.3">
      <c r="AA3182">
        <f t="shared" si="196"/>
        <v>0</v>
      </c>
      <c r="AB3182">
        <f t="shared" si="197"/>
        <v>0</v>
      </c>
      <c r="AC3182">
        <f t="shared" si="198"/>
        <v>0</v>
      </c>
      <c r="AD3182">
        <f t="shared" si="199"/>
        <v>0</v>
      </c>
    </row>
    <row r="3183" spans="27:30" x14ac:dyDescent="0.3">
      <c r="AA3183">
        <f t="shared" si="196"/>
        <v>0</v>
      </c>
      <c r="AB3183">
        <f t="shared" si="197"/>
        <v>0</v>
      </c>
      <c r="AC3183">
        <f t="shared" si="198"/>
        <v>0</v>
      </c>
      <c r="AD3183">
        <f t="shared" si="199"/>
        <v>0</v>
      </c>
    </row>
    <row r="3184" spans="27:30" x14ac:dyDescent="0.3">
      <c r="AA3184">
        <f t="shared" si="196"/>
        <v>0</v>
      </c>
      <c r="AB3184">
        <f t="shared" si="197"/>
        <v>0</v>
      </c>
      <c r="AC3184">
        <f t="shared" si="198"/>
        <v>0</v>
      </c>
      <c r="AD3184">
        <f t="shared" si="199"/>
        <v>0</v>
      </c>
    </row>
    <row r="3185" spans="27:30" x14ac:dyDescent="0.3">
      <c r="AA3185">
        <f t="shared" si="196"/>
        <v>0</v>
      </c>
      <c r="AB3185">
        <f t="shared" si="197"/>
        <v>0</v>
      </c>
      <c r="AC3185">
        <f t="shared" si="198"/>
        <v>0</v>
      </c>
      <c r="AD3185">
        <f t="shared" si="199"/>
        <v>0</v>
      </c>
    </row>
    <row r="3186" spans="27:30" x14ac:dyDescent="0.3">
      <c r="AA3186">
        <f t="shared" si="196"/>
        <v>0</v>
      </c>
      <c r="AB3186">
        <f t="shared" si="197"/>
        <v>0</v>
      </c>
      <c r="AC3186">
        <f t="shared" si="198"/>
        <v>0</v>
      </c>
      <c r="AD3186">
        <f t="shared" si="199"/>
        <v>0</v>
      </c>
    </row>
    <row r="3187" spans="27:30" x14ac:dyDescent="0.3">
      <c r="AA3187">
        <f t="shared" si="196"/>
        <v>0</v>
      </c>
      <c r="AB3187">
        <f t="shared" si="197"/>
        <v>0</v>
      </c>
      <c r="AC3187">
        <f t="shared" si="198"/>
        <v>0</v>
      </c>
      <c r="AD3187">
        <f t="shared" si="199"/>
        <v>0</v>
      </c>
    </row>
    <row r="3188" spans="27:30" x14ac:dyDescent="0.3">
      <c r="AA3188">
        <f t="shared" si="196"/>
        <v>0</v>
      </c>
      <c r="AB3188">
        <f t="shared" si="197"/>
        <v>0</v>
      </c>
      <c r="AC3188">
        <f t="shared" si="198"/>
        <v>0</v>
      </c>
      <c r="AD3188">
        <f t="shared" si="199"/>
        <v>0</v>
      </c>
    </row>
    <row r="3189" spans="27:30" x14ac:dyDescent="0.3">
      <c r="AA3189">
        <f t="shared" si="196"/>
        <v>0</v>
      </c>
      <c r="AB3189">
        <f t="shared" si="197"/>
        <v>0</v>
      </c>
      <c r="AC3189">
        <f t="shared" si="198"/>
        <v>0</v>
      </c>
      <c r="AD3189">
        <f t="shared" si="199"/>
        <v>0</v>
      </c>
    </row>
    <row r="3190" spans="27:30" x14ac:dyDescent="0.3">
      <c r="AA3190">
        <f t="shared" si="196"/>
        <v>0</v>
      </c>
      <c r="AB3190">
        <f t="shared" si="197"/>
        <v>0</v>
      </c>
      <c r="AC3190">
        <f t="shared" si="198"/>
        <v>0</v>
      </c>
      <c r="AD3190">
        <f t="shared" si="199"/>
        <v>0</v>
      </c>
    </row>
    <row r="3191" spans="27:30" x14ac:dyDescent="0.3">
      <c r="AA3191">
        <f t="shared" si="196"/>
        <v>0</v>
      </c>
      <c r="AB3191">
        <f t="shared" si="197"/>
        <v>0</v>
      </c>
      <c r="AC3191">
        <f t="shared" si="198"/>
        <v>0</v>
      </c>
      <c r="AD3191">
        <f t="shared" si="199"/>
        <v>0</v>
      </c>
    </row>
    <row r="3192" spans="27:30" x14ac:dyDescent="0.3">
      <c r="AA3192">
        <f t="shared" si="196"/>
        <v>0</v>
      </c>
      <c r="AB3192">
        <f t="shared" si="197"/>
        <v>0</v>
      </c>
      <c r="AC3192">
        <f t="shared" si="198"/>
        <v>0</v>
      </c>
      <c r="AD3192">
        <f t="shared" si="199"/>
        <v>0</v>
      </c>
    </row>
    <row r="3193" spans="27:30" x14ac:dyDescent="0.3">
      <c r="AA3193">
        <f t="shared" si="196"/>
        <v>0</v>
      </c>
      <c r="AB3193">
        <f t="shared" si="197"/>
        <v>0</v>
      </c>
      <c r="AC3193">
        <f t="shared" si="198"/>
        <v>0</v>
      </c>
      <c r="AD3193">
        <f t="shared" si="199"/>
        <v>0</v>
      </c>
    </row>
    <row r="3194" spans="27:30" x14ac:dyDescent="0.3">
      <c r="AA3194">
        <f t="shared" si="196"/>
        <v>0</v>
      </c>
      <c r="AB3194">
        <f t="shared" si="197"/>
        <v>0</v>
      </c>
      <c r="AC3194">
        <f t="shared" si="198"/>
        <v>0</v>
      </c>
      <c r="AD3194">
        <f t="shared" si="199"/>
        <v>0</v>
      </c>
    </row>
    <row r="3195" spans="27:30" x14ac:dyDescent="0.3">
      <c r="AA3195">
        <f t="shared" si="196"/>
        <v>0</v>
      </c>
      <c r="AB3195">
        <f t="shared" si="197"/>
        <v>0</v>
      </c>
      <c r="AC3195">
        <f t="shared" si="198"/>
        <v>0</v>
      </c>
      <c r="AD3195">
        <f t="shared" si="199"/>
        <v>0</v>
      </c>
    </row>
    <row r="3196" spans="27:30" x14ac:dyDescent="0.3">
      <c r="AA3196">
        <f t="shared" si="196"/>
        <v>0</v>
      </c>
      <c r="AB3196">
        <f t="shared" si="197"/>
        <v>0</v>
      </c>
      <c r="AC3196">
        <f t="shared" si="198"/>
        <v>0</v>
      </c>
      <c r="AD3196">
        <f t="shared" si="199"/>
        <v>0</v>
      </c>
    </row>
    <row r="3197" spans="27:30" x14ac:dyDescent="0.3">
      <c r="AA3197">
        <f t="shared" si="196"/>
        <v>0</v>
      </c>
      <c r="AB3197">
        <f t="shared" si="197"/>
        <v>0</v>
      </c>
      <c r="AC3197">
        <f t="shared" si="198"/>
        <v>0</v>
      </c>
      <c r="AD3197">
        <f t="shared" si="199"/>
        <v>0</v>
      </c>
    </row>
    <row r="3198" spans="27:30" x14ac:dyDescent="0.3">
      <c r="AA3198">
        <f t="shared" si="196"/>
        <v>0</v>
      </c>
      <c r="AB3198">
        <f t="shared" si="197"/>
        <v>0</v>
      </c>
      <c r="AC3198">
        <f t="shared" si="198"/>
        <v>0</v>
      </c>
      <c r="AD3198">
        <f t="shared" si="199"/>
        <v>0</v>
      </c>
    </row>
    <row r="3199" spans="27:30" x14ac:dyDescent="0.3">
      <c r="AA3199">
        <f t="shared" si="196"/>
        <v>0</v>
      </c>
      <c r="AB3199">
        <f t="shared" si="197"/>
        <v>0</v>
      </c>
      <c r="AC3199">
        <f t="shared" si="198"/>
        <v>0</v>
      </c>
      <c r="AD3199">
        <f t="shared" si="199"/>
        <v>0</v>
      </c>
    </row>
    <row r="3200" spans="27:30" x14ac:dyDescent="0.3">
      <c r="AA3200">
        <f t="shared" si="196"/>
        <v>0</v>
      </c>
      <c r="AB3200">
        <f t="shared" si="197"/>
        <v>0</v>
      </c>
      <c r="AC3200">
        <f t="shared" si="198"/>
        <v>0</v>
      </c>
      <c r="AD3200">
        <f t="shared" si="199"/>
        <v>0</v>
      </c>
    </row>
    <row r="3201" spans="27:30" x14ac:dyDescent="0.3">
      <c r="AA3201">
        <f t="shared" si="196"/>
        <v>0</v>
      </c>
      <c r="AB3201">
        <f t="shared" si="197"/>
        <v>0</v>
      </c>
      <c r="AC3201">
        <f t="shared" si="198"/>
        <v>0</v>
      </c>
      <c r="AD3201">
        <f t="shared" si="199"/>
        <v>0</v>
      </c>
    </row>
    <row r="3202" spans="27:30" x14ac:dyDescent="0.3">
      <c r="AA3202">
        <f t="shared" si="196"/>
        <v>0</v>
      </c>
      <c r="AB3202">
        <f t="shared" si="197"/>
        <v>0</v>
      </c>
      <c r="AC3202">
        <f t="shared" si="198"/>
        <v>0</v>
      </c>
      <c r="AD3202">
        <f t="shared" si="199"/>
        <v>0</v>
      </c>
    </row>
    <row r="3203" spans="27:30" x14ac:dyDescent="0.3">
      <c r="AA3203">
        <f t="shared" si="196"/>
        <v>0</v>
      </c>
      <c r="AB3203">
        <f t="shared" si="197"/>
        <v>0</v>
      </c>
      <c r="AC3203">
        <f t="shared" si="198"/>
        <v>0</v>
      </c>
      <c r="AD3203">
        <f t="shared" si="199"/>
        <v>0</v>
      </c>
    </row>
    <row r="3204" spans="27:30" x14ac:dyDescent="0.3">
      <c r="AA3204">
        <f t="shared" si="196"/>
        <v>0</v>
      </c>
      <c r="AB3204">
        <f t="shared" si="197"/>
        <v>0</v>
      </c>
      <c r="AC3204">
        <f t="shared" si="198"/>
        <v>0</v>
      </c>
      <c r="AD3204">
        <f t="shared" si="199"/>
        <v>0</v>
      </c>
    </row>
    <row r="3205" spans="27:30" x14ac:dyDescent="0.3">
      <c r="AA3205">
        <f t="shared" ref="AA3205:AA3268" si="200">ROUND(Z3205,0)</f>
        <v>0</v>
      </c>
      <c r="AB3205">
        <f t="shared" ref="AB3205:AB3268" si="201">IF(AA3205=Y3205,0,1)</f>
        <v>0</v>
      </c>
      <c r="AC3205">
        <f t="shared" ref="AC3205:AC3268" si="202">IF(AA3205&lt;Y3205+5,IF(AA3205&gt;Y3205-5,0,1),1)</f>
        <v>0</v>
      </c>
      <c r="AD3205">
        <f t="shared" ref="AD3205:AD3268" si="203">IF(AA3205&lt;Y3205+10,IF(AA3205&gt;Y3205-10,0,1),1)</f>
        <v>0</v>
      </c>
    </row>
    <row r="3206" spans="27:30" x14ac:dyDescent="0.3">
      <c r="AA3206">
        <f t="shared" si="200"/>
        <v>0</v>
      </c>
      <c r="AB3206">
        <f t="shared" si="201"/>
        <v>0</v>
      </c>
      <c r="AC3206">
        <f t="shared" si="202"/>
        <v>0</v>
      </c>
      <c r="AD3206">
        <f t="shared" si="203"/>
        <v>0</v>
      </c>
    </row>
    <row r="3207" spans="27:30" x14ac:dyDescent="0.3">
      <c r="AA3207">
        <f t="shared" si="200"/>
        <v>0</v>
      </c>
      <c r="AB3207">
        <f t="shared" si="201"/>
        <v>0</v>
      </c>
      <c r="AC3207">
        <f t="shared" si="202"/>
        <v>0</v>
      </c>
      <c r="AD3207">
        <f t="shared" si="203"/>
        <v>0</v>
      </c>
    </row>
    <row r="3208" spans="27:30" x14ac:dyDescent="0.3">
      <c r="AA3208">
        <f t="shared" si="200"/>
        <v>0</v>
      </c>
      <c r="AB3208">
        <f t="shared" si="201"/>
        <v>0</v>
      </c>
      <c r="AC3208">
        <f t="shared" si="202"/>
        <v>0</v>
      </c>
      <c r="AD3208">
        <f t="shared" si="203"/>
        <v>0</v>
      </c>
    </row>
    <row r="3209" spans="27:30" x14ac:dyDescent="0.3">
      <c r="AA3209">
        <f t="shared" si="200"/>
        <v>0</v>
      </c>
      <c r="AB3209">
        <f t="shared" si="201"/>
        <v>0</v>
      </c>
      <c r="AC3209">
        <f t="shared" si="202"/>
        <v>0</v>
      </c>
      <c r="AD3209">
        <f t="shared" si="203"/>
        <v>0</v>
      </c>
    </row>
    <row r="3210" spans="27:30" x14ac:dyDescent="0.3">
      <c r="AA3210">
        <f t="shared" si="200"/>
        <v>0</v>
      </c>
      <c r="AB3210">
        <f t="shared" si="201"/>
        <v>0</v>
      </c>
      <c r="AC3210">
        <f t="shared" si="202"/>
        <v>0</v>
      </c>
      <c r="AD3210">
        <f t="shared" si="203"/>
        <v>0</v>
      </c>
    </row>
    <row r="3211" spans="27:30" x14ac:dyDescent="0.3">
      <c r="AA3211">
        <f t="shared" si="200"/>
        <v>0</v>
      </c>
      <c r="AB3211">
        <f t="shared" si="201"/>
        <v>0</v>
      </c>
      <c r="AC3211">
        <f t="shared" si="202"/>
        <v>0</v>
      </c>
      <c r="AD3211">
        <f t="shared" si="203"/>
        <v>0</v>
      </c>
    </row>
    <row r="3212" spans="27:30" x14ac:dyDescent="0.3">
      <c r="AA3212">
        <f t="shared" si="200"/>
        <v>0</v>
      </c>
      <c r="AB3212">
        <f t="shared" si="201"/>
        <v>0</v>
      </c>
      <c r="AC3212">
        <f t="shared" si="202"/>
        <v>0</v>
      </c>
      <c r="AD3212">
        <f t="shared" si="203"/>
        <v>0</v>
      </c>
    </row>
    <row r="3213" spans="27:30" x14ac:dyDescent="0.3">
      <c r="AA3213">
        <f t="shared" si="200"/>
        <v>0</v>
      </c>
      <c r="AB3213">
        <f t="shared" si="201"/>
        <v>0</v>
      </c>
      <c r="AC3213">
        <f t="shared" si="202"/>
        <v>0</v>
      </c>
      <c r="AD3213">
        <f t="shared" si="203"/>
        <v>0</v>
      </c>
    </row>
    <row r="3214" spans="27:30" x14ac:dyDescent="0.3">
      <c r="AA3214">
        <f t="shared" si="200"/>
        <v>0</v>
      </c>
      <c r="AB3214">
        <f t="shared" si="201"/>
        <v>0</v>
      </c>
      <c r="AC3214">
        <f t="shared" si="202"/>
        <v>0</v>
      </c>
      <c r="AD3214">
        <f t="shared" si="203"/>
        <v>0</v>
      </c>
    </row>
    <row r="3215" spans="27:30" x14ac:dyDescent="0.3">
      <c r="AA3215">
        <f t="shared" si="200"/>
        <v>0</v>
      </c>
      <c r="AB3215">
        <f t="shared" si="201"/>
        <v>0</v>
      </c>
      <c r="AC3215">
        <f t="shared" si="202"/>
        <v>0</v>
      </c>
      <c r="AD3215">
        <f t="shared" si="203"/>
        <v>0</v>
      </c>
    </row>
    <row r="3216" spans="27:30" x14ac:dyDescent="0.3">
      <c r="AA3216">
        <f t="shared" si="200"/>
        <v>0</v>
      </c>
      <c r="AB3216">
        <f t="shared" si="201"/>
        <v>0</v>
      </c>
      <c r="AC3216">
        <f t="shared" si="202"/>
        <v>0</v>
      </c>
      <c r="AD3216">
        <f t="shared" si="203"/>
        <v>0</v>
      </c>
    </row>
    <row r="3217" spans="27:30" x14ac:dyDescent="0.3">
      <c r="AA3217">
        <f t="shared" si="200"/>
        <v>0</v>
      </c>
      <c r="AB3217">
        <f t="shared" si="201"/>
        <v>0</v>
      </c>
      <c r="AC3217">
        <f t="shared" si="202"/>
        <v>0</v>
      </c>
      <c r="AD3217">
        <f t="shared" si="203"/>
        <v>0</v>
      </c>
    </row>
    <row r="3218" spans="27:30" x14ac:dyDescent="0.3">
      <c r="AA3218">
        <f t="shared" si="200"/>
        <v>0</v>
      </c>
      <c r="AB3218">
        <f t="shared" si="201"/>
        <v>0</v>
      </c>
      <c r="AC3218">
        <f t="shared" si="202"/>
        <v>0</v>
      </c>
      <c r="AD3218">
        <f t="shared" si="203"/>
        <v>0</v>
      </c>
    </row>
    <row r="3219" spans="27:30" x14ac:dyDescent="0.3">
      <c r="AA3219">
        <f t="shared" si="200"/>
        <v>0</v>
      </c>
      <c r="AB3219">
        <f t="shared" si="201"/>
        <v>0</v>
      </c>
      <c r="AC3219">
        <f t="shared" si="202"/>
        <v>0</v>
      </c>
      <c r="AD3219">
        <f t="shared" si="203"/>
        <v>0</v>
      </c>
    </row>
    <row r="3220" spans="27:30" x14ac:dyDescent="0.3">
      <c r="AA3220">
        <f t="shared" si="200"/>
        <v>0</v>
      </c>
      <c r="AB3220">
        <f t="shared" si="201"/>
        <v>0</v>
      </c>
      <c r="AC3220">
        <f t="shared" si="202"/>
        <v>0</v>
      </c>
      <c r="AD3220">
        <f t="shared" si="203"/>
        <v>0</v>
      </c>
    </row>
    <row r="3221" spans="27:30" x14ac:dyDescent="0.3">
      <c r="AA3221">
        <f t="shared" si="200"/>
        <v>0</v>
      </c>
      <c r="AB3221">
        <f t="shared" si="201"/>
        <v>0</v>
      </c>
      <c r="AC3221">
        <f t="shared" si="202"/>
        <v>0</v>
      </c>
      <c r="AD3221">
        <f t="shared" si="203"/>
        <v>0</v>
      </c>
    </row>
    <row r="3222" spans="27:30" x14ac:dyDescent="0.3">
      <c r="AA3222">
        <f t="shared" si="200"/>
        <v>0</v>
      </c>
      <c r="AB3222">
        <f t="shared" si="201"/>
        <v>0</v>
      </c>
      <c r="AC3222">
        <f t="shared" si="202"/>
        <v>0</v>
      </c>
      <c r="AD3222">
        <f t="shared" si="203"/>
        <v>0</v>
      </c>
    </row>
    <row r="3223" spans="27:30" x14ac:dyDescent="0.3">
      <c r="AA3223">
        <f t="shared" si="200"/>
        <v>0</v>
      </c>
      <c r="AB3223">
        <f t="shared" si="201"/>
        <v>0</v>
      </c>
      <c r="AC3223">
        <f t="shared" si="202"/>
        <v>0</v>
      </c>
      <c r="AD3223">
        <f t="shared" si="203"/>
        <v>0</v>
      </c>
    </row>
    <row r="3224" spans="27:30" x14ac:dyDescent="0.3">
      <c r="AA3224">
        <f t="shared" si="200"/>
        <v>0</v>
      </c>
      <c r="AB3224">
        <f t="shared" si="201"/>
        <v>0</v>
      </c>
      <c r="AC3224">
        <f t="shared" si="202"/>
        <v>0</v>
      </c>
      <c r="AD3224">
        <f t="shared" si="203"/>
        <v>0</v>
      </c>
    </row>
    <row r="3225" spans="27:30" x14ac:dyDescent="0.3">
      <c r="AA3225">
        <f t="shared" si="200"/>
        <v>0</v>
      </c>
      <c r="AB3225">
        <f t="shared" si="201"/>
        <v>0</v>
      </c>
      <c r="AC3225">
        <f t="shared" si="202"/>
        <v>0</v>
      </c>
      <c r="AD3225">
        <f t="shared" si="203"/>
        <v>0</v>
      </c>
    </row>
    <row r="3226" spans="27:30" x14ac:dyDescent="0.3">
      <c r="AA3226">
        <f t="shared" si="200"/>
        <v>0</v>
      </c>
      <c r="AB3226">
        <f t="shared" si="201"/>
        <v>0</v>
      </c>
      <c r="AC3226">
        <f t="shared" si="202"/>
        <v>0</v>
      </c>
      <c r="AD3226">
        <f t="shared" si="203"/>
        <v>0</v>
      </c>
    </row>
    <row r="3227" spans="27:30" x14ac:dyDescent="0.3">
      <c r="AA3227">
        <f t="shared" si="200"/>
        <v>0</v>
      </c>
      <c r="AB3227">
        <f t="shared" si="201"/>
        <v>0</v>
      </c>
      <c r="AC3227">
        <f t="shared" si="202"/>
        <v>0</v>
      </c>
      <c r="AD3227">
        <f t="shared" si="203"/>
        <v>0</v>
      </c>
    </row>
    <row r="3228" spans="27:30" x14ac:dyDescent="0.3">
      <c r="AA3228">
        <f t="shared" si="200"/>
        <v>0</v>
      </c>
      <c r="AB3228">
        <f t="shared" si="201"/>
        <v>0</v>
      </c>
      <c r="AC3228">
        <f t="shared" si="202"/>
        <v>0</v>
      </c>
      <c r="AD3228">
        <f t="shared" si="203"/>
        <v>0</v>
      </c>
    </row>
    <row r="3229" spans="27:30" x14ac:dyDescent="0.3">
      <c r="AA3229">
        <f t="shared" si="200"/>
        <v>0</v>
      </c>
      <c r="AB3229">
        <f t="shared" si="201"/>
        <v>0</v>
      </c>
      <c r="AC3229">
        <f t="shared" si="202"/>
        <v>0</v>
      </c>
      <c r="AD3229">
        <f t="shared" si="203"/>
        <v>0</v>
      </c>
    </row>
    <row r="3230" spans="27:30" x14ac:dyDescent="0.3">
      <c r="AA3230">
        <f t="shared" si="200"/>
        <v>0</v>
      </c>
      <c r="AB3230">
        <f t="shared" si="201"/>
        <v>0</v>
      </c>
      <c r="AC3230">
        <f t="shared" si="202"/>
        <v>0</v>
      </c>
      <c r="AD3230">
        <f t="shared" si="203"/>
        <v>0</v>
      </c>
    </row>
    <row r="3231" spans="27:30" x14ac:dyDescent="0.3">
      <c r="AA3231">
        <f t="shared" si="200"/>
        <v>0</v>
      </c>
      <c r="AB3231">
        <f t="shared" si="201"/>
        <v>0</v>
      </c>
      <c r="AC3231">
        <f t="shared" si="202"/>
        <v>0</v>
      </c>
      <c r="AD3231">
        <f t="shared" si="203"/>
        <v>0</v>
      </c>
    </row>
    <row r="3232" spans="27:30" x14ac:dyDescent="0.3">
      <c r="AA3232">
        <f t="shared" si="200"/>
        <v>0</v>
      </c>
      <c r="AB3232">
        <f t="shared" si="201"/>
        <v>0</v>
      </c>
      <c r="AC3232">
        <f t="shared" si="202"/>
        <v>0</v>
      </c>
      <c r="AD3232">
        <f t="shared" si="203"/>
        <v>0</v>
      </c>
    </row>
    <row r="3233" spans="27:30" x14ac:dyDescent="0.3">
      <c r="AA3233">
        <f t="shared" si="200"/>
        <v>0</v>
      </c>
      <c r="AB3233">
        <f t="shared" si="201"/>
        <v>0</v>
      </c>
      <c r="AC3233">
        <f t="shared" si="202"/>
        <v>0</v>
      </c>
      <c r="AD3233">
        <f t="shared" si="203"/>
        <v>0</v>
      </c>
    </row>
    <row r="3234" spans="27:30" x14ac:dyDescent="0.3">
      <c r="AA3234">
        <f t="shared" si="200"/>
        <v>0</v>
      </c>
      <c r="AB3234">
        <f t="shared" si="201"/>
        <v>0</v>
      </c>
      <c r="AC3234">
        <f t="shared" si="202"/>
        <v>0</v>
      </c>
      <c r="AD3234">
        <f t="shared" si="203"/>
        <v>0</v>
      </c>
    </row>
    <row r="3235" spans="27:30" x14ac:dyDescent="0.3">
      <c r="AA3235">
        <f t="shared" si="200"/>
        <v>0</v>
      </c>
      <c r="AB3235">
        <f t="shared" si="201"/>
        <v>0</v>
      </c>
      <c r="AC3235">
        <f t="shared" si="202"/>
        <v>0</v>
      </c>
      <c r="AD3235">
        <f t="shared" si="203"/>
        <v>0</v>
      </c>
    </row>
    <row r="3236" spans="27:30" x14ac:dyDescent="0.3">
      <c r="AA3236">
        <f t="shared" si="200"/>
        <v>0</v>
      </c>
      <c r="AB3236">
        <f t="shared" si="201"/>
        <v>0</v>
      </c>
      <c r="AC3236">
        <f t="shared" si="202"/>
        <v>0</v>
      </c>
      <c r="AD3236">
        <f t="shared" si="203"/>
        <v>0</v>
      </c>
    </row>
    <row r="3237" spans="27:30" x14ac:dyDescent="0.3">
      <c r="AA3237">
        <f t="shared" si="200"/>
        <v>0</v>
      </c>
      <c r="AB3237">
        <f t="shared" si="201"/>
        <v>0</v>
      </c>
      <c r="AC3237">
        <f t="shared" si="202"/>
        <v>0</v>
      </c>
      <c r="AD3237">
        <f t="shared" si="203"/>
        <v>0</v>
      </c>
    </row>
    <row r="3238" spans="27:30" x14ac:dyDescent="0.3">
      <c r="AA3238">
        <f t="shared" si="200"/>
        <v>0</v>
      </c>
      <c r="AB3238">
        <f t="shared" si="201"/>
        <v>0</v>
      </c>
      <c r="AC3238">
        <f t="shared" si="202"/>
        <v>0</v>
      </c>
      <c r="AD3238">
        <f t="shared" si="203"/>
        <v>0</v>
      </c>
    </row>
    <row r="3239" spans="27:30" x14ac:dyDescent="0.3">
      <c r="AA3239">
        <f t="shared" si="200"/>
        <v>0</v>
      </c>
      <c r="AB3239">
        <f t="shared" si="201"/>
        <v>0</v>
      </c>
      <c r="AC3239">
        <f t="shared" si="202"/>
        <v>0</v>
      </c>
      <c r="AD3239">
        <f t="shared" si="203"/>
        <v>0</v>
      </c>
    </row>
    <row r="3240" spans="27:30" x14ac:dyDescent="0.3">
      <c r="AA3240">
        <f t="shared" si="200"/>
        <v>0</v>
      </c>
      <c r="AB3240">
        <f t="shared" si="201"/>
        <v>0</v>
      </c>
      <c r="AC3240">
        <f t="shared" si="202"/>
        <v>0</v>
      </c>
      <c r="AD3240">
        <f t="shared" si="203"/>
        <v>0</v>
      </c>
    </row>
    <row r="3241" spans="27:30" x14ac:dyDescent="0.3">
      <c r="AA3241">
        <f t="shared" si="200"/>
        <v>0</v>
      </c>
      <c r="AB3241">
        <f t="shared" si="201"/>
        <v>0</v>
      </c>
      <c r="AC3241">
        <f t="shared" si="202"/>
        <v>0</v>
      </c>
      <c r="AD3241">
        <f t="shared" si="203"/>
        <v>0</v>
      </c>
    </row>
    <row r="3242" spans="27:30" x14ac:dyDescent="0.3">
      <c r="AA3242">
        <f t="shared" si="200"/>
        <v>0</v>
      </c>
      <c r="AB3242">
        <f t="shared" si="201"/>
        <v>0</v>
      </c>
      <c r="AC3242">
        <f t="shared" si="202"/>
        <v>0</v>
      </c>
      <c r="AD3242">
        <f t="shared" si="203"/>
        <v>0</v>
      </c>
    </row>
    <row r="3243" spans="27:30" x14ac:dyDescent="0.3">
      <c r="AA3243">
        <f t="shared" si="200"/>
        <v>0</v>
      </c>
      <c r="AB3243">
        <f t="shared" si="201"/>
        <v>0</v>
      </c>
      <c r="AC3243">
        <f t="shared" si="202"/>
        <v>0</v>
      </c>
      <c r="AD3243">
        <f t="shared" si="203"/>
        <v>0</v>
      </c>
    </row>
    <row r="3244" spans="27:30" x14ac:dyDescent="0.3">
      <c r="AA3244">
        <f t="shared" si="200"/>
        <v>0</v>
      </c>
      <c r="AB3244">
        <f t="shared" si="201"/>
        <v>0</v>
      </c>
      <c r="AC3244">
        <f t="shared" si="202"/>
        <v>0</v>
      </c>
      <c r="AD3244">
        <f t="shared" si="203"/>
        <v>0</v>
      </c>
    </row>
    <row r="3245" spans="27:30" x14ac:dyDescent="0.3">
      <c r="AA3245">
        <f t="shared" si="200"/>
        <v>0</v>
      </c>
      <c r="AB3245">
        <f t="shared" si="201"/>
        <v>0</v>
      </c>
      <c r="AC3245">
        <f t="shared" si="202"/>
        <v>0</v>
      </c>
      <c r="AD3245">
        <f t="shared" si="203"/>
        <v>0</v>
      </c>
    </row>
    <row r="3246" spans="27:30" x14ac:dyDescent="0.3">
      <c r="AA3246">
        <f t="shared" si="200"/>
        <v>0</v>
      </c>
      <c r="AB3246">
        <f t="shared" si="201"/>
        <v>0</v>
      </c>
      <c r="AC3246">
        <f t="shared" si="202"/>
        <v>0</v>
      </c>
      <c r="AD3246">
        <f t="shared" si="203"/>
        <v>0</v>
      </c>
    </row>
    <row r="3247" spans="27:30" x14ac:dyDescent="0.3">
      <c r="AA3247">
        <f t="shared" si="200"/>
        <v>0</v>
      </c>
      <c r="AB3247">
        <f t="shared" si="201"/>
        <v>0</v>
      </c>
      <c r="AC3247">
        <f t="shared" si="202"/>
        <v>0</v>
      </c>
      <c r="AD3247">
        <f t="shared" si="203"/>
        <v>0</v>
      </c>
    </row>
    <row r="3248" spans="27:30" x14ac:dyDescent="0.3">
      <c r="AA3248">
        <f t="shared" si="200"/>
        <v>0</v>
      </c>
      <c r="AB3248">
        <f t="shared" si="201"/>
        <v>0</v>
      </c>
      <c r="AC3248">
        <f t="shared" si="202"/>
        <v>0</v>
      </c>
      <c r="AD3248">
        <f t="shared" si="203"/>
        <v>0</v>
      </c>
    </row>
    <row r="3249" spans="27:30" x14ac:dyDescent="0.3">
      <c r="AA3249">
        <f t="shared" si="200"/>
        <v>0</v>
      </c>
      <c r="AB3249">
        <f t="shared" si="201"/>
        <v>0</v>
      </c>
      <c r="AC3249">
        <f t="shared" si="202"/>
        <v>0</v>
      </c>
      <c r="AD3249">
        <f t="shared" si="203"/>
        <v>0</v>
      </c>
    </row>
    <row r="3250" spans="27:30" x14ac:dyDescent="0.3">
      <c r="AA3250">
        <f t="shared" si="200"/>
        <v>0</v>
      </c>
      <c r="AB3250">
        <f t="shared" si="201"/>
        <v>0</v>
      </c>
      <c r="AC3250">
        <f t="shared" si="202"/>
        <v>0</v>
      </c>
      <c r="AD3250">
        <f t="shared" si="203"/>
        <v>0</v>
      </c>
    </row>
    <row r="3251" spans="27:30" x14ac:dyDescent="0.3">
      <c r="AA3251">
        <f t="shared" si="200"/>
        <v>0</v>
      </c>
      <c r="AB3251">
        <f t="shared" si="201"/>
        <v>0</v>
      </c>
      <c r="AC3251">
        <f t="shared" si="202"/>
        <v>0</v>
      </c>
      <c r="AD3251">
        <f t="shared" si="203"/>
        <v>0</v>
      </c>
    </row>
    <row r="3252" spans="27:30" x14ac:dyDescent="0.3">
      <c r="AA3252">
        <f t="shared" si="200"/>
        <v>0</v>
      </c>
      <c r="AB3252">
        <f t="shared" si="201"/>
        <v>0</v>
      </c>
      <c r="AC3252">
        <f t="shared" si="202"/>
        <v>0</v>
      </c>
      <c r="AD3252">
        <f t="shared" si="203"/>
        <v>0</v>
      </c>
    </row>
    <row r="3253" spans="27:30" x14ac:dyDescent="0.3">
      <c r="AA3253">
        <f t="shared" si="200"/>
        <v>0</v>
      </c>
      <c r="AB3253">
        <f t="shared" si="201"/>
        <v>0</v>
      </c>
      <c r="AC3253">
        <f t="shared" si="202"/>
        <v>0</v>
      </c>
      <c r="AD3253">
        <f t="shared" si="203"/>
        <v>0</v>
      </c>
    </row>
    <row r="3254" spans="27:30" x14ac:dyDescent="0.3">
      <c r="AA3254">
        <f t="shared" si="200"/>
        <v>0</v>
      </c>
      <c r="AB3254">
        <f t="shared" si="201"/>
        <v>0</v>
      </c>
      <c r="AC3254">
        <f t="shared" si="202"/>
        <v>0</v>
      </c>
      <c r="AD3254">
        <f t="shared" si="203"/>
        <v>0</v>
      </c>
    </row>
    <row r="3255" spans="27:30" x14ac:dyDescent="0.3">
      <c r="AA3255">
        <f t="shared" si="200"/>
        <v>0</v>
      </c>
      <c r="AB3255">
        <f t="shared" si="201"/>
        <v>0</v>
      </c>
      <c r="AC3255">
        <f t="shared" si="202"/>
        <v>0</v>
      </c>
      <c r="AD3255">
        <f t="shared" si="203"/>
        <v>0</v>
      </c>
    </row>
    <row r="3256" spans="27:30" x14ac:dyDescent="0.3">
      <c r="AA3256">
        <f t="shared" si="200"/>
        <v>0</v>
      </c>
      <c r="AB3256">
        <f t="shared" si="201"/>
        <v>0</v>
      </c>
      <c r="AC3256">
        <f t="shared" si="202"/>
        <v>0</v>
      </c>
      <c r="AD3256">
        <f t="shared" si="203"/>
        <v>0</v>
      </c>
    </row>
    <row r="3257" spans="27:30" x14ac:dyDescent="0.3">
      <c r="AA3257">
        <f t="shared" si="200"/>
        <v>0</v>
      </c>
      <c r="AB3257">
        <f t="shared" si="201"/>
        <v>0</v>
      </c>
      <c r="AC3257">
        <f t="shared" si="202"/>
        <v>0</v>
      </c>
      <c r="AD3257">
        <f t="shared" si="203"/>
        <v>0</v>
      </c>
    </row>
    <row r="3258" spans="27:30" x14ac:dyDescent="0.3">
      <c r="AA3258">
        <f t="shared" si="200"/>
        <v>0</v>
      </c>
      <c r="AB3258">
        <f t="shared" si="201"/>
        <v>0</v>
      </c>
      <c r="AC3258">
        <f t="shared" si="202"/>
        <v>0</v>
      </c>
      <c r="AD3258">
        <f t="shared" si="203"/>
        <v>0</v>
      </c>
    </row>
    <row r="3259" spans="27:30" x14ac:dyDescent="0.3">
      <c r="AA3259">
        <f t="shared" si="200"/>
        <v>0</v>
      </c>
      <c r="AB3259">
        <f t="shared" si="201"/>
        <v>0</v>
      </c>
      <c r="AC3259">
        <f t="shared" si="202"/>
        <v>0</v>
      </c>
      <c r="AD3259">
        <f t="shared" si="203"/>
        <v>0</v>
      </c>
    </row>
    <row r="3260" spans="27:30" x14ac:dyDescent="0.3">
      <c r="AA3260">
        <f t="shared" si="200"/>
        <v>0</v>
      </c>
      <c r="AB3260">
        <f t="shared" si="201"/>
        <v>0</v>
      </c>
      <c r="AC3260">
        <f t="shared" si="202"/>
        <v>0</v>
      </c>
      <c r="AD3260">
        <f t="shared" si="203"/>
        <v>0</v>
      </c>
    </row>
    <row r="3261" spans="27:30" x14ac:dyDescent="0.3">
      <c r="AA3261">
        <f t="shared" si="200"/>
        <v>0</v>
      </c>
      <c r="AB3261">
        <f t="shared" si="201"/>
        <v>0</v>
      </c>
      <c r="AC3261">
        <f t="shared" si="202"/>
        <v>0</v>
      </c>
      <c r="AD3261">
        <f t="shared" si="203"/>
        <v>0</v>
      </c>
    </row>
    <row r="3262" spans="27:30" x14ac:dyDescent="0.3">
      <c r="AA3262">
        <f t="shared" si="200"/>
        <v>0</v>
      </c>
      <c r="AB3262">
        <f t="shared" si="201"/>
        <v>0</v>
      </c>
      <c r="AC3262">
        <f t="shared" si="202"/>
        <v>0</v>
      </c>
      <c r="AD3262">
        <f t="shared" si="203"/>
        <v>0</v>
      </c>
    </row>
    <row r="3263" spans="27:30" x14ac:dyDescent="0.3">
      <c r="AA3263">
        <f t="shared" si="200"/>
        <v>0</v>
      </c>
      <c r="AB3263">
        <f t="shared" si="201"/>
        <v>0</v>
      </c>
      <c r="AC3263">
        <f t="shared" si="202"/>
        <v>0</v>
      </c>
      <c r="AD3263">
        <f t="shared" si="203"/>
        <v>0</v>
      </c>
    </row>
    <row r="3264" spans="27:30" x14ac:dyDescent="0.3">
      <c r="AA3264">
        <f t="shared" si="200"/>
        <v>0</v>
      </c>
      <c r="AB3264">
        <f t="shared" si="201"/>
        <v>0</v>
      </c>
      <c r="AC3264">
        <f t="shared" si="202"/>
        <v>0</v>
      </c>
      <c r="AD3264">
        <f t="shared" si="203"/>
        <v>0</v>
      </c>
    </row>
    <row r="3265" spans="27:30" x14ac:dyDescent="0.3">
      <c r="AA3265">
        <f t="shared" si="200"/>
        <v>0</v>
      </c>
      <c r="AB3265">
        <f t="shared" si="201"/>
        <v>0</v>
      </c>
      <c r="AC3265">
        <f t="shared" si="202"/>
        <v>0</v>
      </c>
      <c r="AD3265">
        <f t="shared" si="203"/>
        <v>0</v>
      </c>
    </row>
    <row r="3266" spans="27:30" x14ac:dyDescent="0.3">
      <c r="AA3266">
        <f t="shared" si="200"/>
        <v>0</v>
      </c>
      <c r="AB3266">
        <f t="shared" si="201"/>
        <v>0</v>
      </c>
      <c r="AC3266">
        <f t="shared" si="202"/>
        <v>0</v>
      </c>
      <c r="AD3266">
        <f t="shared" si="203"/>
        <v>0</v>
      </c>
    </row>
    <row r="3267" spans="27:30" x14ac:dyDescent="0.3">
      <c r="AA3267">
        <f t="shared" si="200"/>
        <v>0</v>
      </c>
      <c r="AB3267">
        <f t="shared" si="201"/>
        <v>0</v>
      </c>
      <c r="AC3267">
        <f t="shared" si="202"/>
        <v>0</v>
      </c>
      <c r="AD3267">
        <f t="shared" si="203"/>
        <v>0</v>
      </c>
    </row>
    <row r="3268" spans="27:30" x14ac:dyDescent="0.3">
      <c r="AA3268">
        <f t="shared" si="200"/>
        <v>0</v>
      </c>
      <c r="AB3268">
        <f t="shared" si="201"/>
        <v>0</v>
      </c>
      <c r="AC3268">
        <f t="shared" si="202"/>
        <v>0</v>
      </c>
      <c r="AD3268">
        <f t="shared" si="203"/>
        <v>0</v>
      </c>
    </row>
    <row r="3269" spans="27:30" x14ac:dyDescent="0.3">
      <c r="AA3269">
        <f t="shared" ref="AA3269:AA3332" si="204">ROUND(Z3269,0)</f>
        <v>0</v>
      </c>
      <c r="AB3269">
        <f t="shared" ref="AB3269:AB3332" si="205">IF(AA3269=Y3269,0,1)</f>
        <v>0</v>
      </c>
      <c r="AC3269">
        <f t="shared" ref="AC3269:AC3332" si="206">IF(AA3269&lt;Y3269+5,IF(AA3269&gt;Y3269-5,0,1),1)</f>
        <v>0</v>
      </c>
      <c r="AD3269">
        <f t="shared" ref="AD3269:AD3332" si="207">IF(AA3269&lt;Y3269+10,IF(AA3269&gt;Y3269-10,0,1),1)</f>
        <v>0</v>
      </c>
    </row>
    <row r="3270" spans="27:30" x14ac:dyDescent="0.3">
      <c r="AA3270">
        <f t="shared" si="204"/>
        <v>0</v>
      </c>
      <c r="AB3270">
        <f t="shared" si="205"/>
        <v>0</v>
      </c>
      <c r="AC3270">
        <f t="shared" si="206"/>
        <v>0</v>
      </c>
      <c r="AD3270">
        <f t="shared" si="207"/>
        <v>0</v>
      </c>
    </row>
    <row r="3271" spans="27:30" x14ac:dyDescent="0.3">
      <c r="AA3271">
        <f t="shared" si="204"/>
        <v>0</v>
      </c>
      <c r="AB3271">
        <f t="shared" si="205"/>
        <v>0</v>
      </c>
      <c r="AC3271">
        <f t="shared" si="206"/>
        <v>0</v>
      </c>
      <c r="AD3271">
        <f t="shared" si="207"/>
        <v>0</v>
      </c>
    </row>
    <row r="3272" spans="27:30" x14ac:dyDescent="0.3">
      <c r="AA3272">
        <f t="shared" si="204"/>
        <v>0</v>
      </c>
      <c r="AB3272">
        <f t="shared" si="205"/>
        <v>0</v>
      </c>
      <c r="AC3272">
        <f t="shared" si="206"/>
        <v>0</v>
      </c>
      <c r="AD3272">
        <f t="shared" si="207"/>
        <v>0</v>
      </c>
    </row>
    <row r="3273" spans="27:30" x14ac:dyDescent="0.3">
      <c r="AA3273">
        <f t="shared" si="204"/>
        <v>0</v>
      </c>
      <c r="AB3273">
        <f t="shared" si="205"/>
        <v>0</v>
      </c>
      <c r="AC3273">
        <f t="shared" si="206"/>
        <v>0</v>
      </c>
      <c r="AD3273">
        <f t="shared" si="207"/>
        <v>0</v>
      </c>
    </row>
    <row r="3274" spans="27:30" x14ac:dyDescent="0.3">
      <c r="AA3274">
        <f t="shared" si="204"/>
        <v>0</v>
      </c>
      <c r="AB3274">
        <f t="shared" si="205"/>
        <v>0</v>
      </c>
      <c r="AC3274">
        <f t="shared" si="206"/>
        <v>0</v>
      </c>
      <c r="AD3274">
        <f t="shared" si="207"/>
        <v>0</v>
      </c>
    </row>
    <row r="3275" spans="27:30" x14ac:dyDescent="0.3">
      <c r="AA3275">
        <f t="shared" si="204"/>
        <v>0</v>
      </c>
      <c r="AB3275">
        <f t="shared" si="205"/>
        <v>0</v>
      </c>
      <c r="AC3275">
        <f t="shared" si="206"/>
        <v>0</v>
      </c>
      <c r="AD3275">
        <f t="shared" si="207"/>
        <v>0</v>
      </c>
    </row>
    <row r="3276" spans="27:30" x14ac:dyDescent="0.3">
      <c r="AA3276">
        <f t="shared" si="204"/>
        <v>0</v>
      </c>
      <c r="AB3276">
        <f t="shared" si="205"/>
        <v>0</v>
      </c>
      <c r="AC3276">
        <f t="shared" si="206"/>
        <v>0</v>
      </c>
      <c r="AD3276">
        <f t="shared" si="207"/>
        <v>0</v>
      </c>
    </row>
    <row r="3277" spans="27:30" x14ac:dyDescent="0.3">
      <c r="AA3277">
        <f t="shared" si="204"/>
        <v>0</v>
      </c>
      <c r="AB3277">
        <f t="shared" si="205"/>
        <v>0</v>
      </c>
      <c r="AC3277">
        <f t="shared" si="206"/>
        <v>0</v>
      </c>
      <c r="AD3277">
        <f t="shared" si="207"/>
        <v>0</v>
      </c>
    </row>
    <row r="3278" spans="27:30" x14ac:dyDescent="0.3">
      <c r="AA3278">
        <f t="shared" si="204"/>
        <v>0</v>
      </c>
      <c r="AB3278">
        <f t="shared" si="205"/>
        <v>0</v>
      </c>
      <c r="AC3278">
        <f t="shared" si="206"/>
        <v>0</v>
      </c>
      <c r="AD3278">
        <f t="shared" si="207"/>
        <v>0</v>
      </c>
    </row>
    <row r="3279" spans="27:30" x14ac:dyDescent="0.3">
      <c r="AA3279">
        <f t="shared" si="204"/>
        <v>0</v>
      </c>
      <c r="AB3279">
        <f t="shared" si="205"/>
        <v>0</v>
      </c>
      <c r="AC3279">
        <f t="shared" si="206"/>
        <v>0</v>
      </c>
      <c r="AD3279">
        <f t="shared" si="207"/>
        <v>0</v>
      </c>
    </row>
    <row r="3280" spans="27:30" x14ac:dyDescent="0.3">
      <c r="AA3280">
        <f t="shared" si="204"/>
        <v>0</v>
      </c>
      <c r="AB3280">
        <f t="shared" si="205"/>
        <v>0</v>
      </c>
      <c r="AC3280">
        <f t="shared" si="206"/>
        <v>0</v>
      </c>
      <c r="AD3280">
        <f t="shared" si="207"/>
        <v>0</v>
      </c>
    </row>
    <row r="3281" spans="27:30" x14ac:dyDescent="0.3">
      <c r="AA3281">
        <f t="shared" si="204"/>
        <v>0</v>
      </c>
      <c r="AB3281">
        <f t="shared" si="205"/>
        <v>0</v>
      </c>
      <c r="AC3281">
        <f t="shared" si="206"/>
        <v>0</v>
      </c>
      <c r="AD3281">
        <f t="shared" si="207"/>
        <v>0</v>
      </c>
    </row>
    <row r="3282" spans="27:30" x14ac:dyDescent="0.3">
      <c r="AA3282">
        <f t="shared" si="204"/>
        <v>0</v>
      </c>
      <c r="AB3282">
        <f t="shared" si="205"/>
        <v>0</v>
      </c>
      <c r="AC3282">
        <f t="shared" si="206"/>
        <v>0</v>
      </c>
      <c r="AD3282">
        <f t="shared" si="207"/>
        <v>0</v>
      </c>
    </row>
    <row r="3283" spans="27:30" x14ac:dyDescent="0.3">
      <c r="AA3283">
        <f t="shared" si="204"/>
        <v>0</v>
      </c>
      <c r="AB3283">
        <f t="shared" si="205"/>
        <v>0</v>
      </c>
      <c r="AC3283">
        <f t="shared" si="206"/>
        <v>0</v>
      </c>
      <c r="AD3283">
        <f t="shared" si="207"/>
        <v>0</v>
      </c>
    </row>
    <row r="3284" spans="27:30" x14ac:dyDescent="0.3">
      <c r="AA3284">
        <f t="shared" si="204"/>
        <v>0</v>
      </c>
      <c r="AB3284">
        <f t="shared" si="205"/>
        <v>0</v>
      </c>
      <c r="AC3284">
        <f t="shared" si="206"/>
        <v>0</v>
      </c>
      <c r="AD3284">
        <f t="shared" si="207"/>
        <v>0</v>
      </c>
    </row>
    <row r="3285" spans="27:30" x14ac:dyDescent="0.3">
      <c r="AA3285">
        <f t="shared" si="204"/>
        <v>0</v>
      </c>
      <c r="AB3285">
        <f t="shared" si="205"/>
        <v>0</v>
      </c>
      <c r="AC3285">
        <f t="shared" si="206"/>
        <v>0</v>
      </c>
      <c r="AD3285">
        <f t="shared" si="207"/>
        <v>0</v>
      </c>
    </row>
    <row r="3286" spans="27:30" x14ac:dyDescent="0.3">
      <c r="AA3286">
        <f t="shared" si="204"/>
        <v>0</v>
      </c>
      <c r="AB3286">
        <f t="shared" si="205"/>
        <v>0</v>
      </c>
      <c r="AC3286">
        <f t="shared" si="206"/>
        <v>0</v>
      </c>
      <c r="AD3286">
        <f t="shared" si="207"/>
        <v>0</v>
      </c>
    </row>
    <row r="3287" spans="27:30" x14ac:dyDescent="0.3">
      <c r="AA3287">
        <f t="shared" si="204"/>
        <v>0</v>
      </c>
      <c r="AB3287">
        <f t="shared" si="205"/>
        <v>0</v>
      </c>
      <c r="AC3287">
        <f t="shared" si="206"/>
        <v>0</v>
      </c>
      <c r="AD3287">
        <f t="shared" si="207"/>
        <v>0</v>
      </c>
    </row>
    <row r="3288" spans="27:30" x14ac:dyDescent="0.3">
      <c r="AA3288">
        <f t="shared" si="204"/>
        <v>0</v>
      </c>
      <c r="AB3288">
        <f t="shared" si="205"/>
        <v>0</v>
      </c>
      <c r="AC3288">
        <f t="shared" si="206"/>
        <v>0</v>
      </c>
      <c r="AD3288">
        <f t="shared" si="207"/>
        <v>0</v>
      </c>
    </row>
    <row r="3289" spans="27:30" x14ac:dyDescent="0.3">
      <c r="AA3289">
        <f t="shared" si="204"/>
        <v>0</v>
      </c>
      <c r="AB3289">
        <f t="shared" si="205"/>
        <v>0</v>
      </c>
      <c r="AC3289">
        <f t="shared" si="206"/>
        <v>0</v>
      </c>
      <c r="AD3289">
        <f t="shared" si="207"/>
        <v>0</v>
      </c>
    </row>
    <row r="3290" spans="27:30" x14ac:dyDescent="0.3">
      <c r="AA3290">
        <f t="shared" si="204"/>
        <v>0</v>
      </c>
      <c r="AB3290">
        <f t="shared" si="205"/>
        <v>0</v>
      </c>
      <c r="AC3290">
        <f t="shared" si="206"/>
        <v>0</v>
      </c>
      <c r="AD3290">
        <f t="shared" si="207"/>
        <v>0</v>
      </c>
    </row>
    <row r="3291" spans="27:30" x14ac:dyDescent="0.3">
      <c r="AA3291">
        <f t="shared" si="204"/>
        <v>0</v>
      </c>
      <c r="AB3291">
        <f t="shared" si="205"/>
        <v>0</v>
      </c>
      <c r="AC3291">
        <f t="shared" si="206"/>
        <v>0</v>
      </c>
      <c r="AD3291">
        <f t="shared" si="207"/>
        <v>0</v>
      </c>
    </row>
    <row r="3292" spans="27:30" x14ac:dyDescent="0.3">
      <c r="AA3292">
        <f t="shared" si="204"/>
        <v>0</v>
      </c>
      <c r="AB3292">
        <f t="shared" si="205"/>
        <v>0</v>
      </c>
      <c r="AC3292">
        <f t="shared" si="206"/>
        <v>0</v>
      </c>
      <c r="AD3292">
        <f t="shared" si="207"/>
        <v>0</v>
      </c>
    </row>
    <row r="3293" spans="27:30" x14ac:dyDescent="0.3">
      <c r="AA3293">
        <f t="shared" si="204"/>
        <v>0</v>
      </c>
      <c r="AB3293">
        <f t="shared" si="205"/>
        <v>0</v>
      </c>
      <c r="AC3293">
        <f t="shared" si="206"/>
        <v>0</v>
      </c>
      <c r="AD3293">
        <f t="shared" si="207"/>
        <v>0</v>
      </c>
    </row>
    <row r="3294" spans="27:30" x14ac:dyDescent="0.3">
      <c r="AA3294">
        <f t="shared" si="204"/>
        <v>0</v>
      </c>
      <c r="AB3294">
        <f t="shared" si="205"/>
        <v>0</v>
      </c>
      <c r="AC3294">
        <f t="shared" si="206"/>
        <v>0</v>
      </c>
      <c r="AD3294">
        <f t="shared" si="207"/>
        <v>0</v>
      </c>
    </row>
    <row r="3295" spans="27:30" x14ac:dyDescent="0.3">
      <c r="AA3295">
        <f t="shared" si="204"/>
        <v>0</v>
      </c>
      <c r="AB3295">
        <f t="shared" si="205"/>
        <v>0</v>
      </c>
      <c r="AC3295">
        <f t="shared" si="206"/>
        <v>0</v>
      </c>
      <c r="AD3295">
        <f t="shared" si="207"/>
        <v>0</v>
      </c>
    </row>
    <row r="3296" spans="27:30" x14ac:dyDescent="0.3">
      <c r="AA3296">
        <f t="shared" si="204"/>
        <v>0</v>
      </c>
      <c r="AB3296">
        <f t="shared" si="205"/>
        <v>0</v>
      </c>
      <c r="AC3296">
        <f t="shared" si="206"/>
        <v>0</v>
      </c>
      <c r="AD3296">
        <f t="shared" si="207"/>
        <v>0</v>
      </c>
    </row>
    <row r="3297" spans="27:30" x14ac:dyDescent="0.3">
      <c r="AA3297">
        <f t="shared" si="204"/>
        <v>0</v>
      </c>
      <c r="AB3297">
        <f t="shared" si="205"/>
        <v>0</v>
      </c>
      <c r="AC3297">
        <f t="shared" si="206"/>
        <v>0</v>
      </c>
      <c r="AD3297">
        <f t="shared" si="207"/>
        <v>0</v>
      </c>
    </row>
    <row r="3298" spans="27:30" x14ac:dyDescent="0.3">
      <c r="AA3298">
        <f t="shared" si="204"/>
        <v>0</v>
      </c>
      <c r="AB3298">
        <f t="shared" si="205"/>
        <v>0</v>
      </c>
      <c r="AC3298">
        <f t="shared" si="206"/>
        <v>0</v>
      </c>
      <c r="AD3298">
        <f t="shared" si="207"/>
        <v>0</v>
      </c>
    </row>
    <row r="3299" spans="27:30" x14ac:dyDescent="0.3">
      <c r="AA3299">
        <f t="shared" si="204"/>
        <v>0</v>
      </c>
      <c r="AB3299">
        <f t="shared" si="205"/>
        <v>0</v>
      </c>
      <c r="AC3299">
        <f t="shared" si="206"/>
        <v>0</v>
      </c>
      <c r="AD3299">
        <f t="shared" si="207"/>
        <v>0</v>
      </c>
    </row>
    <row r="3300" spans="27:30" x14ac:dyDescent="0.3">
      <c r="AA3300">
        <f t="shared" si="204"/>
        <v>0</v>
      </c>
      <c r="AB3300">
        <f t="shared" si="205"/>
        <v>0</v>
      </c>
      <c r="AC3300">
        <f t="shared" si="206"/>
        <v>0</v>
      </c>
      <c r="AD3300">
        <f t="shared" si="207"/>
        <v>0</v>
      </c>
    </row>
    <row r="3301" spans="27:30" x14ac:dyDescent="0.3">
      <c r="AA3301">
        <f t="shared" si="204"/>
        <v>0</v>
      </c>
      <c r="AB3301">
        <f t="shared" si="205"/>
        <v>0</v>
      </c>
      <c r="AC3301">
        <f t="shared" si="206"/>
        <v>0</v>
      </c>
      <c r="AD3301">
        <f t="shared" si="207"/>
        <v>0</v>
      </c>
    </row>
    <row r="3302" spans="27:30" x14ac:dyDescent="0.3">
      <c r="AA3302">
        <f t="shared" si="204"/>
        <v>0</v>
      </c>
      <c r="AB3302">
        <f t="shared" si="205"/>
        <v>0</v>
      </c>
      <c r="AC3302">
        <f t="shared" si="206"/>
        <v>0</v>
      </c>
      <c r="AD3302">
        <f t="shared" si="207"/>
        <v>0</v>
      </c>
    </row>
    <row r="3303" spans="27:30" x14ac:dyDescent="0.3">
      <c r="AA3303">
        <f t="shared" si="204"/>
        <v>0</v>
      </c>
      <c r="AB3303">
        <f t="shared" si="205"/>
        <v>0</v>
      </c>
      <c r="AC3303">
        <f t="shared" si="206"/>
        <v>0</v>
      </c>
      <c r="AD3303">
        <f t="shared" si="207"/>
        <v>0</v>
      </c>
    </row>
    <row r="3304" spans="27:30" x14ac:dyDescent="0.3">
      <c r="AA3304">
        <f t="shared" si="204"/>
        <v>0</v>
      </c>
      <c r="AB3304">
        <f t="shared" si="205"/>
        <v>0</v>
      </c>
      <c r="AC3304">
        <f t="shared" si="206"/>
        <v>0</v>
      </c>
      <c r="AD3304">
        <f t="shared" si="207"/>
        <v>0</v>
      </c>
    </row>
    <row r="3305" spans="27:30" x14ac:dyDescent="0.3">
      <c r="AA3305">
        <f t="shared" si="204"/>
        <v>0</v>
      </c>
      <c r="AB3305">
        <f t="shared" si="205"/>
        <v>0</v>
      </c>
      <c r="AC3305">
        <f t="shared" si="206"/>
        <v>0</v>
      </c>
      <c r="AD3305">
        <f t="shared" si="207"/>
        <v>0</v>
      </c>
    </row>
    <row r="3306" spans="27:30" x14ac:dyDescent="0.3">
      <c r="AA3306">
        <f t="shared" si="204"/>
        <v>0</v>
      </c>
      <c r="AB3306">
        <f t="shared" si="205"/>
        <v>0</v>
      </c>
      <c r="AC3306">
        <f t="shared" si="206"/>
        <v>0</v>
      </c>
      <c r="AD3306">
        <f t="shared" si="207"/>
        <v>0</v>
      </c>
    </row>
    <row r="3307" spans="27:30" x14ac:dyDescent="0.3">
      <c r="AA3307">
        <f t="shared" si="204"/>
        <v>0</v>
      </c>
      <c r="AB3307">
        <f t="shared" si="205"/>
        <v>0</v>
      </c>
      <c r="AC3307">
        <f t="shared" si="206"/>
        <v>0</v>
      </c>
      <c r="AD3307">
        <f t="shared" si="207"/>
        <v>0</v>
      </c>
    </row>
    <row r="3308" spans="27:30" x14ac:dyDescent="0.3">
      <c r="AA3308">
        <f t="shared" si="204"/>
        <v>0</v>
      </c>
      <c r="AB3308">
        <f t="shared" si="205"/>
        <v>0</v>
      </c>
      <c r="AC3308">
        <f t="shared" si="206"/>
        <v>0</v>
      </c>
      <c r="AD3308">
        <f t="shared" si="207"/>
        <v>0</v>
      </c>
    </row>
    <row r="3309" spans="27:30" x14ac:dyDescent="0.3">
      <c r="AA3309">
        <f t="shared" si="204"/>
        <v>0</v>
      </c>
      <c r="AB3309">
        <f t="shared" si="205"/>
        <v>0</v>
      </c>
      <c r="AC3309">
        <f t="shared" si="206"/>
        <v>0</v>
      </c>
      <c r="AD3309">
        <f t="shared" si="207"/>
        <v>0</v>
      </c>
    </row>
    <row r="3310" spans="27:30" x14ac:dyDescent="0.3">
      <c r="AA3310">
        <f t="shared" si="204"/>
        <v>0</v>
      </c>
      <c r="AB3310">
        <f t="shared" si="205"/>
        <v>0</v>
      </c>
      <c r="AC3310">
        <f t="shared" si="206"/>
        <v>0</v>
      </c>
      <c r="AD3310">
        <f t="shared" si="207"/>
        <v>0</v>
      </c>
    </row>
    <row r="3311" spans="27:30" x14ac:dyDescent="0.3">
      <c r="AA3311">
        <f t="shared" si="204"/>
        <v>0</v>
      </c>
      <c r="AB3311">
        <f t="shared" si="205"/>
        <v>0</v>
      </c>
      <c r="AC3311">
        <f t="shared" si="206"/>
        <v>0</v>
      </c>
      <c r="AD3311">
        <f t="shared" si="207"/>
        <v>0</v>
      </c>
    </row>
    <row r="3312" spans="27:30" x14ac:dyDescent="0.3">
      <c r="AA3312">
        <f t="shared" si="204"/>
        <v>0</v>
      </c>
      <c r="AB3312">
        <f t="shared" si="205"/>
        <v>0</v>
      </c>
      <c r="AC3312">
        <f t="shared" si="206"/>
        <v>0</v>
      </c>
      <c r="AD3312">
        <f t="shared" si="207"/>
        <v>0</v>
      </c>
    </row>
    <row r="3313" spans="27:30" x14ac:dyDescent="0.3">
      <c r="AA3313">
        <f t="shared" si="204"/>
        <v>0</v>
      </c>
      <c r="AB3313">
        <f t="shared" si="205"/>
        <v>0</v>
      </c>
      <c r="AC3313">
        <f t="shared" si="206"/>
        <v>0</v>
      </c>
      <c r="AD3313">
        <f t="shared" si="207"/>
        <v>0</v>
      </c>
    </row>
    <row r="3314" spans="27:30" x14ac:dyDescent="0.3">
      <c r="AA3314">
        <f t="shared" si="204"/>
        <v>0</v>
      </c>
      <c r="AB3314">
        <f t="shared" si="205"/>
        <v>0</v>
      </c>
      <c r="AC3314">
        <f t="shared" si="206"/>
        <v>0</v>
      </c>
      <c r="AD3314">
        <f t="shared" si="207"/>
        <v>0</v>
      </c>
    </row>
    <row r="3315" spans="27:30" x14ac:dyDescent="0.3">
      <c r="AA3315">
        <f t="shared" si="204"/>
        <v>0</v>
      </c>
      <c r="AB3315">
        <f t="shared" si="205"/>
        <v>0</v>
      </c>
      <c r="AC3315">
        <f t="shared" si="206"/>
        <v>0</v>
      </c>
      <c r="AD3315">
        <f t="shared" si="207"/>
        <v>0</v>
      </c>
    </row>
    <row r="3316" spans="27:30" x14ac:dyDescent="0.3">
      <c r="AA3316">
        <f t="shared" si="204"/>
        <v>0</v>
      </c>
      <c r="AB3316">
        <f t="shared" si="205"/>
        <v>0</v>
      </c>
      <c r="AC3316">
        <f t="shared" si="206"/>
        <v>0</v>
      </c>
      <c r="AD3316">
        <f t="shared" si="207"/>
        <v>0</v>
      </c>
    </row>
    <row r="3317" spans="27:30" x14ac:dyDescent="0.3">
      <c r="AA3317">
        <f t="shared" si="204"/>
        <v>0</v>
      </c>
      <c r="AB3317">
        <f t="shared" si="205"/>
        <v>0</v>
      </c>
      <c r="AC3317">
        <f t="shared" si="206"/>
        <v>0</v>
      </c>
      <c r="AD3317">
        <f t="shared" si="207"/>
        <v>0</v>
      </c>
    </row>
    <row r="3318" spans="27:30" x14ac:dyDescent="0.3">
      <c r="AA3318">
        <f t="shared" si="204"/>
        <v>0</v>
      </c>
      <c r="AB3318">
        <f t="shared" si="205"/>
        <v>0</v>
      </c>
      <c r="AC3318">
        <f t="shared" si="206"/>
        <v>0</v>
      </c>
      <c r="AD3318">
        <f t="shared" si="207"/>
        <v>0</v>
      </c>
    </row>
    <row r="3319" spans="27:30" x14ac:dyDescent="0.3">
      <c r="AA3319">
        <f t="shared" si="204"/>
        <v>0</v>
      </c>
      <c r="AB3319">
        <f t="shared" si="205"/>
        <v>0</v>
      </c>
      <c r="AC3319">
        <f t="shared" si="206"/>
        <v>0</v>
      </c>
      <c r="AD3319">
        <f t="shared" si="207"/>
        <v>0</v>
      </c>
    </row>
    <row r="3320" spans="27:30" x14ac:dyDescent="0.3">
      <c r="AA3320">
        <f t="shared" si="204"/>
        <v>0</v>
      </c>
      <c r="AB3320">
        <f t="shared" si="205"/>
        <v>0</v>
      </c>
      <c r="AC3320">
        <f t="shared" si="206"/>
        <v>0</v>
      </c>
      <c r="AD3320">
        <f t="shared" si="207"/>
        <v>0</v>
      </c>
    </row>
    <row r="3321" spans="27:30" x14ac:dyDescent="0.3">
      <c r="AA3321">
        <f t="shared" si="204"/>
        <v>0</v>
      </c>
      <c r="AB3321">
        <f t="shared" si="205"/>
        <v>0</v>
      </c>
      <c r="AC3321">
        <f t="shared" si="206"/>
        <v>0</v>
      </c>
      <c r="AD3321">
        <f t="shared" si="207"/>
        <v>0</v>
      </c>
    </row>
    <row r="3322" spans="27:30" x14ac:dyDescent="0.3">
      <c r="AA3322">
        <f t="shared" si="204"/>
        <v>0</v>
      </c>
      <c r="AB3322">
        <f t="shared" si="205"/>
        <v>0</v>
      </c>
      <c r="AC3322">
        <f t="shared" si="206"/>
        <v>0</v>
      </c>
      <c r="AD3322">
        <f t="shared" si="207"/>
        <v>0</v>
      </c>
    </row>
    <row r="3323" spans="27:30" x14ac:dyDescent="0.3">
      <c r="AA3323">
        <f t="shared" si="204"/>
        <v>0</v>
      </c>
      <c r="AB3323">
        <f t="shared" si="205"/>
        <v>0</v>
      </c>
      <c r="AC3323">
        <f t="shared" si="206"/>
        <v>0</v>
      </c>
      <c r="AD3323">
        <f t="shared" si="207"/>
        <v>0</v>
      </c>
    </row>
    <row r="3324" spans="27:30" x14ac:dyDescent="0.3">
      <c r="AA3324">
        <f t="shared" si="204"/>
        <v>0</v>
      </c>
      <c r="AB3324">
        <f t="shared" si="205"/>
        <v>0</v>
      </c>
      <c r="AC3324">
        <f t="shared" si="206"/>
        <v>0</v>
      </c>
      <c r="AD3324">
        <f t="shared" si="207"/>
        <v>0</v>
      </c>
    </row>
    <row r="3325" spans="27:30" x14ac:dyDescent="0.3">
      <c r="AA3325">
        <f t="shared" si="204"/>
        <v>0</v>
      </c>
      <c r="AB3325">
        <f t="shared" si="205"/>
        <v>0</v>
      </c>
      <c r="AC3325">
        <f t="shared" si="206"/>
        <v>0</v>
      </c>
      <c r="AD3325">
        <f t="shared" si="207"/>
        <v>0</v>
      </c>
    </row>
    <row r="3326" spans="27:30" x14ac:dyDescent="0.3">
      <c r="AA3326">
        <f t="shared" si="204"/>
        <v>0</v>
      </c>
      <c r="AB3326">
        <f t="shared" si="205"/>
        <v>0</v>
      </c>
      <c r="AC3326">
        <f t="shared" si="206"/>
        <v>0</v>
      </c>
      <c r="AD3326">
        <f t="shared" si="207"/>
        <v>0</v>
      </c>
    </row>
    <row r="3327" spans="27:30" x14ac:dyDescent="0.3">
      <c r="AA3327">
        <f t="shared" si="204"/>
        <v>0</v>
      </c>
      <c r="AB3327">
        <f t="shared" si="205"/>
        <v>0</v>
      </c>
      <c r="AC3327">
        <f t="shared" si="206"/>
        <v>0</v>
      </c>
      <c r="AD3327">
        <f t="shared" si="207"/>
        <v>0</v>
      </c>
    </row>
    <row r="3328" spans="27:30" x14ac:dyDescent="0.3">
      <c r="AA3328">
        <f t="shared" si="204"/>
        <v>0</v>
      </c>
      <c r="AB3328">
        <f t="shared" si="205"/>
        <v>0</v>
      </c>
      <c r="AC3328">
        <f t="shared" si="206"/>
        <v>0</v>
      </c>
      <c r="AD3328">
        <f t="shared" si="207"/>
        <v>0</v>
      </c>
    </row>
    <row r="3329" spans="27:30" x14ac:dyDescent="0.3">
      <c r="AA3329">
        <f t="shared" si="204"/>
        <v>0</v>
      </c>
      <c r="AB3329">
        <f t="shared" si="205"/>
        <v>0</v>
      </c>
      <c r="AC3329">
        <f t="shared" si="206"/>
        <v>0</v>
      </c>
      <c r="AD3329">
        <f t="shared" si="207"/>
        <v>0</v>
      </c>
    </row>
    <row r="3330" spans="27:30" x14ac:dyDescent="0.3">
      <c r="AA3330">
        <f t="shared" si="204"/>
        <v>0</v>
      </c>
      <c r="AB3330">
        <f t="shared" si="205"/>
        <v>0</v>
      </c>
      <c r="AC3330">
        <f t="shared" si="206"/>
        <v>0</v>
      </c>
      <c r="AD3330">
        <f t="shared" si="207"/>
        <v>0</v>
      </c>
    </row>
    <row r="3331" spans="27:30" x14ac:dyDescent="0.3">
      <c r="AA3331">
        <f t="shared" si="204"/>
        <v>0</v>
      </c>
      <c r="AB3331">
        <f t="shared" si="205"/>
        <v>0</v>
      </c>
      <c r="AC3331">
        <f t="shared" si="206"/>
        <v>0</v>
      </c>
      <c r="AD3331">
        <f t="shared" si="207"/>
        <v>0</v>
      </c>
    </row>
    <row r="3332" spans="27:30" x14ac:dyDescent="0.3">
      <c r="AA3332">
        <f t="shared" si="204"/>
        <v>0</v>
      </c>
      <c r="AB3332">
        <f t="shared" si="205"/>
        <v>0</v>
      </c>
      <c r="AC3332">
        <f t="shared" si="206"/>
        <v>0</v>
      </c>
      <c r="AD3332">
        <f t="shared" si="207"/>
        <v>0</v>
      </c>
    </row>
    <row r="3333" spans="27:30" x14ac:dyDescent="0.3">
      <c r="AA3333">
        <f t="shared" ref="AA3333:AA3396" si="208">ROUND(Z3333,0)</f>
        <v>0</v>
      </c>
      <c r="AB3333">
        <f t="shared" ref="AB3333:AB3396" si="209">IF(AA3333=Y3333,0,1)</f>
        <v>0</v>
      </c>
      <c r="AC3333">
        <f t="shared" ref="AC3333:AC3396" si="210">IF(AA3333&lt;Y3333+5,IF(AA3333&gt;Y3333-5,0,1),1)</f>
        <v>0</v>
      </c>
      <c r="AD3333">
        <f t="shared" ref="AD3333:AD3396" si="211">IF(AA3333&lt;Y3333+10,IF(AA3333&gt;Y3333-10,0,1),1)</f>
        <v>0</v>
      </c>
    </row>
    <row r="3334" spans="27:30" x14ac:dyDescent="0.3">
      <c r="AA3334">
        <f t="shared" si="208"/>
        <v>0</v>
      </c>
      <c r="AB3334">
        <f t="shared" si="209"/>
        <v>0</v>
      </c>
      <c r="AC3334">
        <f t="shared" si="210"/>
        <v>0</v>
      </c>
      <c r="AD3334">
        <f t="shared" si="211"/>
        <v>0</v>
      </c>
    </row>
    <row r="3335" spans="27:30" x14ac:dyDescent="0.3">
      <c r="AA3335">
        <f t="shared" si="208"/>
        <v>0</v>
      </c>
      <c r="AB3335">
        <f t="shared" si="209"/>
        <v>0</v>
      </c>
      <c r="AC3335">
        <f t="shared" si="210"/>
        <v>0</v>
      </c>
      <c r="AD3335">
        <f t="shared" si="211"/>
        <v>0</v>
      </c>
    </row>
    <row r="3336" spans="27:30" x14ac:dyDescent="0.3">
      <c r="AA3336">
        <f t="shared" si="208"/>
        <v>0</v>
      </c>
      <c r="AB3336">
        <f t="shared" si="209"/>
        <v>0</v>
      </c>
      <c r="AC3336">
        <f t="shared" si="210"/>
        <v>0</v>
      </c>
      <c r="AD3336">
        <f t="shared" si="211"/>
        <v>0</v>
      </c>
    </row>
    <row r="3337" spans="27:30" x14ac:dyDescent="0.3">
      <c r="AA3337">
        <f t="shared" si="208"/>
        <v>0</v>
      </c>
      <c r="AB3337">
        <f t="shared" si="209"/>
        <v>0</v>
      </c>
      <c r="AC3337">
        <f t="shared" si="210"/>
        <v>0</v>
      </c>
      <c r="AD3337">
        <f t="shared" si="211"/>
        <v>0</v>
      </c>
    </row>
    <row r="3338" spans="27:30" x14ac:dyDescent="0.3">
      <c r="AA3338">
        <f t="shared" si="208"/>
        <v>0</v>
      </c>
      <c r="AB3338">
        <f t="shared" si="209"/>
        <v>0</v>
      </c>
      <c r="AC3338">
        <f t="shared" si="210"/>
        <v>0</v>
      </c>
      <c r="AD3338">
        <f t="shared" si="211"/>
        <v>0</v>
      </c>
    </row>
    <row r="3339" spans="27:30" x14ac:dyDescent="0.3">
      <c r="AA3339">
        <f t="shared" si="208"/>
        <v>0</v>
      </c>
      <c r="AB3339">
        <f t="shared" si="209"/>
        <v>0</v>
      </c>
      <c r="AC3339">
        <f t="shared" si="210"/>
        <v>0</v>
      </c>
      <c r="AD3339">
        <f t="shared" si="211"/>
        <v>0</v>
      </c>
    </row>
    <row r="3340" spans="27:30" x14ac:dyDescent="0.3">
      <c r="AA3340">
        <f t="shared" si="208"/>
        <v>0</v>
      </c>
      <c r="AB3340">
        <f t="shared" si="209"/>
        <v>0</v>
      </c>
      <c r="AC3340">
        <f t="shared" si="210"/>
        <v>0</v>
      </c>
      <c r="AD3340">
        <f t="shared" si="211"/>
        <v>0</v>
      </c>
    </row>
    <row r="3341" spans="27:30" x14ac:dyDescent="0.3">
      <c r="AA3341">
        <f t="shared" si="208"/>
        <v>0</v>
      </c>
      <c r="AB3341">
        <f t="shared" si="209"/>
        <v>0</v>
      </c>
      <c r="AC3341">
        <f t="shared" si="210"/>
        <v>0</v>
      </c>
      <c r="AD3341">
        <f t="shared" si="211"/>
        <v>0</v>
      </c>
    </row>
    <row r="3342" spans="27:30" x14ac:dyDescent="0.3">
      <c r="AA3342">
        <f t="shared" si="208"/>
        <v>0</v>
      </c>
      <c r="AB3342">
        <f t="shared" si="209"/>
        <v>0</v>
      </c>
      <c r="AC3342">
        <f t="shared" si="210"/>
        <v>0</v>
      </c>
      <c r="AD3342">
        <f t="shared" si="211"/>
        <v>0</v>
      </c>
    </row>
    <row r="3343" spans="27:30" x14ac:dyDescent="0.3">
      <c r="AA3343">
        <f t="shared" si="208"/>
        <v>0</v>
      </c>
      <c r="AB3343">
        <f t="shared" si="209"/>
        <v>0</v>
      </c>
      <c r="AC3343">
        <f t="shared" si="210"/>
        <v>0</v>
      </c>
      <c r="AD3343">
        <f t="shared" si="211"/>
        <v>0</v>
      </c>
    </row>
    <row r="3344" spans="27:30" x14ac:dyDescent="0.3">
      <c r="AA3344">
        <f t="shared" si="208"/>
        <v>0</v>
      </c>
      <c r="AB3344">
        <f t="shared" si="209"/>
        <v>0</v>
      </c>
      <c r="AC3344">
        <f t="shared" si="210"/>
        <v>0</v>
      </c>
      <c r="AD3344">
        <f t="shared" si="211"/>
        <v>0</v>
      </c>
    </row>
    <row r="3345" spans="27:30" x14ac:dyDescent="0.3">
      <c r="AA3345">
        <f t="shared" si="208"/>
        <v>0</v>
      </c>
      <c r="AB3345">
        <f t="shared" si="209"/>
        <v>0</v>
      </c>
      <c r="AC3345">
        <f t="shared" si="210"/>
        <v>0</v>
      </c>
      <c r="AD3345">
        <f t="shared" si="211"/>
        <v>0</v>
      </c>
    </row>
    <row r="3346" spans="27:30" x14ac:dyDescent="0.3">
      <c r="AA3346">
        <f t="shared" si="208"/>
        <v>0</v>
      </c>
      <c r="AB3346">
        <f t="shared" si="209"/>
        <v>0</v>
      </c>
      <c r="AC3346">
        <f t="shared" si="210"/>
        <v>0</v>
      </c>
      <c r="AD3346">
        <f t="shared" si="211"/>
        <v>0</v>
      </c>
    </row>
    <row r="3347" spans="27:30" x14ac:dyDescent="0.3">
      <c r="AA3347">
        <f t="shared" si="208"/>
        <v>0</v>
      </c>
      <c r="AB3347">
        <f t="shared" si="209"/>
        <v>0</v>
      </c>
      <c r="AC3347">
        <f t="shared" si="210"/>
        <v>0</v>
      </c>
      <c r="AD3347">
        <f t="shared" si="211"/>
        <v>0</v>
      </c>
    </row>
    <row r="3348" spans="27:30" x14ac:dyDescent="0.3">
      <c r="AA3348">
        <f t="shared" si="208"/>
        <v>0</v>
      </c>
      <c r="AB3348">
        <f t="shared" si="209"/>
        <v>0</v>
      </c>
      <c r="AC3348">
        <f t="shared" si="210"/>
        <v>0</v>
      </c>
      <c r="AD3348">
        <f t="shared" si="211"/>
        <v>0</v>
      </c>
    </row>
    <row r="3349" spans="27:30" x14ac:dyDescent="0.3">
      <c r="AA3349">
        <f t="shared" si="208"/>
        <v>0</v>
      </c>
      <c r="AB3349">
        <f t="shared" si="209"/>
        <v>0</v>
      </c>
      <c r="AC3349">
        <f t="shared" si="210"/>
        <v>0</v>
      </c>
      <c r="AD3349">
        <f t="shared" si="211"/>
        <v>0</v>
      </c>
    </row>
    <row r="3350" spans="27:30" x14ac:dyDescent="0.3">
      <c r="AA3350">
        <f t="shared" si="208"/>
        <v>0</v>
      </c>
      <c r="AB3350">
        <f t="shared" si="209"/>
        <v>0</v>
      </c>
      <c r="AC3350">
        <f t="shared" si="210"/>
        <v>0</v>
      </c>
      <c r="AD3350">
        <f t="shared" si="211"/>
        <v>0</v>
      </c>
    </row>
    <row r="3351" spans="27:30" x14ac:dyDescent="0.3">
      <c r="AA3351">
        <f t="shared" si="208"/>
        <v>0</v>
      </c>
      <c r="AB3351">
        <f t="shared" si="209"/>
        <v>0</v>
      </c>
      <c r="AC3351">
        <f t="shared" si="210"/>
        <v>0</v>
      </c>
      <c r="AD3351">
        <f t="shared" si="211"/>
        <v>0</v>
      </c>
    </row>
    <row r="3352" spans="27:30" x14ac:dyDescent="0.3">
      <c r="AA3352">
        <f t="shared" si="208"/>
        <v>0</v>
      </c>
      <c r="AB3352">
        <f t="shared" si="209"/>
        <v>0</v>
      </c>
      <c r="AC3352">
        <f t="shared" si="210"/>
        <v>0</v>
      </c>
      <c r="AD3352">
        <f t="shared" si="211"/>
        <v>0</v>
      </c>
    </row>
    <row r="3353" spans="27:30" x14ac:dyDescent="0.3">
      <c r="AA3353">
        <f t="shared" si="208"/>
        <v>0</v>
      </c>
      <c r="AB3353">
        <f t="shared" si="209"/>
        <v>0</v>
      </c>
      <c r="AC3353">
        <f t="shared" si="210"/>
        <v>0</v>
      </c>
      <c r="AD3353">
        <f t="shared" si="211"/>
        <v>0</v>
      </c>
    </row>
    <row r="3354" spans="27:30" x14ac:dyDescent="0.3">
      <c r="AA3354">
        <f t="shared" si="208"/>
        <v>0</v>
      </c>
      <c r="AB3354">
        <f t="shared" si="209"/>
        <v>0</v>
      </c>
      <c r="AC3354">
        <f t="shared" si="210"/>
        <v>0</v>
      </c>
      <c r="AD3354">
        <f t="shared" si="211"/>
        <v>0</v>
      </c>
    </row>
    <row r="3355" spans="27:30" x14ac:dyDescent="0.3">
      <c r="AA3355">
        <f t="shared" si="208"/>
        <v>0</v>
      </c>
      <c r="AB3355">
        <f t="shared" si="209"/>
        <v>0</v>
      </c>
      <c r="AC3355">
        <f t="shared" si="210"/>
        <v>0</v>
      </c>
      <c r="AD3355">
        <f t="shared" si="211"/>
        <v>0</v>
      </c>
    </row>
    <row r="3356" spans="27:30" x14ac:dyDescent="0.3">
      <c r="AA3356">
        <f t="shared" si="208"/>
        <v>0</v>
      </c>
      <c r="AB3356">
        <f t="shared" si="209"/>
        <v>0</v>
      </c>
      <c r="AC3356">
        <f t="shared" si="210"/>
        <v>0</v>
      </c>
      <c r="AD3356">
        <f t="shared" si="211"/>
        <v>0</v>
      </c>
    </row>
    <row r="3357" spans="27:30" x14ac:dyDescent="0.3">
      <c r="AA3357">
        <f t="shared" si="208"/>
        <v>0</v>
      </c>
      <c r="AB3357">
        <f t="shared" si="209"/>
        <v>0</v>
      </c>
      <c r="AC3357">
        <f t="shared" si="210"/>
        <v>0</v>
      </c>
      <c r="AD3357">
        <f t="shared" si="211"/>
        <v>0</v>
      </c>
    </row>
    <row r="3358" spans="27:30" x14ac:dyDescent="0.3">
      <c r="AA3358">
        <f t="shared" si="208"/>
        <v>0</v>
      </c>
      <c r="AB3358">
        <f t="shared" si="209"/>
        <v>0</v>
      </c>
      <c r="AC3358">
        <f t="shared" si="210"/>
        <v>0</v>
      </c>
      <c r="AD3358">
        <f t="shared" si="211"/>
        <v>0</v>
      </c>
    </row>
    <row r="3359" spans="27:30" x14ac:dyDescent="0.3">
      <c r="AA3359">
        <f t="shared" si="208"/>
        <v>0</v>
      </c>
      <c r="AB3359">
        <f t="shared" si="209"/>
        <v>0</v>
      </c>
      <c r="AC3359">
        <f t="shared" si="210"/>
        <v>0</v>
      </c>
      <c r="AD3359">
        <f t="shared" si="211"/>
        <v>0</v>
      </c>
    </row>
    <row r="3360" spans="27:30" x14ac:dyDescent="0.3">
      <c r="AA3360">
        <f t="shared" si="208"/>
        <v>0</v>
      </c>
      <c r="AB3360">
        <f t="shared" si="209"/>
        <v>0</v>
      </c>
      <c r="AC3360">
        <f t="shared" si="210"/>
        <v>0</v>
      </c>
      <c r="AD3360">
        <f t="shared" si="211"/>
        <v>0</v>
      </c>
    </row>
    <row r="3361" spans="27:30" x14ac:dyDescent="0.3">
      <c r="AA3361">
        <f t="shared" si="208"/>
        <v>0</v>
      </c>
      <c r="AB3361">
        <f t="shared" si="209"/>
        <v>0</v>
      </c>
      <c r="AC3361">
        <f t="shared" si="210"/>
        <v>0</v>
      </c>
      <c r="AD3361">
        <f t="shared" si="211"/>
        <v>0</v>
      </c>
    </row>
    <row r="3362" spans="27:30" x14ac:dyDescent="0.3">
      <c r="AA3362">
        <f t="shared" si="208"/>
        <v>0</v>
      </c>
      <c r="AB3362">
        <f t="shared" si="209"/>
        <v>0</v>
      </c>
      <c r="AC3362">
        <f t="shared" si="210"/>
        <v>0</v>
      </c>
      <c r="AD3362">
        <f t="shared" si="211"/>
        <v>0</v>
      </c>
    </row>
    <row r="3363" spans="27:30" x14ac:dyDescent="0.3">
      <c r="AA3363">
        <f t="shared" si="208"/>
        <v>0</v>
      </c>
      <c r="AB3363">
        <f t="shared" si="209"/>
        <v>0</v>
      </c>
      <c r="AC3363">
        <f t="shared" si="210"/>
        <v>0</v>
      </c>
      <c r="AD3363">
        <f t="shared" si="211"/>
        <v>0</v>
      </c>
    </row>
    <row r="3364" spans="27:30" x14ac:dyDescent="0.3">
      <c r="AA3364">
        <f t="shared" si="208"/>
        <v>0</v>
      </c>
      <c r="AB3364">
        <f t="shared" si="209"/>
        <v>0</v>
      </c>
      <c r="AC3364">
        <f t="shared" si="210"/>
        <v>0</v>
      </c>
      <c r="AD3364">
        <f t="shared" si="211"/>
        <v>0</v>
      </c>
    </row>
    <row r="3365" spans="27:30" x14ac:dyDescent="0.3">
      <c r="AA3365">
        <f t="shared" si="208"/>
        <v>0</v>
      </c>
      <c r="AB3365">
        <f t="shared" si="209"/>
        <v>0</v>
      </c>
      <c r="AC3365">
        <f t="shared" si="210"/>
        <v>0</v>
      </c>
      <c r="AD3365">
        <f t="shared" si="211"/>
        <v>0</v>
      </c>
    </row>
    <row r="3366" spans="27:30" x14ac:dyDescent="0.3">
      <c r="AA3366">
        <f t="shared" si="208"/>
        <v>0</v>
      </c>
      <c r="AB3366">
        <f t="shared" si="209"/>
        <v>0</v>
      </c>
      <c r="AC3366">
        <f t="shared" si="210"/>
        <v>0</v>
      </c>
      <c r="AD3366">
        <f t="shared" si="211"/>
        <v>0</v>
      </c>
    </row>
    <row r="3367" spans="27:30" x14ac:dyDescent="0.3">
      <c r="AA3367">
        <f t="shared" si="208"/>
        <v>0</v>
      </c>
      <c r="AB3367">
        <f t="shared" si="209"/>
        <v>0</v>
      </c>
      <c r="AC3367">
        <f t="shared" si="210"/>
        <v>0</v>
      </c>
      <c r="AD3367">
        <f t="shared" si="211"/>
        <v>0</v>
      </c>
    </row>
    <row r="3368" spans="27:30" x14ac:dyDescent="0.3">
      <c r="AA3368">
        <f t="shared" si="208"/>
        <v>0</v>
      </c>
      <c r="AB3368">
        <f t="shared" si="209"/>
        <v>0</v>
      </c>
      <c r="AC3368">
        <f t="shared" si="210"/>
        <v>0</v>
      </c>
      <c r="AD3368">
        <f t="shared" si="211"/>
        <v>0</v>
      </c>
    </row>
    <row r="3369" spans="27:30" x14ac:dyDescent="0.3">
      <c r="AA3369">
        <f t="shared" si="208"/>
        <v>0</v>
      </c>
      <c r="AB3369">
        <f t="shared" si="209"/>
        <v>0</v>
      </c>
      <c r="AC3369">
        <f t="shared" si="210"/>
        <v>0</v>
      </c>
      <c r="AD3369">
        <f t="shared" si="211"/>
        <v>0</v>
      </c>
    </row>
    <row r="3370" spans="27:30" x14ac:dyDescent="0.3">
      <c r="AA3370">
        <f t="shared" si="208"/>
        <v>0</v>
      </c>
      <c r="AB3370">
        <f t="shared" si="209"/>
        <v>0</v>
      </c>
      <c r="AC3370">
        <f t="shared" si="210"/>
        <v>0</v>
      </c>
      <c r="AD3370">
        <f t="shared" si="211"/>
        <v>0</v>
      </c>
    </row>
    <row r="3371" spans="27:30" x14ac:dyDescent="0.3">
      <c r="AA3371">
        <f t="shared" si="208"/>
        <v>0</v>
      </c>
      <c r="AB3371">
        <f t="shared" si="209"/>
        <v>0</v>
      </c>
      <c r="AC3371">
        <f t="shared" si="210"/>
        <v>0</v>
      </c>
      <c r="AD3371">
        <f t="shared" si="211"/>
        <v>0</v>
      </c>
    </row>
    <row r="3372" spans="27:30" x14ac:dyDescent="0.3">
      <c r="AA3372">
        <f t="shared" si="208"/>
        <v>0</v>
      </c>
      <c r="AB3372">
        <f t="shared" si="209"/>
        <v>0</v>
      </c>
      <c r="AC3372">
        <f t="shared" si="210"/>
        <v>0</v>
      </c>
      <c r="AD3372">
        <f t="shared" si="211"/>
        <v>0</v>
      </c>
    </row>
    <row r="3373" spans="27:30" x14ac:dyDescent="0.3">
      <c r="AA3373">
        <f t="shared" si="208"/>
        <v>0</v>
      </c>
      <c r="AB3373">
        <f t="shared" si="209"/>
        <v>0</v>
      </c>
      <c r="AC3373">
        <f t="shared" si="210"/>
        <v>0</v>
      </c>
      <c r="AD3373">
        <f t="shared" si="211"/>
        <v>0</v>
      </c>
    </row>
    <row r="3374" spans="27:30" x14ac:dyDescent="0.3">
      <c r="AA3374">
        <f t="shared" si="208"/>
        <v>0</v>
      </c>
      <c r="AB3374">
        <f t="shared" si="209"/>
        <v>0</v>
      </c>
      <c r="AC3374">
        <f t="shared" si="210"/>
        <v>0</v>
      </c>
      <c r="AD3374">
        <f t="shared" si="211"/>
        <v>0</v>
      </c>
    </row>
    <row r="3375" spans="27:30" x14ac:dyDescent="0.3">
      <c r="AA3375">
        <f t="shared" si="208"/>
        <v>0</v>
      </c>
      <c r="AB3375">
        <f t="shared" si="209"/>
        <v>0</v>
      </c>
      <c r="AC3375">
        <f t="shared" si="210"/>
        <v>0</v>
      </c>
      <c r="AD3375">
        <f t="shared" si="211"/>
        <v>0</v>
      </c>
    </row>
    <row r="3376" spans="27:30" x14ac:dyDescent="0.3">
      <c r="AA3376">
        <f t="shared" si="208"/>
        <v>0</v>
      </c>
      <c r="AB3376">
        <f t="shared" si="209"/>
        <v>0</v>
      </c>
      <c r="AC3376">
        <f t="shared" si="210"/>
        <v>0</v>
      </c>
      <c r="AD3376">
        <f t="shared" si="211"/>
        <v>0</v>
      </c>
    </row>
    <row r="3377" spans="27:30" x14ac:dyDescent="0.3">
      <c r="AA3377">
        <f t="shared" si="208"/>
        <v>0</v>
      </c>
      <c r="AB3377">
        <f t="shared" si="209"/>
        <v>0</v>
      </c>
      <c r="AC3377">
        <f t="shared" si="210"/>
        <v>0</v>
      </c>
      <c r="AD3377">
        <f t="shared" si="211"/>
        <v>0</v>
      </c>
    </row>
    <row r="3378" spans="27:30" x14ac:dyDescent="0.3">
      <c r="AA3378">
        <f t="shared" si="208"/>
        <v>0</v>
      </c>
      <c r="AB3378">
        <f t="shared" si="209"/>
        <v>0</v>
      </c>
      <c r="AC3378">
        <f t="shared" si="210"/>
        <v>0</v>
      </c>
      <c r="AD3378">
        <f t="shared" si="211"/>
        <v>0</v>
      </c>
    </row>
    <row r="3379" spans="27:30" x14ac:dyDescent="0.3">
      <c r="AA3379">
        <f t="shared" si="208"/>
        <v>0</v>
      </c>
      <c r="AB3379">
        <f t="shared" si="209"/>
        <v>0</v>
      </c>
      <c r="AC3379">
        <f t="shared" si="210"/>
        <v>0</v>
      </c>
      <c r="AD3379">
        <f t="shared" si="211"/>
        <v>0</v>
      </c>
    </row>
    <row r="3380" spans="27:30" x14ac:dyDescent="0.3">
      <c r="AA3380">
        <f t="shared" si="208"/>
        <v>0</v>
      </c>
      <c r="AB3380">
        <f t="shared" si="209"/>
        <v>0</v>
      </c>
      <c r="AC3380">
        <f t="shared" si="210"/>
        <v>0</v>
      </c>
      <c r="AD3380">
        <f t="shared" si="211"/>
        <v>0</v>
      </c>
    </row>
    <row r="3381" spans="27:30" x14ac:dyDescent="0.3">
      <c r="AA3381">
        <f t="shared" si="208"/>
        <v>0</v>
      </c>
      <c r="AB3381">
        <f t="shared" si="209"/>
        <v>0</v>
      </c>
      <c r="AC3381">
        <f t="shared" si="210"/>
        <v>0</v>
      </c>
      <c r="AD3381">
        <f t="shared" si="211"/>
        <v>0</v>
      </c>
    </row>
    <row r="3382" spans="27:30" x14ac:dyDescent="0.3">
      <c r="AA3382">
        <f t="shared" si="208"/>
        <v>0</v>
      </c>
      <c r="AB3382">
        <f t="shared" si="209"/>
        <v>0</v>
      </c>
      <c r="AC3382">
        <f t="shared" si="210"/>
        <v>0</v>
      </c>
      <c r="AD3382">
        <f t="shared" si="211"/>
        <v>0</v>
      </c>
    </row>
    <row r="3383" spans="27:30" x14ac:dyDescent="0.3">
      <c r="AA3383">
        <f t="shared" si="208"/>
        <v>0</v>
      </c>
      <c r="AB3383">
        <f t="shared" si="209"/>
        <v>0</v>
      </c>
      <c r="AC3383">
        <f t="shared" si="210"/>
        <v>0</v>
      </c>
      <c r="AD3383">
        <f t="shared" si="211"/>
        <v>0</v>
      </c>
    </row>
    <row r="3384" spans="27:30" x14ac:dyDescent="0.3">
      <c r="AA3384">
        <f t="shared" si="208"/>
        <v>0</v>
      </c>
      <c r="AB3384">
        <f t="shared" si="209"/>
        <v>0</v>
      </c>
      <c r="AC3384">
        <f t="shared" si="210"/>
        <v>0</v>
      </c>
      <c r="AD3384">
        <f t="shared" si="211"/>
        <v>0</v>
      </c>
    </row>
    <row r="3385" spans="27:30" x14ac:dyDescent="0.3">
      <c r="AA3385">
        <f t="shared" si="208"/>
        <v>0</v>
      </c>
      <c r="AB3385">
        <f t="shared" si="209"/>
        <v>0</v>
      </c>
      <c r="AC3385">
        <f t="shared" si="210"/>
        <v>0</v>
      </c>
      <c r="AD3385">
        <f t="shared" si="211"/>
        <v>0</v>
      </c>
    </row>
    <row r="3386" spans="27:30" x14ac:dyDescent="0.3">
      <c r="AA3386">
        <f t="shared" si="208"/>
        <v>0</v>
      </c>
      <c r="AB3386">
        <f t="shared" si="209"/>
        <v>0</v>
      </c>
      <c r="AC3386">
        <f t="shared" si="210"/>
        <v>0</v>
      </c>
      <c r="AD3386">
        <f t="shared" si="211"/>
        <v>0</v>
      </c>
    </row>
    <row r="3387" spans="27:30" x14ac:dyDescent="0.3">
      <c r="AA3387">
        <f t="shared" si="208"/>
        <v>0</v>
      </c>
      <c r="AB3387">
        <f t="shared" si="209"/>
        <v>0</v>
      </c>
      <c r="AC3387">
        <f t="shared" si="210"/>
        <v>0</v>
      </c>
      <c r="AD3387">
        <f t="shared" si="211"/>
        <v>0</v>
      </c>
    </row>
    <row r="3388" spans="27:30" x14ac:dyDescent="0.3">
      <c r="AA3388">
        <f t="shared" si="208"/>
        <v>0</v>
      </c>
      <c r="AB3388">
        <f t="shared" si="209"/>
        <v>0</v>
      </c>
      <c r="AC3388">
        <f t="shared" si="210"/>
        <v>0</v>
      </c>
      <c r="AD3388">
        <f t="shared" si="211"/>
        <v>0</v>
      </c>
    </row>
    <row r="3389" spans="27:30" x14ac:dyDescent="0.3">
      <c r="AA3389">
        <f t="shared" si="208"/>
        <v>0</v>
      </c>
      <c r="AB3389">
        <f t="shared" si="209"/>
        <v>0</v>
      </c>
      <c r="AC3389">
        <f t="shared" si="210"/>
        <v>0</v>
      </c>
      <c r="AD3389">
        <f t="shared" si="211"/>
        <v>0</v>
      </c>
    </row>
    <row r="3390" spans="27:30" x14ac:dyDescent="0.3">
      <c r="AA3390">
        <f t="shared" si="208"/>
        <v>0</v>
      </c>
      <c r="AB3390">
        <f t="shared" si="209"/>
        <v>0</v>
      </c>
      <c r="AC3390">
        <f t="shared" si="210"/>
        <v>0</v>
      </c>
      <c r="AD3390">
        <f t="shared" si="211"/>
        <v>0</v>
      </c>
    </row>
    <row r="3391" spans="27:30" x14ac:dyDescent="0.3">
      <c r="AA3391">
        <f t="shared" si="208"/>
        <v>0</v>
      </c>
      <c r="AB3391">
        <f t="shared" si="209"/>
        <v>0</v>
      </c>
      <c r="AC3391">
        <f t="shared" si="210"/>
        <v>0</v>
      </c>
      <c r="AD3391">
        <f t="shared" si="211"/>
        <v>0</v>
      </c>
    </row>
    <row r="3392" spans="27:30" x14ac:dyDescent="0.3">
      <c r="AA3392">
        <f t="shared" si="208"/>
        <v>0</v>
      </c>
      <c r="AB3392">
        <f t="shared" si="209"/>
        <v>0</v>
      </c>
      <c r="AC3392">
        <f t="shared" si="210"/>
        <v>0</v>
      </c>
      <c r="AD3392">
        <f t="shared" si="211"/>
        <v>0</v>
      </c>
    </row>
    <row r="3393" spans="27:30" x14ac:dyDescent="0.3">
      <c r="AA3393">
        <f t="shared" si="208"/>
        <v>0</v>
      </c>
      <c r="AB3393">
        <f t="shared" si="209"/>
        <v>0</v>
      </c>
      <c r="AC3393">
        <f t="shared" si="210"/>
        <v>0</v>
      </c>
      <c r="AD3393">
        <f t="shared" si="211"/>
        <v>0</v>
      </c>
    </row>
    <row r="3394" spans="27:30" x14ac:dyDescent="0.3">
      <c r="AA3394">
        <f t="shared" si="208"/>
        <v>0</v>
      </c>
      <c r="AB3394">
        <f t="shared" si="209"/>
        <v>0</v>
      </c>
      <c r="AC3394">
        <f t="shared" si="210"/>
        <v>0</v>
      </c>
      <c r="AD3394">
        <f t="shared" si="211"/>
        <v>0</v>
      </c>
    </row>
    <row r="3395" spans="27:30" x14ac:dyDescent="0.3">
      <c r="AA3395">
        <f t="shared" si="208"/>
        <v>0</v>
      </c>
      <c r="AB3395">
        <f t="shared" si="209"/>
        <v>0</v>
      </c>
      <c r="AC3395">
        <f t="shared" si="210"/>
        <v>0</v>
      </c>
      <c r="AD3395">
        <f t="shared" si="211"/>
        <v>0</v>
      </c>
    </row>
    <row r="3396" spans="27:30" x14ac:dyDescent="0.3">
      <c r="AA3396">
        <f t="shared" si="208"/>
        <v>0</v>
      </c>
      <c r="AB3396">
        <f t="shared" si="209"/>
        <v>0</v>
      </c>
      <c r="AC3396">
        <f t="shared" si="210"/>
        <v>0</v>
      </c>
      <c r="AD3396">
        <f t="shared" si="211"/>
        <v>0</v>
      </c>
    </row>
    <row r="3397" spans="27:30" x14ac:dyDescent="0.3">
      <c r="AA3397">
        <f t="shared" ref="AA3397:AA3460" si="212">ROUND(Z3397,0)</f>
        <v>0</v>
      </c>
      <c r="AB3397">
        <f t="shared" ref="AB3397:AB3460" si="213">IF(AA3397=Y3397,0,1)</f>
        <v>0</v>
      </c>
      <c r="AC3397">
        <f t="shared" ref="AC3397:AC3460" si="214">IF(AA3397&lt;Y3397+5,IF(AA3397&gt;Y3397-5,0,1),1)</f>
        <v>0</v>
      </c>
      <c r="AD3397">
        <f t="shared" ref="AD3397:AD3460" si="215">IF(AA3397&lt;Y3397+10,IF(AA3397&gt;Y3397-10,0,1),1)</f>
        <v>0</v>
      </c>
    </row>
    <row r="3398" spans="27:30" x14ac:dyDescent="0.3">
      <c r="AA3398">
        <f t="shared" si="212"/>
        <v>0</v>
      </c>
      <c r="AB3398">
        <f t="shared" si="213"/>
        <v>0</v>
      </c>
      <c r="AC3398">
        <f t="shared" si="214"/>
        <v>0</v>
      </c>
      <c r="AD3398">
        <f t="shared" si="215"/>
        <v>0</v>
      </c>
    </row>
    <row r="3399" spans="27:30" x14ac:dyDescent="0.3">
      <c r="AA3399">
        <f t="shared" si="212"/>
        <v>0</v>
      </c>
      <c r="AB3399">
        <f t="shared" si="213"/>
        <v>0</v>
      </c>
      <c r="AC3399">
        <f t="shared" si="214"/>
        <v>0</v>
      </c>
      <c r="AD3399">
        <f t="shared" si="215"/>
        <v>0</v>
      </c>
    </row>
    <row r="3400" spans="27:30" x14ac:dyDescent="0.3">
      <c r="AA3400">
        <f t="shared" si="212"/>
        <v>0</v>
      </c>
      <c r="AB3400">
        <f t="shared" si="213"/>
        <v>0</v>
      </c>
      <c r="AC3400">
        <f t="shared" si="214"/>
        <v>0</v>
      </c>
      <c r="AD3400">
        <f t="shared" si="215"/>
        <v>0</v>
      </c>
    </row>
    <row r="3401" spans="27:30" x14ac:dyDescent="0.3">
      <c r="AA3401">
        <f t="shared" si="212"/>
        <v>0</v>
      </c>
      <c r="AB3401">
        <f t="shared" si="213"/>
        <v>0</v>
      </c>
      <c r="AC3401">
        <f t="shared" si="214"/>
        <v>0</v>
      </c>
      <c r="AD3401">
        <f t="shared" si="215"/>
        <v>0</v>
      </c>
    </row>
    <row r="3402" spans="27:30" x14ac:dyDescent="0.3">
      <c r="AA3402">
        <f t="shared" si="212"/>
        <v>0</v>
      </c>
      <c r="AB3402">
        <f t="shared" si="213"/>
        <v>0</v>
      </c>
      <c r="AC3402">
        <f t="shared" si="214"/>
        <v>0</v>
      </c>
      <c r="AD3402">
        <f t="shared" si="215"/>
        <v>0</v>
      </c>
    </row>
    <row r="3403" spans="27:30" x14ac:dyDescent="0.3">
      <c r="AA3403">
        <f t="shared" si="212"/>
        <v>0</v>
      </c>
      <c r="AB3403">
        <f t="shared" si="213"/>
        <v>0</v>
      </c>
      <c r="AC3403">
        <f t="shared" si="214"/>
        <v>0</v>
      </c>
      <c r="AD3403">
        <f t="shared" si="215"/>
        <v>0</v>
      </c>
    </row>
    <row r="3404" spans="27:30" x14ac:dyDescent="0.3">
      <c r="AA3404">
        <f t="shared" si="212"/>
        <v>0</v>
      </c>
      <c r="AB3404">
        <f t="shared" si="213"/>
        <v>0</v>
      </c>
      <c r="AC3404">
        <f t="shared" si="214"/>
        <v>0</v>
      </c>
      <c r="AD3404">
        <f t="shared" si="215"/>
        <v>0</v>
      </c>
    </row>
    <row r="3405" spans="27:30" x14ac:dyDescent="0.3">
      <c r="AA3405">
        <f t="shared" si="212"/>
        <v>0</v>
      </c>
      <c r="AB3405">
        <f t="shared" si="213"/>
        <v>0</v>
      </c>
      <c r="AC3405">
        <f t="shared" si="214"/>
        <v>0</v>
      </c>
      <c r="AD3405">
        <f t="shared" si="215"/>
        <v>0</v>
      </c>
    </row>
    <row r="3406" spans="27:30" x14ac:dyDescent="0.3">
      <c r="AA3406">
        <f t="shared" si="212"/>
        <v>0</v>
      </c>
      <c r="AB3406">
        <f t="shared" si="213"/>
        <v>0</v>
      </c>
      <c r="AC3406">
        <f t="shared" si="214"/>
        <v>0</v>
      </c>
      <c r="AD3406">
        <f t="shared" si="215"/>
        <v>0</v>
      </c>
    </row>
    <row r="3407" spans="27:30" x14ac:dyDescent="0.3">
      <c r="AA3407">
        <f t="shared" si="212"/>
        <v>0</v>
      </c>
      <c r="AB3407">
        <f t="shared" si="213"/>
        <v>0</v>
      </c>
      <c r="AC3407">
        <f t="shared" si="214"/>
        <v>0</v>
      </c>
      <c r="AD3407">
        <f t="shared" si="215"/>
        <v>0</v>
      </c>
    </row>
    <row r="3408" spans="27:30" x14ac:dyDescent="0.3">
      <c r="AA3408">
        <f t="shared" si="212"/>
        <v>0</v>
      </c>
      <c r="AB3408">
        <f t="shared" si="213"/>
        <v>0</v>
      </c>
      <c r="AC3408">
        <f t="shared" si="214"/>
        <v>0</v>
      </c>
      <c r="AD3408">
        <f t="shared" si="215"/>
        <v>0</v>
      </c>
    </row>
    <row r="3409" spans="27:30" x14ac:dyDescent="0.3">
      <c r="AA3409">
        <f t="shared" si="212"/>
        <v>0</v>
      </c>
      <c r="AB3409">
        <f t="shared" si="213"/>
        <v>0</v>
      </c>
      <c r="AC3409">
        <f t="shared" si="214"/>
        <v>0</v>
      </c>
      <c r="AD3409">
        <f t="shared" si="215"/>
        <v>0</v>
      </c>
    </row>
    <row r="3410" spans="27:30" x14ac:dyDescent="0.3">
      <c r="AA3410">
        <f t="shared" si="212"/>
        <v>0</v>
      </c>
      <c r="AB3410">
        <f t="shared" si="213"/>
        <v>0</v>
      </c>
      <c r="AC3410">
        <f t="shared" si="214"/>
        <v>0</v>
      </c>
      <c r="AD3410">
        <f t="shared" si="215"/>
        <v>0</v>
      </c>
    </row>
    <row r="3411" spans="27:30" x14ac:dyDescent="0.3">
      <c r="AA3411">
        <f t="shared" si="212"/>
        <v>0</v>
      </c>
      <c r="AB3411">
        <f t="shared" si="213"/>
        <v>0</v>
      </c>
      <c r="AC3411">
        <f t="shared" si="214"/>
        <v>0</v>
      </c>
      <c r="AD3411">
        <f t="shared" si="215"/>
        <v>0</v>
      </c>
    </row>
    <row r="3412" spans="27:30" x14ac:dyDescent="0.3">
      <c r="AA3412">
        <f t="shared" si="212"/>
        <v>0</v>
      </c>
      <c r="AB3412">
        <f t="shared" si="213"/>
        <v>0</v>
      </c>
      <c r="AC3412">
        <f t="shared" si="214"/>
        <v>0</v>
      </c>
      <c r="AD3412">
        <f t="shared" si="215"/>
        <v>0</v>
      </c>
    </row>
    <row r="3413" spans="27:30" x14ac:dyDescent="0.3">
      <c r="AA3413">
        <f t="shared" si="212"/>
        <v>0</v>
      </c>
      <c r="AB3413">
        <f t="shared" si="213"/>
        <v>0</v>
      </c>
      <c r="AC3413">
        <f t="shared" si="214"/>
        <v>0</v>
      </c>
      <c r="AD3413">
        <f t="shared" si="215"/>
        <v>0</v>
      </c>
    </row>
    <row r="3414" spans="27:30" x14ac:dyDescent="0.3">
      <c r="AA3414">
        <f t="shared" si="212"/>
        <v>0</v>
      </c>
      <c r="AB3414">
        <f t="shared" si="213"/>
        <v>0</v>
      </c>
      <c r="AC3414">
        <f t="shared" si="214"/>
        <v>0</v>
      </c>
      <c r="AD3414">
        <f t="shared" si="215"/>
        <v>0</v>
      </c>
    </row>
    <row r="3415" spans="27:30" x14ac:dyDescent="0.3">
      <c r="AA3415">
        <f t="shared" si="212"/>
        <v>0</v>
      </c>
      <c r="AB3415">
        <f t="shared" si="213"/>
        <v>0</v>
      </c>
      <c r="AC3415">
        <f t="shared" si="214"/>
        <v>0</v>
      </c>
      <c r="AD3415">
        <f t="shared" si="215"/>
        <v>0</v>
      </c>
    </row>
    <row r="3416" spans="27:30" x14ac:dyDescent="0.3">
      <c r="AA3416">
        <f t="shared" si="212"/>
        <v>0</v>
      </c>
      <c r="AB3416">
        <f t="shared" si="213"/>
        <v>0</v>
      </c>
      <c r="AC3416">
        <f t="shared" si="214"/>
        <v>0</v>
      </c>
      <c r="AD3416">
        <f t="shared" si="215"/>
        <v>0</v>
      </c>
    </row>
    <row r="3417" spans="27:30" x14ac:dyDescent="0.3">
      <c r="AA3417">
        <f t="shared" si="212"/>
        <v>0</v>
      </c>
      <c r="AB3417">
        <f t="shared" si="213"/>
        <v>0</v>
      </c>
      <c r="AC3417">
        <f t="shared" si="214"/>
        <v>0</v>
      </c>
      <c r="AD3417">
        <f t="shared" si="215"/>
        <v>0</v>
      </c>
    </row>
    <row r="3418" spans="27:30" x14ac:dyDescent="0.3">
      <c r="AA3418">
        <f t="shared" si="212"/>
        <v>0</v>
      </c>
      <c r="AB3418">
        <f t="shared" si="213"/>
        <v>0</v>
      </c>
      <c r="AC3418">
        <f t="shared" si="214"/>
        <v>0</v>
      </c>
      <c r="AD3418">
        <f t="shared" si="215"/>
        <v>0</v>
      </c>
    </row>
    <row r="3419" spans="27:30" x14ac:dyDescent="0.3">
      <c r="AA3419">
        <f t="shared" si="212"/>
        <v>0</v>
      </c>
      <c r="AB3419">
        <f t="shared" si="213"/>
        <v>0</v>
      </c>
      <c r="AC3419">
        <f t="shared" si="214"/>
        <v>0</v>
      </c>
      <c r="AD3419">
        <f t="shared" si="215"/>
        <v>0</v>
      </c>
    </row>
    <row r="3420" spans="27:30" x14ac:dyDescent="0.3">
      <c r="AA3420">
        <f t="shared" si="212"/>
        <v>0</v>
      </c>
      <c r="AB3420">
        <f t="shared" si="213"/>
        <v>0</v>
      </c>
      <c r="AC3420">
        <f t="shared" si="214"/>
        <v>0</v>
      </c>
      <c r="AD3420">
        <f t="shared" si="215"/>
        <v>0</v>
      </c>
    </row>
    <row r="3421" spans="27:30" x14ac:dyDescent="0.3">
      <c r="AA3421">
        <f t="shared" si="212"/>
        <v>0</v>
      </c>
      <c r="AB3421">
        <f t="shared" si="213"/>
        <v>0</v>
      </c>
      <c r="AC3421">
        <f t="shared" si="214"/>
        <v>0</v>
      </c>
      <c r="AD3421">
        <f t="shared" si="215"/>
        <v>0</v>
      </c>
    </row>
    <row r="3422" spans="27:30" x14ac:dyDescent="0.3">
      <c r="AA3422">
        <f t="shared" si="212"/>
        <v>0</v>
      </c>
      <c r="AB3422">
        <f t="shared" si="213"/>
        <v>0</v>
      </c>
      <c r="AC3422">
        <f t="shared" si="214"/>
        <v>0</v>
      </c>
      <c r="AD3422">
        <f t="shared" si="215"/>
        <v>0</v>
      </c>
    </row>
    <row r="3423" spans="27:30" x14ac:dyDescent="0.3">
      <c r="AA3423">
        <f t="shared" si="212"/>
        <v>0</v>
      </c>
      <c r="AB3423">
        <f t="shared" si="213"/>
        <v>0</v>
      </c>
      <c r="AC3423">
        <f t="shared" si="214"/>
        <v>0</v>
      </c>
      <c r="AD3423">
        <f t="shared" si="215"/>
        <v>0</v>
      </c>
    </row>
    <row r="3424" spans="27:30" x14ac:dyDescent="0.3">
      <c r="AA3424">
        <f t="shared" si="212"/>
        <v>0</v>
      </c>
      <c r="AB3424">
        <f t="shared" si="213"/>
        <v>0</v>
      </c>
      <c r="AC3424">
        <f t="shared" si="214"/>
        <v>0</v>
      </c>
      <c r="AD3424">
        <f t="shared" si="215"/>
        <v>0</v>
      </c>
    </row>
    <row r="3425" spans="27:30" x14ac:dyDescent="0.3">
      <c r="AA3425">
        <f t="shared" si="212"/>
        <v>0</v>
      </c>
      <c r="AB3425">
        <f t="shared" si="213"/>
        <v>0</v>
      </c>
      <c r="AC3425">
        <f t="shared" si="214"/>
        <v>0</v>
      </c>
      <c r="AD3425">
        <f t="shared" si="215"/>
        <v>0</v>
      </c>
    </row>
    <row r="3426" spans="27:30" x14ac:dyDescent="0.3">
      <c r="AA3426">
        <f t="shared" si="212"/>
        <v>0</v>
      </c>
      <c r="AB3426">
        <f t="shared" si="213"/>
        <v>0</v>
      </c>
      <c r="AC3426">
        <f t="shared" si="214"/>
        <v>0</v>
      </c>
      <c r="AD3426">
        <f t="shared" si="215"/>
        <v>0</v>
      </c>
    </row>
    <row r="3427" spans="27:30" x14ac:dyDescent="0.3">
      <c r="AA3427">
        <f t="shared" si="212"/>
        <v>0</v>
      </c>
      <c r="AB3427">
        <f t="shared" si="213"/>
        <v>0</v>
      </c>
      <c r="AC3427">
        <f t="shared" si="214"/>
        <v>0</v>
      </c>
      <c r="AD3427">
        <f t="shared" si="215"/>
        <v>0</v>
      </c>
    </row>
    <row r="3428" spans="27:30" x14ac:dyDescent="0.3">
      <c r="AA3428">
        <f t="shared" si="212"/>
        <v>0</v>
      </c>
      <c r="AB3428">
        <f t="shared" si="213"/>
        <v>0</v>
      </c>
      <c r="AC3428">
        <f t="shared" si="214"/>
        <v>0</v>
      </c>
      <c r="AD3428">
        <f t="shared" si="215"/>
        <v>0</v>
      </c>
    </row>
    <row r="3429" spans="27:30" x14ac:dyDescent="0.3">
      <c r="AA3429">
        <f t="shared" si="212"/>
        <v>0</v>
      </c>
      <c r="AB3429">
        <f t="shared" si="213"/>
        <v>0</v>
      </c>
      <c r="AC3429">
        <f t="shared" si="214"/>
        <v>0</v>
      </c>
      <c r="AD3429">
        <f t="shared" si="215"/>
        <v>0</v>
      </c>
    </row>
    <row r="3430" spans="27:30" x14ac:dyDescent="0.3">
      <c r="AA3430">
        <f t="shared" si="212"/>
        <v>0</v>
      </c>
      <c r="AB3430">
        <f t="shared" si="213"/>
        <v>0</v>
      </c>
      <c r="AC3430">
        <f t="shared" si="214"/>
        <v>0</v>
      </c>
      <c r="AD3430">
        <f t="shared" si="215"/>
        <v>0</v>
      </c>
    </row>
    <row r="3431" spans="27:30" x14ac:dyDescent="0.3">
      <c r="AA3431">
        <f t="shared" si="212"/>
        <v>0</v>
      </c>
      <c r="AB3431">
        <f t="shared" si="213"/>
        <v>0</v>
      </c>
      <c r="AC3431">
        <f t="shared" si="214"/>
        <v>0</v>
      </c>
      <c r="AD3431">
        <f t="shared" si="215"/>
        <v>0</v>
      </c>
    </row>
    <row r="3432" spans="27:30" x14ac:dyDescent="0.3">
      <c r="AA3432">
        <f t="shared" si="212"/>
        <v>0</v>
      </c>
      <c r="AB3432">
        <f t="shared" si="213"/>
        <v>0</v>
      </c>
      <c r="AC3432">
        <f t="shared" si="214"/>
        <v>0</v>
      </c>
      <c r="AD3432">
        <f t="shared" si="215"/>
        <v>0</v>
      </c>
    </row>
    <row r="3433" spans="27:30" x14ac:dyDescent="0.3">
      <c r="AA3433">
        <f t="shared" si="212"/>
        <v>0</v>
      </c>
      <c r="AB3433">
        <f t="shared" si="213"/>
        <v>0</v>
      </c>
      <c r="AC3433">
        <f t="shared" si="214"/>
        <v>0</v>
      </c>
      <c r="AD3433">
        <f t="shared" si="215"/>
        <v>0</v>
      </c>
    </row>
    <row r="3434" spans="27:30" x14ac:dyDescent="0.3">
      <c r="AA3434">
        <f t="shared" si="212"/>
        <v>0</v>
      </c>
      <c r="AB3434">
        <f t="shared" si="213"/>
        <v>0</v>
      </c>
      <c r="AC3434">
        <f t="shared" si="214"/>
        <v>0</v>
      </c>
      <c r="AD3434">
        <f t="shared" si="215"/>
        <v>0</v>
      </c>
    </row>
    <row r="3435" spans="27:30" x14ac:dyDescent="0.3">
      <c r="AA3435">
        <f t="shared" si="212"/>
        <v>0</v>
      </c>
      <c r="AB3435">
        <f t="shared" si="213"/>
        <v>0</v>
      </c>
      <c r="AC3435">
        <f t="shared" si="214"/>
        <v>0</v>
      </c>
      <c r="AD3435">
        <f t="shared" si="215"/>
        <v>0</v>
      </c>
    </row>
    <row r="3436" spans="27:30" x14ac:dyDescent="0.3">
      <c r="AA3436">
        <f t="shared" si="212"/>
        <v>0</v>
      </c>
      <c r="AB3436">
        <f t="shared" si="213"/>
        <v>0</v>
      </c>
      <c r="AC3436">
        <f t="shared" si="214"/>
        <v>0</v>
      </c>
      <c r="AD3436">
        <f t="shared" si="215"/>
        <v>0</v>
      </c>
    </row>
    <row r="3437" spans="27:30" x14ac:dyDescent="0.3">
      <c r="AA3437">
        <f t="shared" si="212"/>
        <v>0</v>
      </c>
      <c r="AB3437">
        <f t="shared" si="213"/>
        <v>0</v>
      </c>
      <c r="AC3437">
        <f t="shared" si="214"/>
        <v>0</v>
      </c>
      <c r="AD3437">
        <f t="shared" si="215"/>
        <v>0</v>
      </c>
    </row>
    <row r="3438" spans="27:30" x14ac:dyDescent="0.3">
      <c r="AA3438">
        <f t="shared" si="212"/>
        <v>0</v>
      </c>
      <c r="AB3438">
        <f t="shared" si="213"/>
        <v>0</v>
      </c>
      <c r="AC3438">
        <f t="shared" si="214"/>
        <v>0</v>
      </c>
      <c r="AD3438">
        <f t="shared" si="215"/>
        <v>0</v>
      </c>
    </row>
    <row r="3439" spans="27:30" x14ac:dyDescent="0.3">
      <c r="AA3439">
        <f t="shared" si="212"/>
        <v>0</v>
      </c>
      <c r="AB3439">
        <f t="shared" si="213"/>
        <v>0</v>
      </c>
      <c r="AC3439">
        <f t="shared" si="214"/>
        <v>0</v>
      </c>
      <c r="AD3439">
        <f t="shared" si="215"/>
        <v>0</v>
      </c>
    </row>
    <row r="3440" spans="27:30" x14ac:dyDescent="0.3">
      <c r="AA3440">
        <f t="shared" si="212"/>
        <v>0</v>
      </c>
      <c r="AB3440">
        <f t="shared" si="213"/>
        <v>0</v>
      </c>
      <c r="AC3440">
        <f t="shared" si="214"/>
        <v>0</v>
      </c>
      <c r="AD3440">
        <f t="shared" si="215"/>
        <v>0</v>
      </c>
    </row>
    <row r="3441" spans="27:30" x14ac:dyDescent="0.3">
      <c r="AA3441">
        <f t="shared" si="212"/>
        <v>0</v>
      </c>
      <c r="AB3441">
        <f t="shared" si="213"/>
        <v>0</v>
      </c>
      <c r="AC3441">
        <f t="shared" si="214"/>
        <v>0</v>
      </c>
      <c r="AD3441">
        <f t="shared" si="215"/>
        <v>0</v>
      </c>
    </row>
    <row r="3442" spans="27:30" x14ac:dyDescent="0.3">
      <c r="AA3442">
        <f t="shared" si="212"/>
        <v>0</v>
      </c>
      <c r="AB3442">
        <f t="shared" si="213"/>
        <v>0</v>
      </c>
      <c r="AC3442">
        <f t="shared" si="214"/>
        <v>0</v>
      </c>
      <c r="AD3442">
        <f t="shared" si="215"/>
        <v>0</v>
      </c>
    </row>
    <row r="3443" spans="27:30" x14ac:dyDescent="0.3">
      <c r="AA3443">
        <f t="shared" si="212"/>
        <v>0</v>
      </c>
      <c r="AB3443">
        <f t="shared" si="213"/>
        <v>0</v>
      </c>
      <c r="AC3443">
        <f t="shared" si="214"/>
        <v>0</v>
      </c>
      <c r="AD3443">
        <f t="shared" si="215"/>
        <v>0</v>
      </c>
    </row>
    <row r="3444" spans="27:30" x14ac:dyDescent="0.3">
      <c r="AA3444">
        <f t="shared" si="212"/>
        <v>0</v>
      </c>
      <c r="AB3444">
        <f t="shared" si="213"/>
        <v>0</v>
      </c>
      <c r="AC3444">
        <f t="shared" si="214"/>
        <v>0</v>
      </c>
      <c r="AD3444">
        <f t="shared" si="215"/>
        <v>0</v>
      </c>
    </row>
    <row r="3445" spans="27:30" x14ac:dyDescent="0.3">
      <c r="AA3445">
        <f t="shared" si="212"/>
        <v>0</v>
      </c>
      <c r="AB3445">
        <f t="shared" si="213"/>
        <v>0</v>
      </c>
      <c r="AC3445">
        <f t="shared" si="214"/>
        <v>0</v>
      </c>
      <c r="AD3445">
        <f t="shared" si="215"/>
        <v>0</v>
      </c>
    </row>
    <row r="3446" spans="27:30" x14ac:dyDescent="0.3">
      <c r="AA3446">
        <f t="shared" si="212"/>
        <v>0</v>
      </c>
      <c r="AB3446">
        <f t="shared" si="213"/>
        <v>0</v>
      </c>
      <c r="AC3446">
        <f t="shared" si="214"/>
        <v>0</v>
      </c>
      <c r="AD3446">
        <f t="shared" si="215"/>
        <v>0</v>
      </c>
    </row>
    <row r="3447" spans="27:30" x14ac:dyDescent="0.3">
      <c r="AA3447">
        <f t="shared" si="212"/>
        <v>0</v>
      </c>
      <c r="AB3447">
        <f t="shared" si="213"/>
        <v>0</v>
      </c>
      <c r="AC3447">
        <f t="shared" si="214"/>
        <v>0</v>
      </c>
      <c r="AD3447">
        <f t="shared" si="215"/>
        <v>0</v>
      </c>
    </row>
    <row r="3448" spans="27:30" x14ac:dyDescent="0.3">
      <c r="AA3448">
        <f t="shared" si="212"/>
        <v>0</v>
      </c>
      <c r="AB3448">
        <f t="shared" si="213"/>
        <v>0</v>
      </c>
      <c r="AC3448">
        <f t="shared" si="214"/>
        <v>0</v>
      </c>
      <c r="AD3448">
        <f t="shared" si="215"/>
        <v>0</v>
      </c>
    </row>
    <row r="3449" spans="27:30" x14ac:dyDescent="0.3">
      <c r="AA3449">
        <f t="shared" si="212"/>
        <v>0</v>
      </c>
      <c r="AB3449">
        <f t="shared" si="213"/>
        <v>0</v>
      </c>
      <c r="AC3449">
        <f t="shared" si="214"/>
        <v>0</v>
      </c>
      <c r="AD3449">
        <f t="shared" si="215"/>
        <v>0</v>
      </c>
    </row>
    <row r="3450" spans="27:30" x14ac:dyDescent="0.3">
      <c r="AA3450">
        <f t="shared" si="212"/>
        <v>0</v>
      </c>
      <c r="AB3450">
        <f t="shared" si="213"/>
        <v>0</v>
      </c>
      <c r="AC3450">
        <f t="shared" si="214"/>
        <v>0</v>
      </c>
      <c r="AD3450">
        <f t="shared" si="215"/>
        <v>0</v>
      </c>
    </row>
    <row r="3451" spans="27:30" x14ac:dyDescent="0.3">
      <c r="AA3451">
        <f t="shared" si="212"/>
        <v>0</v>
      </c>
      <c r="AB3451">
        <f t="shared" si="213"/>
        <v>0</v>
      </c>
      <c r="AC3451">
        <f t="shared" si="214"/>
        <v>0</v>
      </c>
      <c r="AD3451">
        <f t="shared" si="215"/>
        <v>0</v>
      </c>
    </row>
    <row r="3452" spans="27:30" x14ac:dyDescent="0.3">
      <c r="AA3452">
        <f t="shared" si="212"/>
        <v>0</v>
      </c>
      <c r="AB3452">
        <f t="shared" si="213"/>
        <v>0</v>
      </c>
      <c r="AC3452">
        <f t="shared" si="214"/>
        <v>0</v>
      </c>
      <c r="AD3452">
        <f t="shared" si="215"/>
        <v>0</v>
      </c>
    </row>
    <row r="3453" spans="27:30" x14ac:dyDescent="0.3">
      <c r="AA3453">
        <f t="shared" si="212"/>
        <v>0</v>
      </c>
      <c r="AB3453">
        <f t="shared" si="213"/>
        <v>0</v>
      </c>
      <c r="AC3453">
        <f t="shared" si="214"/>
        <v>0</v>
      </c>
      <c r="AD3453">
        <f t="shared" si="215"/>
        <v>0</v>
      </c>
    </row>
    <row r="3454" spans="27:30" x14ac:dyDescent="0.3">
      <c r="AA3454">
        <f t="shared" si="212"/>
        <v>0</v>
      </c>
      <c r="AB3454">
        <f t="shared" si="213"/>
        <v>0</v>
      </c>
      <c r="AC3454">
        <f t="shared" si="214"/>
        <v>0</v>
      </c>
      <c r="AD3454">
        <f t="shared" si="215"/>
        <v>0</v>
      </c>
    </row>
    <row r="3455" spans="27:30" x14ac:dyDescent="0.3">
      <c r="AA3455">
        <f t="shared" si="212"/>
        <v>0</v>
      </c>
      <c r="AB3455">
        <f t="shared" si="213"/>
        <v>0</v>
      </c>
      <c r="AC3455">
        <f t="shared" si="214"/>
        <v>0</v>
      </c>
      <c r="AD3455">
        <f t="shared" si="215"/>
        <v>0</v>
      </c>
    </row>
    <row r="3456" spans="27:30" x14ac:dyDescent="0.3">
      <c r="AA3456">
        <f t="shared" si="212"/>
        <v>0</v>
      </c>
      <c r="AB3456">
        <f t="shared" si="213"/>
        <v>0</v>
      </c>
      <c r="AC3456">
        <f t="shared" si="214"/>
        <v>0</v>
      </c>
      <c r="AD3456">
        <f t="shared" si="215"/>
        <v>0</v>
      </c>
    </row>
    <row r="3457" spans="27:30" x14ac:dyDescent="0.3">
      <c r="AA3457">
        <f t="shared" si="212"/>
        <v>0</v>
      </c>
      <c r="AB3457">
        <f t="shared" si="213"/>
        <v>0</v>
      </c>
      <c r="AC3457">
        <f t="shared" si="214"/>
        <v>0</v>
      </c>
      <c r="AD3457">
        <f t="shared" si="215"/>
        <v>0</v>
      </c>
    </row>
    <row r="3458" spans="27:30" x14ac:dyDescent="0.3">
      <c r="AA3458">
        <f t="shared" si="212"/>
        <v>0</v>
      </c>
      <c r="AB3458">
        <f t="shared" si="213"/>
        <v>0</v>
      </c>
      <c r="AC3458">
        <f t="shared" si="214"/>
        <v>0</v>
      </c>
      <c r="AD3458">
        <f t="shared" si="215"/>
        <v>0</v>
      </c>
    </row>
    <row r="3459" spans="27:30" x14ac:dyDescent="0.3">
      <c r="AA3459">
        <f t="shared" si="212"/>
        <v>0</v>
      </c>
      <c r="AB3459">
        <f t="shared" si="213"/>
        <v>0</v>
      </c>
      <c r="AC3459">
        <f t="shared" si="214"/>
        <v>0</v>
      </c>
      <c r="AD3459">
        <f t="shared" si="215"/>
        <v>0</v>
      </c>
    </row>
    <row r="3460" spans="27:30" x14ac:dyDescent="0.3">
      <c r="AA3460">
        <f t="shared" si="212"/>
        <v>0</v>
      </c>
      <c r="AB3460">
        <f t="shared" si="213"/>
        <v>0</v>
      </c>
      <c r="AC3460">
        <f t="shared" si="214"/>
        <v>0</v>
      </c>
      <c r="AD3460">
        <f t="shared" si="215"/>
        <v>0</v>
      </c>
    </row>
    <row r="3461" spans="27:30" x14ac:dyDescent="0.3">
      <c r="AA3461">
        <f t="shared" ref="AA3461:AA3524" si="216">ROUND(Z3461,0)</f>
        <v>0</v>
      </c>
      <c r="AB3461">
        <f t="shared" ref="AB3461:AB3524" si="217">IF(AA3461=Y3461,0,1)</f>
        <v>0</v>
      </c>
      <c r="AC3461">
        <f t="shared" ref="AC3461:AC3524" si="218">IF(AA3461&lt;Y3461+5,IF(AA3461&gt;Y3461-5,0,1),1)</f>
        <v>0</v>
      </c>
      <c r="AD3461">
        <f t="shared" ref="AD3461:AD3524" si="219">IF(AA3461&lt;Y3461+10,IF(AA3461&gt;Y3461-10,0,1),1)</f>
        <v>0</v>
      </c>
    </row>
    <row r="3462" spans="27:30" x14ac:dyDescent="0.3">
      <c r="AA3462">
        <f t="shared" si="216"/>
        <v>0</v>
      </c>
      <c r="AB3462">
        <f t="shared" si="217"/>
        <v>0</v>
      </c>
      <c r="AC3462">
        <f t="shared" si="218"/>
        <v>0</v>
      </c>
      <c r="AD3462">
        <f t="shared" si="219"/>
        <v>0</v>
      </c>
    </row>
    <row r="3463" spans="27:30" x14ac:dyDescent="0.3">
      <c r="AA3463">
        <f t="shared" si="216"/>
        <v>0</v>
      </c>
      <c r="AB3463">
        <f t="shared" si="217"/>
        <v>0</v>
      </c>
      <c r="AC3463">
        <f t="shared" si="218"/>
        <v>0</v>
      </c>
      <c r="AD3463">
        <f t="shared" si="219"/>
        <v>0</v>
      </c>
    </row>
    <row r="3464" spans="27:30" x14ac:dyDescent="0.3">
      <c r="AA3464">
        <f t="shared" si="216"/>
        <v>0</v>
      </c>
      <c r="AB3464">
        <f t="shared" si="217"/>
        <v>0</v>
      </c>
      <c r="AC3464">
        <f t="shared" si="218"/>
        <v>0</v>
      </c>
      <c r="AD3464">
        <f t="shared" si="219"/>
        <v>0</v>
      </c>
    </row>
    <row r="3465" spans="27:30" x14ac:dyDescent="0.3">
      <c r="AA3465">
        <f t="shared" si="216"/>
        <v>0</v>
      </c>
      <c r="AB3465">
        <f t="shared" si="217"/>
        <v>0</v>
      </c>
      <c r="AC3465">
        <f t="shared" si="218"/>
        <v>0</v>
      </c>
      <c r="AD3465">
        <f t="shared" si="219"/>
        <v>0</v>
      </c>
    </row>
    <row r="3466" spans="27:30" x14ac:dyDescent="0.3">
      <c r="AA3466">
        <f t="shared" si="216"/>
        <v>0</v>
      </c>
      <c r="AB3466">
        <f t="shared" si="217"/>
        <v>0</v>
      </c>
      <c r="AC3466">
        <f t="shared" si="218"/>
        <v>0</v>
      </c>
      <c r="AD3466">
        <f t="shared" si="219"/>
        <v>0</v>
      </c>
    </row>
    <row r="3467" spans="27:30" x14ac:dyDescent="0.3">
      <c r="AA3467">
        <f t="shared" si="216"/>
        <v>0</v>
      </c>
      <c r="AB3467">
        <f t="shared" si="217"/>
        <v>0</v>
      </c>
      <c r="AC3467">
        <f t="shared" si="218"/>
        <v>0</v>
      </c>
      <c r="AD3467">
        <f t="shared" si="219"/>
        <v>0</v>
      </c>
    </row>
    <row r="3468" spans="27:30" x14ac:dyDescent="0.3">
      <c r="AA3468">
        <f t="shared" si="216"/>
        <v>0</v>
      </c>
      <c r="AB3468">
        <f t="shared" si="217"/>
        <v>0</v>
      </c>
      <c r="AC3468">
        <f t="shared" si="218"/>
        <v>0</v>
      </c>
      <c r="AD3468">
        <f t="shared" si="219"/>
        <v>0</v>
      </c>
    </row>
    <row r="3469" spans="27:30" x14ac:dyDescent="0.3">
      <c r="AA3469">
        <f t="shared" si="216"/>
        <v>0</v>
      </c>
      <c r="AB3469">
        <f t="shared" si="217"/>
        <v>0</v>
      </c>
      <c r="AC3469">
        <f t="shared" si="218"/>
        <v>0</v>
      </c>
      <c r="AD3469">
        <f t="shared" si="219"/>
        <v>0</v>
      </c>
    </row>
    <row r="3470" spans="27:30" x14ac:dyDescent="0.3">
      <c r="AA3470">
        <f t="shared" si="216"/>
        <v>0</v>
      </c>
      <c r="AB3470">
        <f t="shared" si="217"/>
        <v>0</v>
      </c>
      <c r="AC3470">
        <f t="shared" si="218"/>
        <v>0</v>
      </c>
      <c r="AD3470">
        <f t="shared" si="219"/>
        <v>0</v>
      </c>
    </row>
    <row r="3471" spans="27:30" x14ac:dyDescent="0.3">
      <c r="AA3471">
        <f t="shared" si="216"/>
        <v>0</v>
      </c>
      <c r="AB3471">
        <f t="shared" si="217"/>
        <v>0</v>
      </c>
      <c r="AC3471">
        <f t="shared" si="218"/>
        <v>0</v>
      </c>
      <c r="AD3471">
        <f t="shared" si="219"/>
        <v>0</v>
      </c>
    </row>
    <row r="3472" spans="27:30" x14ac:dyDescent="0.3">
      <c r="AA3472">
        <f t="shared" si="216"/>
        <v>0</v>
      </c>
      <c r="AB3472">
        <f t="shared" si="217"/>
        <v>0</v>
      </c>
      <c r="AC3472">
        <f t="shared" si="218"/>
        <v>0</v>
      </c>
      <c r="AD3472">
        <f t="shared" si="219"/>
        <v>0</v>
      </c>
    </row>
    <row r="3473" spans="27:30" x14ac:dyDescent="0.3">
      <c r="AA3473">
        <f t="shared" si="216"/>
        <v>0</v>
      </c>
      <c r="AB3473">
        <f t="shared" si="217"/>
        <v>0</v>
      </c>
      <c r="AC3473">
        <f t="shared" si="218"/>
        <v>0</v>
      </c>
      <c r="AD3473">
        <f t="shared" si="219"/>
        <v>0</v>
      </c>
    </row>
    <row r="3474" spans="27:30" x14ac:dyDescent="0.3">
      <c r="AA3474">
        <f t="shared" si="216"/>
        <v>0</v>
      </c>
      <c r="AB3474">
        <f t="shared" si="217"/>
        <v>0</v>
      </c>
      <c r="AC3474">
        <f t="shared" si="218"/>
        <v>0</v>
      </c>
      <c r="AD3474">
        <f t="shared" si="219"/>
        <v>0</v>
      </c>
    </row>
    <row r="3475" spans="27:30" x14ac:dyDescent="0.3">
      <c r="AA3475">
        <f t="shared" si="216"/>
        <v>0</v>
      </c>
      <c r="AB3475">
        <f t="shared" si="217"/>
        <v>0</v>
      </c>
      <c r="AC3475">
        <f t="shared" si="218"/>
        <v>0</v>
      </c>
      <c r="AD3475">
        <f t="shared" si="219"/>
        <v>0</v>
      </c>
    </row>
    <row r="3476" spans="27:30" x14ac:dyDescent="0.3">
      <c r="AA3476">
        <f t="shared" si="216"/>
        <v>0</v>
      </c>
      <c r="AB3476">
        <f t="shared" si="217"/>
        <v>0</v>
      </c>
      <c r="AC3476">
        <f t="shared" si="218"/>
        <v>0</v>
      </c>
      <c r="AD3476">
        <f t="shared" si="219"/>
        <v>0</v>
      </c>
    </row>
    <row r="3477" spans="27:30" x14ac:dyDescent="0.3">
      <c r="AA3477">
        <f t="shared" si="216"/>
        <v>0</v>
      </c>
      <c r="AB3477">
        <f t="shared" si="217"/>
        <v>0</v>
      </c>
      <c r="AC3477">
        <f t="shared" si="218"/>
        <v>0</v>
      </c>
      <c r="AD3477">
        <f t="shared" si="219"/>
        <v>0</v>
      </c>
    </row>
    <row r="3478" spans="27:30" x14ac:dyDescent="0.3">
      <c r="AA3478">
        <f t="shared" si="216"/>
        <v>0</v>
      </c>
      <c r="AB3478">
        <f t="shared" si="217"/>
        <v>0</v>
      </c>
      <c r="AC3478">
        <f t="shared" si="218"/>
        <v>0</v>
      </c>
      <c r="AD3478">
        <f t="shared" si="219"/>
        <v>0</v>
      </c>
    </row>
    <row r="3479" spans="27:30" x14ac:dyDescent="0.3">
      <c r="AA3479">
        <f t="shared" si="216"/>
        <v>0</v>
      </c>
      <c r="AB3479">
        <f t="shared" si="217"/>
        <v>0</v>
      </c>
      <c r="AC3479">
        <f t="shared" si="218"/>
        <v>0</v>
      </c>
      <c r="AD3479">
        <f t="shared" si="219"/>
        <v>0</v>
      </c>
    </row>
    <row r="3480" spans="27:30" x14ac:dyDescent="0.3">
      <c r="AA3480">
        <f t="shared" si="216"/>
        <v>0</v>
      </c>
      <c r="AB3480">
        <f t="shared" si="217"/>
        <v>0</v>
      </c>
      <c r="AC3480">
        <f t="shared" si="218"/>
        <v>0</v>
      </c>
      <c r="AD3480">
        <f t="shared" si="219"/>
        <v>0</v>
      </c>
    </row>
    <row r="3481" spans="27:30" x14ac:dyDescent="0.3">
      <c r="AA3481">
        <f t="shared" si="216"/>
        <v>0</v>
      </c>
      <c r="AB3481">
        <f t="shared" si="217"/>
        <v>0</v>
      </c>
      <c r="AC3481">
        <f t="shared" si="218"/>
        <v>0</v>
      </c>
      <c r="AD3481">
        <f t="shared" si="219"/>
        <v>0</v>
      </c>
    </row>
    <row r="3482" spans="27:30" x14ac:dyDescent="0.3">
      <c r="AA3482">
        <f t="shared" si="216"/>
        <v>0</v>
      </c>
      <c r="AB3482">
        <f t="shared" si="217"/>
        <v>0</v>
      </c>
      <c r="AC3482">
        <f t="shared" si="218"/>
        <v>0</v>
      </c>
      <c r="AD3482">
        <f t="shared" si="219"/>
        <v>0</v>
      </c>
    </row>
    <row r="3483" spans="27:30" x14ac:dyDescent="0.3">
      <c r="AA3483">
        <f t="shared" si="216"/>
        <v>0</v>
      </c>
      <c r="AB3483">
        <f t="shared" si="217"/>
        <v>0</v>
      </c>
      <c r="AC3483">
        <f t="shared" si="218"/>
        <v>0</v>
      </c>
      <c r="AD3483">
        <f t="shared" si="219"/>
        <v>0</v>
      </c>
    </row>
    <row r="3484" spans="27:30" x14ac:dyDescent="0.3">
      <c r="AA3484">
        <f t="shared" si="216"/>
        <v>0</v>
      </c>
      <c r="AB3484">
        <f t="shared" si="217"/>
        <v>0</v>
      </c>
      <c r="AC3484">
        <f t="shared" si="218"/>
        <v>0</v>
      </c>
      <c r="AD3484">
        <f t="shared" si="219"/>
        <v>0</v>
      </c>
    </row>
    <row r="3485" spans="27:30" x14ac:dyDescent="0.3">
      <c r="AA3485">
        <f t="shared" si="216"/>
        <v>0</v>
      </c>
      <c r="AB3485">
        <f t="shared" si="217"/>
        <v>0</v>
      </c>
      <c r="AC3485">
        <f t="shared" si="218"/>
        <v>0</v>
      </c>
      <c r="AD3485">
        <f t="shared" si="219"/>
        <v>0</v>
      </c>
    </row>
    <row r="3486" spans="27:30" x14ac:dyDescent="0.3">
      <c r="AA3486">
        <f t="shared" si="216"/>
        <v>0</v>
      </c>
      <c r="AB3486">
        <f t="shared" si="217"/>
        <v>0</v>
      </c>
      <c r="AC3486">
        <f t="shared" si="218"/>
        <v>0</v>
      </c>
      <c r="AD3486">
        <f t="shared" si="219"/>
        <v>0</v>
      </c>
    </row>
    <row r="3487" spans="27:30" x14ac:dyDescent="0.3">
      <c r="AA3487">
        <f t="shared" si="216"/>
        <v>0</v>
      </c>
      <c r="AB3487">
        <f t="shared" si="217"/>
        <v>0</v>
      </c>
      <c r="AC3487">
        <f t="shared" si="218"/>
        <v>0</v>
      </c>
      <c r="AD3487">
        <f t="shared" si="219"/>
        <v>0</v>
      </c>
    </row>
    <row r="3488" spans="27:30" x14ac:dyDescent="0.3">
      <c r="AA3488">
        <f t="shared" si="216"/>
        <v>0</v>
      </c>
      <c r="AB3488">
        <f t="shared" si="217"/>
        <v>0</v>
      </c>
      <c r="AC3488">
        <f t="shared" si="218"/>
        <v>0</v>
      </c>
      <c r="AD3488">
        <f t="shared" si="219"/>
        <v>0</v>
      </c>
    </row>
    <row r="3489" spans="27:30" x14ac:dyDescent="0.3">
      <c r="AA3489">
        <f t="shared" si="216"/>
        <v>0</v>
      </c>
      <c r="AB3489">
        <f t="shared" si="217"/>
        <v>0</v>
      </c>
      <c r="AC3489">
        <f t="shared" si="218"/>
        <v>0</v>
      </c>
      <c r="AD3489">
        <f t="shared" si="219"/>
        <v>0</v>
      </c>
    </row>
    <row r="3490" spans="27:30" x14ac:dyDescent="0.3">
      <c r="AA3490">
        <f t="shared" si="216"/>
        <v>0</v>
      </c>
      <c r="AB3490">
        <f t="shared" si="217"/>
        <v>0</v>
      </c>
      <c r="AC3490">
        <f t="shared" si="218"/>
        <v>0</v>
      </c>
      <c r="AD3490">
        <f t="shared" si="219"/>
        <v>0</v>
      </c>
    </row>
    <row r="3491" spans="27:30" x14ac:dyDescent="0.3">
      <c r="AA3491">
        <f t="shared" si="216"/>
        <v>0</v>
      </c>
      <c r="AB3491">
        <f t="shared" si="217"/>
        <v>0</v>
      </c>
      <c r="AC3491">
        <f t="shared" si="218"/>
        <v>0</v>
      </c>
      <c r="AD3491">
        <f t="shared" si="219"/>
        <v>0</v>
      </c>
    </row>
    <row r="3492" spans="27:30" x14ac:dyDescent="0.3">
      <c r="AA3492">
        <f t="shared" si="216"/>
        <v>0</v>
      </c>
      <c r="AB3492">
        <f t="shared" si="217"/>
        <v>0</v>
      </c>
      <c r="AC3492">
        <f t="shared" si="218"/>
        <v>0</v>
      </c>
      <c r="AD3492">
        <f t="shared" si="219"/>
        <v>0</v>
      </c>
    </row>
    <row r="3493" spans="27:30" x14ac:dyDescent="0.3">
      <c r="AA3493">
        <f t="shared" si="216"/>
        <v>0</v>
      </c>
      <c r="AB3493">
        <f t="shared" si="217"/>
        <v>0</v>
      </c>
      <c r="AC3493">
        <f t="shared" si="218"/>
        <v>0</v>
      </c>
      <c r="AD3493">
        <f t="shared" si="219"/>
        <v>0</v>
      </c>
    </row>
    <row r="3494" spans="27:30" x14ac:dyDescent="0.3">
      <c r="AA3494">
        <f t="shared" si="216"/>
        <v>0</v>
      </c>
      <c r="AB3494">
        <f t="shared" si="217"/>
        <v>0</v>
      </c>
      <c r="AC3494">
        <f t="shared" si="218"/>
        <v>0</v>
      </c>
      <c r="AD3494">
        <f t="shared" si="219"/>
        <v>0</v>
      </c>
    </row>
    <row r="3495" spans="27:30" x14ac:dyDescent="0.3">
      <c r="AA3495">
        <f t="shared" si="216"/>
        <v>0</v>
      </c>
      <c r="AB3495">
        <f t="shared" si="217"/>
        <v>0</v>
      </c>
      <c r="AC3495">
        <f t="shared" si="218"/>
        <v>0</v>
      </c>
      <c r="AD3495">
        <f t="shared" si="219"/>
        <v>0</v>
      </c>
    </row>
    <row r="3496" spans="27:30" x14ac:dyDescent="0.3">
      <c r="AA3496">
        <f t="shared" si="216"/>
        <v>0</v>
      </c>
      <c r="AB3496">
        <f t="shared" si="217"/>
        <v>0</v>
      </c>
      <c r="AC3496">
        <f t="shared" si="218"/>
        <v>0</v>
      </c>
      <c r="AD3496">
        <f t="shared" si="219"/>
        <v>0</v>
      </c>
    </row>
    <row r="3497" spans="27:30" x14ac:dyDescent="0.3">
      <c r="AA3497">
        <f t="shared" si="216"/>
        <v>0</v>
      </c>
      <c r="AB3497">
        <f t="shared" si="217"/>
        <v>0</v>
      </c>
      <c r="AC3497">
        <f t="shared" si="218"/>
        <v>0</v>
      </c>
      <c r="AD3497">
        <f t="shared" si="219"/>
        <v>0</v>
      </c>
    </row>
    <row r="3498" spans="27:30" x14ac:dyDescent="0.3">
      <c r="AA3498">
        <f t="shared" si="216"/>
        <v>0</v>
      </c>
      <c r="AB3498">
        <f t="shared" si="217"/>
        <v>0</v>
      </c>
      <c r="AC3498">
        <f t="shared" si="218"/>
        <v>0</v>
      </c>
      <c r="AD3498">
        <f t="shared" si="219"/>
        <v>0</v>
      </c>
    </row>
    <row r="3499" spans="27:30" x14ac:dyDescent="0.3">
      <c r="AA3499">
        <f t="shared" si="216"/>
        <v>0</v>
      </c>
      <c r="AB3499">
        <f t="shared" si="217"/>
        <v>0</v>
      </c>
      <c r="AC3499">
        <f t="shared" si="218"/>
        <v>0</v>
      </c>
      <c r="AD3499">
        <f t="shared" si="219"/>
        <v>0</v>
      </c>
    </row>
    <row r="3500" spans="27:30" x14ac:dyDescent="0.3">
      <c r="AA3500">
        <f t="shared" si="216"/>
        <v>0</v>
      </c>
      <c r="AB3500">
        <f t="shared" si="217"/>
        <v>0</v>
      </c>
      <c r="AC3500">
        <f t="shared" si="218"/>
        <v>0</v>
      </c>
      <c r="AD3500">
        <f t="shared" si="219"/>
        <v>0</v>
      </c>
    </row>
    <row r="3501" spans="27:30" x14ac:dyDescent="0.3">
      <c r="AA3501">
        <f t="shared" si="216"/>
        <v>0</v>
      </c>
      <c r="AB3501">
        <f t="shared" si="217"/>
        <v>0</v>
      </c>
      <c r="AC3501">
        <f t="shared" si="218"/>
        <v>0</v>
      </c>
      <c r="AD3501">
        <f t="shared" si="219"/>
        <v>0</v>
      </c>
    </row>
    <row r="3502" spans="27:30" x14ac:dyDescent="0.3">
      <c r="AA3502">
        <f t="shared" si="216"/>
        <v>0</v>
      </c>
      <c r="AB3502">
        <f t="shared" si="217"/>
        <v>0</v>
      </c>
      <c r="AC3502">
        <f t="shared" si="218"/>
        <v>0</v>
      </c>
      <c r="AD3502">
        <f t="shared" si="219"/>
        <v>0</v>
      </c>
    </row>
    <row r="3503" spans="27:30" x14ac:dyDescent="0.3">
      <c r="AA3503">
        <f t="shared" si="216"/>
        <v>0</v>
      </c>
      <c r="AB3503">
        <f t="shared" si="217"/>
        <v>0</v>
      </c>
      <c r="AC3503">
        <f t="shared" si="218"/>
        <v>0</v>
      </c>
      <c r="AD3503">
        <f t="shared" si="219"/>
        <v>0</v>
      </c>
    </row>
    <row r="3504" spans="27:30" x14ac:dyDescent="0.3">
      <c r="AA3504">
        <f t="shared" si="216"/>
        <v>0</v>
      </c>
      <c r="AB3504">
        <f t="shared" si="217"/>
        <v>0</v>
      </c>
      <c r="AC3504">
        <f t="shared" si="218"/>
        <v>0</v>
      </c>
      <c r="AD3504">
        <f t="shared" si="219"/>
        <v>0</v>
      </c>
    </row>
    <row r="3505" spans="27:30" x14ac:dyDescent="0.3">
      <c r="AA3505">
        <f t="shared" si="216"/>
        <v>0</v>
      </c>
      <c r="AB3505">
        <f t="shared" si="217"/>
        <v>0</v>
      </c>
      <c r="AC3505">
        <f t="shared" si="218"/>
        <v>0</v>
      </c>
      <c r="AD3505">
        <f t="shared" si="219"/>
        <v>0</v>
      </c>
    </row>
    <row r="3506" spans="27:30" x14ac:dyDescent="0.3">
      <c r="AA3506">
        <f t="shared" si="216"/>
        <v>0</v>
      </c>
      <c r="AB3506">
        <f t="shared" si="217"/>
        <v>0</v>
      </c>
      <c r="AC3506">
        <f t="shared" si="218"/>
        <v>0</v>
      </c>
      <c r="AD3506">
        <f t="shared" si="219"/>
        <v>0</v>
      </c>
    </row>
    <row r="3507" spans="27:30" x14ac:dyDescent="0.3">
      <c r="AA3507">
        <f t="shared" si="216"/>
        <v>0</v>
      </c>
      <c r="AB3507">
        <f t="shared" si="217"/>
        <v>0</v>
      </c>
      <c r="AC3507">
        <f t="shared" si="218"/>
        <v>0</v>
      </c>
      <c r="AD3507">
        <f t="shared" si="219"/>
        <v>0</v>
      </c>
    </row>
    <row r="3508" spans="27:30" x14ac:dyDescent="0.3">
      <c r="AA3508">
        <f t="shared" si="216"/>
        <v>0</v>
      </c>
      <c r="AB3508">
        <f t="shared" si="217"/>
        <v>0</v>
      </c>
      <c r="AC3508">
        <f t="shared" si="218"/>
        <v>0</v>
      </c>
      <c r="AD3508">
        <f t="shared" si="219"/>
        <v>0</v>
      </c>
    </row>
    <row r="3509" spans="27:30" x14ac:dyDescent="0.3">
      <c r="AA3509">
        <f t="shared" si="216"/>
        <v>0</v>
      </c>
      <c r="AB3509">
        <f t="shared" si="217"/>
        <v>0</v>
      </c>
      <c r="AC3509">
        <f t="shared" si="218"/>
        <v>0</v>
      </c>
      <c r="AD3509">
        <f t="shared" si="219"/>
        <v>0</v>
      </c>
    </row>
    <row r="3510" spans="27:30" x14ac:dyDescent="0.3">
      <c r="AA3510">
        <f t="shared" si="216"/>
        <v>0</v>
      </c>
      <c r="AB3510">
        <f t="shared" si="217"/>
        <v>0</v>
      </c>
      <c r="AC3510">
        <f t="shared" si="218"/>
        <v>0</v>
      </c>
      <c r="AD3510">
        <f t="shared" si="219"/>
        <v>0</v>
      </c>
    </row>
    <row r="3511" spans="27:30" x14ac:dyDescent="0.3">
      <c r="AA3511">
        <f t="shared" si="216"/>
        <v>0</v>
      </c>
      <c r="AB3511">
        <f t="shared" si="217"/>
        <v>0</v>
      </c>
      <c r="AC3511">
        <f t="shared" si="218"/>
        <v>0</v>
      </c>
      <c r="AD3511">
        <f t="shared" si="219"/>
        <v>0</v>
      </c>
    </row>
    <row r="3512" spans="27:30" x14ac:dyDescent="0.3">
      <c r="AA3512">
        <f t="shared" si="216"/>
        <v>0</v>
      </c>
      <c r="AB3512">
        <f t="shared" si="217"/>
        <v>0</v>
      </c>
      <c r="AC3512">
        <f t="shared" si="218"/>
        <v>0</v>
      </c>
      <c r="AD3512">
        <f t="shared" si="219"/>
        <v>0</v>
      </c>
    </row>
    <row r="3513" spans="27:30" x14ac:dyDescent="0.3">
      <c r="AA3513">
        <f t="shared" si="216"/>
        <v>0</v>
      </c>
      <c r="AB3513">
        <f t="shared" si="217"/>
        <v>0</v>
      </c>
      <c r="AC3513">
        <f t="shared" si="218"/>
        <v>0</v>
      </c>
      <c r="AD3513">
        <f t="shared" si="219"/>
        <v>0</v>
      </c>
    </row>
    <row r="3514" spans="27:30" x14ac:dyDescent="0.3">
      <c r="AA3514">
        <f t="shared" si="216"/>
        <v>0</v>
      </c>
      <c r="AB3514">
        <f t="shared" si="217"/>
        <v>0</v>
      </c>
      <c r="AC3514">
        <f t="shared" si="218"/>
        <v>0</v>
      </c>
      <c r="AD3514">
        <f t="shared" si="219"/>
        <v>0</v>
      </c>
    </row>
    <row r="3515" spans="27:30" x14ac:dyDescent="0.3">
      <c r="AA3515">
        <f t="shared" si="216"/>
        <v>0</v>
      </c>
      <c r="AB3515">
        <f t="shared" si="217"/>
        <v>0</v>
      </c>
      <c r="AC3515">
        <f t="shared" si="218"/>
        <v>0</v>
      </c>
      <c r="AD3515">
        <f t="shared" si="219"/>
        <v>0</v>
      </c>
    </row>
    <row r="3516" spans="27:30" x14ac:dyDescent="0.3">
      <c r="AA3516">
        <f t="shared" si="216"/>
        <v>0</v>
      </c>
      <c r="AB3516">
        <f t="shared" si="217"/>
        <v>0</v>
      </c>
      <c r="AC3516">
        <f t="shared" si="218"/>
        <v>0</v>
      </c>
      <c r="AD3516">
        <f t="shared" si="219"/>
        <v>0</v>
      </c>
    </row>
    <row r="3517" spans="27:30" x14ac:dyDescent="0.3">
      <c r="AA3517">
        <f t="shared" si="216"/>
        <v>0</v>
      </c>
      <c r="AB3517">
        <f t="shared" si="217"/>
        <v>0</v>
      </c>
      <c r="AC3517">
        <f t="shared" si="218"/>
        <v>0</v>
      </c>
      <c r="AD3517">
        <f t="shared" si="219"/>
        <v>0</v>
      </c>
    </row>
    <row r="3518" spans="27:30" x14ac:dyDescent="0.3">
      <c r="AA3518">
        <f t="shared" si="216"/>
        <v>0</v>
      </c>
      <c r="AB3518">
        <f t="shared" si="217"/>
        <v>0</v>
      </c>
      <c r="AC3518">
        <f t="shared" si="218"/>
        <v>0</v>
      </c>
      <c r="AD3518">
        <f t="shared" si="219"/>
        <v>0</v>
      </c>
    </row>
    <row r="3519" spans="27:30" x14ac:dyDescent="0.3">
      <c r="AA3519">
        <f t="shared" si="216"/>
        <v>0</v>
      </c>
      <c r="AB3519">
        <f t="shared" si="217"/>
        <v>0</v>
      </c>
      <c r="AC3519">
        <f t="shared" si="218"/>
        <v>0</v>
      </c>
      <c r="AD3519">
        <f t="shared" si="219"/>
        <v>0</v>
      </c>
    </row>
    <row r="3520" spans="27:30" x14ac:dyDescent="0.3">
      <c r="AA3520">
        <f t="shared" si="216"/>
        <v>0</v>
      </c>
      <c r="AB3520">
        <f t="shared" si="217"/>
        <v>0</v>
      </c>
      <c r="AC3520">
        <f t="shared" si="218"/>
        <v>0</v>
      </c>
      <c r="AD3520">
        <f t="shared" si="219"/>
        <v>0</v>
      </c>
    </row>
    <row r="3521" spans="27:30" x14ac:dyDescent="0.3">
      <c r="AA3521">
        <f t="shared" si="216"/>
        <v>0</v>
      </c>
      <c r="AB3521">
        <f t="shared" si="217"/>
        <v>0</v>
      </c>
      <c r="AC3521">
        <f t="shared" si="218"/>
        <v>0</v>
      </c>
      <c r="AD3521">
        <f t="shared" si="219"/>
        <v>0</v>
      </c>
    </row>
    <row r="3522" spans="27:30" x14ac:dyDescent="0.3">
      <c r="AA3522">
        <f t="shared" si="216"/>
        <v>0</v>
      </c>
      <c r="AB3522">
        <f t="shared" si="217"/>
        <v>0</v>
      </c>
      <c r="AC3522">
        <f t="shared" si="218"/>
        <v>0</v>
      </c>
      <c r="AD3522">
        <f t="shared" si="219"/>
        <v>0</v>
      </c>
    </row>
    <row r="3523" spans="27:30" x14ac:dyDescent="0.3">
      <c r="AA3523">
        <f t="shared" si="216"/>
        <v>0</v>
      </c>
      <c r="AB3523">
        <f t="shared" si="217"/>
        <v>0</v>
      </c>
      <c r="AC3523">
        <f t="shared" si="218"/>
        <v>0</v>
      </c>
      <c r="AD3523">
        <f t="shared" si="219"/>
        <v>0</v>
      </c>
    </row>
    <row r="3524" spans="27:30" x14ac:dyDescent="0.3">
      <c r="AA3524">
        <f t="shared" si="216"/>
        <v>0</v>
      </c>
      <c r="AB3524">
        <f t="shared" si="217"/>
        <v>0</v>
      </c>
      <c r="AC3524">
        <f t="shared" si="218"/>
        <v>0</v>
      </c>
      <c r="AD3524">
        <f t="shared" si="219"/>
        <v>0</v>
      </c>
    </row>
    <row r="3525" spans="27:30" x14ac:dyDescent="0.3">
      <c r="AA3525">
        <f t="shared" ref="AA3525:AA3588" si="220">ROUND(Z3525,0)</f>
        <v>0</v>
      </c>
      <c r="AB3525">
        <f t="shared" ref="AB3525:AB3588" si="221">IF(AA3525=Y3525,0,1)</f>
        <v>0</v>
      </c>
      <c r="AC3525">
        <f t="shared" ref="AC3525:AC3588" si="222">IF(AA3525&lt;Y3525+5,IF(AA3525&gt;Y3525-5,0,1),1)</f>
        <v>0</v>
      </c>
      <c r="AD3525">
        <f t="shared" ref="AD3525:AD3588" si="223">IF(AA3525&lt;Y3525+10,IF(AA3525&gt;Y3525-10,0,1),1)</f>
        <v>0</v>
      </c>
    </row>
    <row r="3526" spans="27:30" x14ac:dyDescent="0.3">
      <c r="AA3526">
        <f t="shared" si="220"/>
        <v>0</v>
      </c>
      <c r="AB3526">
        <f t="shared" si="221"/>
        <v>0</v>
      </c>
      <c r="AC3526">
        <f t="shared" si="222"/>
        <v>0</v>
      </c>
      <c r="AD3526">
        <f t="shared" si="223"/>
        <v>0</v>
      </c>
    </row>
    <row r="3527" spans="27:30" x14ac:dyDescent="0.3">
      <c r="AA3527">
        <f t="shared" si="220"/>
        <v>0</v>
      </c>
      <c r="AB3527">
        <f t="shared" si="221"/>
        <v>0</v>
      </c>
      <c r="AC3527">
        <f t="shared" si="222"/>
        <v>0</v>
      </c>
      <c r="AD3527">
        <f t="shared" si="223"/>
        <v>0</v>
      </c>
    </row>
    <row r="3528" spans="27:30" x14ac:dyDescent="0.3">
      <c r="AA3528">
        <f t="shared" si="220"/>
        <v>0</v>
      </c>
      <c r="AB3528">
        <f t="shared" si="221"/>
        <v>0</v>
      </c>
      <c r="AC3528">
        <f t="shared" si="222"/>
        <v>0</v>
      </c>
      <c r="AD3528">
        <f t="shared" si="223"/>
        <v>0</v>
      </c>
    </row>
    <row r="3529" spans="27:30" x14ac:dyDescent="0.3">
      <c r="AA3529">
        <f t="shared" si="220"/>
        <v>0</v>
      </c>
      <c r="AB3529">
        <f t="shared" si="221"/>
        <v>0</v>
      </c>
      <c r="AC3529">
        <f t="shared" si="222"/>
        <v>0</v>
      </c>
      <c r="AD3529">
        <f t="shared" si="223"/>
        <v>0</v>
      </c>
    </row>
    <row r="3530" spans="27:30" x14ac:dyDescent="0.3">
      <c r="AA3530">
        <f t="shared" si="220"/>
        <v>0</v>
      </c>
      <c r="AB3530">
        <f t="shared" si="221"/>
        <v>0</v>
      </c>
      <c r="AC3530">
        <f t="shared" si="222"/>
        <v>0</v>
      </c>
      <c r="AD3530">
        <f t="shared" si="223"/>
        <v>0</v>
      </c>
    </row>
    <row r="3531" spans="27:30" x14ac:dyDescent="0.3">
      <c r="AA3531">
        <f t="shared" si="220"/>
        <v>0</v>
      </c>
      <c r="AB3531">
        <f t="shared" si="221"/>
        <v>0</v>
      </c>
      <c r="AC3531">
        <f t="shared" si="222"/>
        <v>0</v>
      </c>
      <c r="AD3531">
        <f t="shared" si="223"/>
        <v>0</v>
      </c>
    </row>
    <row r="3532" spans="27:30" x14ac:dyDescent="0.3">
      <c r="AA3532">
        <f t="shared" si="220"/>
        <v>0</v>
      </c>
      <c r="AB3532">
        <f t="shared" si="221"/>
        <v>0</v>
      </c>
      <c r="AC3532">
        <f t="shared" si="222"/>
        <v>0</v>
      </c>
      <c r="AD3532">
        <f t="shared" si="223"/>
        <v>0</v>
      </c>
    </row>
    <row r="3533" spans="27:30" x14ac:dyDescent="0.3">
      <c r="AA3533">
        <f t="shared" si="220"/>
        <v>0</v>
      </c>
      <c r="AB3533">
        <f t="shared" si="221"/>
        <v>0</v>
      </c>
      <c r="AC3533">
        <f t="shared" si="222"/>
        <v>0</v>
      </c>
      <c r="AD3533">
        <f t="shared" si="223"/>
        <v>0</v>
      </c>
    </row>
    <row r="3534" spans="27:30" x14ac:dyDescent="0.3">
      <c r="AA3534">
        <f t="shared" si="220"/>
        <v>0</v>
      </c>
      <c r="AB3534">
        <f t="shared" si="221"/>
        <v>0</v>
      </c>
      <c r="AC3534">
        <f t="shared" si="222"/>
        <v>0</v>
      </c>
      <c r="AD3534">
        <f t="shared" si="223"/>
        <v>0</v>
      </c>
    </row>
    <row r="3535" spans="27:30" x14ac:dyDescent="0.3">
      <c r="AA3535">
        <f t="shared" si="220"/>
        <v>0</v>
      </c>
      <c r="AB3535">
        <f t="shared" si="221"/>
        <v>0</v>
      </c>
      <c r="AC3535">
        <f t="shared" si="222"/>
        <v>0</v>
      </c>
      <c r="AD3535">
        <f t="shared" si="223"/>
        <v>0</v>
      </c>
    </row>
    <row r="3536" spans="27:30" x14ac:dyDescent="0.3">
      <c r="AA3536">
        <f t="shared" si="220"/>
        <v>0</v>
      </c>
      <c r="AB3536">
        <f t="shared" si="221"/>
        <v>0</v>
      </c>
      <c r="AC3536">
        <f t="shared" si="222"/>
        <v>0</v>
      </c>
      <c r="AD3536">
        <f t="shared" si="223"/>
        <v>0</v>
      </c>
    </row>
    <row r="3537" spans="27:30" x14ac:dyDescent="0.3">
      <c r="AA3537">
        <f t="shared" si="220"/>
        <v>0</v>
      </c>
      <c r="AB3537">
        <f t="shared" si="221"/>
        <v>0</v>
      </c>
      <c r="AC3537">
        <f t="shared" si="222"/>
        <v>0</v>
      </c>
      <c r="AD3537">
        <f t="shared" si="223"/>
        <v>0</v>
      </c>
    </row>
    <row r="3538" spans="27:30" x14ac:dyDescent="0.3">
      <c r="AA3538">
        <f t="shared" si="220"/>
        <v>0</v>
      </c>
      <c r="AB3538">
        <f t="shared" si="221"/>
        <v>0</v>
      </c>
      <c r="AC3538">
        <f t="shared" si="222"/>
        <v>0</v>
      </c>
      <c r="AD3538">
        <f t="shared" si="223"/>
        <v>0</v>
      </c>
    </row>
    <row r="3539" spans="27:30" x14ac:dyDescent="0.3">
      <c r="AA3539">
        <f t="shared" si="220"/>
        <v>0</v>
      </c>
      <c r="AB3539">
        <f t="shared" si="221"/>
        <v>0</v>
      </c>
      <c r="AC3539">
        <f t="shared" si="222"/>
        <v>0</v>
      </c>
      <c r="AD3539">
        <f t="shared" si="223"/>
        <v>0</v>
      </c>
    </row>
    <row r="3540" spans="27:30" x14ac:dyDescent="0.3">
      <c r="AA3540">
        <f t="shared" si="220"/>
        <v>0</v>
      </c>
      <c r="AB3540">
        <f t="shared" si="221"/>
        <v>0</v>
      </c>
      <c r="AC3540">
        <f t="shared" si="222"/>
        <v>0</v>
      </c>
      <c r="AD3540">
        <f t="shared" si="223"/>
        <v>0</v>
      </c>
    </row>
    <row r="3541" spans="27:30" x14ac:dyDescent="0.3">
      <c r="AA3541">
        <f t="shared" si="220"/>
        <v>0</v>
      </c>
      <c r="AB3541">
        <f t="shared" si="221"/>
        <v>0</v>
      </c>
      <c r="AC3541">
        <f t="shared" si="222"/>
        <v>0</v>
      </c>
      <c r="AD3541">
        <f t="shared" si="223"/>
        <v>0</v>
      </c>
    </row>
    <row r="3542" spans="27:30" x14ac:dyDescent="0.3">
      <c r="AA3542">
        <f t="shared" si="220"/>
        <v>0</v>
      </c>
      <c r="AB3542">
        <f t="shared" si="221"/>
        <v>0</v>
      </c>
      <c r="AC3542">
        <f t="shared" si="222"/>
        <v>0</v>
      </c>
      <c r="AD3542">
        <f t="shared" si="223"/>
        <v>0</v>
      </c>
    </row>
    <row r="3543" spans="27:30" x14ac:dyDescent="0.3">
      <c r="AA3543">
        <f t="shared" si="220"/>
        <v>0</v>
      </c>
      <c r="AB3543">
        <f t="shared" si="221"/>
        <v>0</v>
      </c>
      <c r="AC3543">
        <f t="shared" si="222"/>
        <v>0</v>
      </c>
      <c r="AD3543">
        <f t="shared" si="223"/>
        <v>0</v>
      </c>
    </row>
    <row r="3544" spans="27:30" x14ac:dyDescent="0.3">
      <c r="AA3544">
        <f t="shared" si="220"/>
        <v>0</v>
      </c>
      <c r="AB3544">
        <f t="shared" si="221"/>
        <v>0</v>
      </c>
      <c r="AC3544">
        <f t="shared" si="222"/>
        <v>0</v>
      </c>
      <c r="AD3544">
        <f t="shared" si="223"/>
        <v>0</v>
      </c>
    </row>
    <row r="3545" spans="27:30" x14ac:dyDescent="0.3">
      <c r="AA3545">
        <f t="shared" si="220"/>
        <v>0</v>
      </c>
      <c r="AB3545">
        <f t="shared" si="221"/>
        <v>0</v>
      </c>
      <c r="AC3545">
        <f t="shared" si="222"/>
        <v>0</v>
      </c>
      <c r="AD3545">
        <f t="shared" si="223"/>
        <v>0</v>
      </c>
    </row>
    <row r="3546" spans="27:30" x14ac:dyDescent="0.3">
      <c r="AA3546">
        <f t="shared" si="220"/>
        <v>0</v>
      </c>
      <c r="AB3546">
        <f t="shared" si="221"/>
        <v>0</v>
      </c>
      <c r="AC3546">
        <f t="shared" si="222"/>
        <v>0</v>
      </c>
      <c r="AD3546">
        <f t="shared" si="223"/>
        <v>0</v>
      </c>
    </row>
    <row r="3547" spans="27:30" x14ac:dyDescent="0.3">
      <c r="AA3547">
        <f t="shared" si="220"/>
        <v>0</v>
      </c>
      <c r="AB3547">
        <f t="shared" si="221"/>
        <v>0</v>
      </c>
      <c r="AC3547">
        <f t="shared" si="222"/>
        <v>0</v>
      </c>
      <c r="AD3547">
        <f t="shared" si="223"/>
        <v>0</v>
      </c>
    </row>
    <row r="3548" spans="27:30" x14ac:dyDescent="0.3">
      <c r="AA3548">
        <f t="shared" si="220"/>
        <v>0</v>
      </c>
      <c r="AB3548">
        <f t="shared" si="221"/>
        <v>0</v>
      </c>
      <c r="AC3548">
        <f t="shared" si="222"/>
        <v>0</v>
      </c>
      <c r="AD3548">
        <f t="shared" si="223"/>
        <v>0</v>
      </c>
    </row>
    <row r="3549" spans="27:30" x14ac:dyDescent="0.3">
      <c r="AA3549">
        <f t="shared" si="220"/>
        <v>0</v>
      </c>
      <c r="AB3549">
        <f t="shared" si="221"/>
        <v>0</v>
      </c>
      <c r="AC3549">
        <f t="shared" si="222"/>
        <v>0</v>
      </c>
      <c r="AD3549">
        <f t="shared" si="223"/>
        <v>0</v>
      </c>
    </row>
    <row r="3550" spans="27:30" x14ac:dyDescent="0.3">
      <c r="AA3550">
        <f t="shared" si="220"/>
        <v>0</v>
      </c>
      <c r="AB3550">
        <f t="shared" si="221"/>
        <v>0</v>
      </c>
      <c r="AC3550">
        <f t="shared" si="222"/>
        <v>0</v>
      </c>
      <c r="AD3550">
        <f t="shared" si="223"/>
        <v>0</v>
      </c>
    </row>
    <row r="3551" spans="27:30" x14ac:dyDescent="0.3">
      <c r="AA3551">
        <f t="shared" si="220"/>
        <v>0</v>
      </c>
      <c r="AB3551">
        <f t="shared" si="221"/>
        <v>0</v>
      </c>
      <c r="AC3551">
        <f t="shared" si="222"/>
        <v>0</v>
      </c>
      <c r="AD3551">
        <f t="shared" si="223"/>
        <v>0</v>
      </c>
    </row>
    <row r="3552" spans="27:30" x14ac:dyDescent="0.3">
      <c r="AA3552">
        <f t="shared" si="220"/>
        <v>0</v>
      </c>
      <c r="AB3552">
        <f t="shared" si="221"/>
        <v>0</v>
      </c>
      <c r="AC3552">
        <f t="shared" si="222"/>
        <v>0</v>
      </c>
      <c r="AD3552">
        <f t="shared" si="223"/>
        <v>0</v>
      </c>
    </row>
    <row r="3553" spans="27:30" x14ac:dyDescent="0.3">
      <c r="AA3553">
        <f t="shared" si="220"/>
        <v>0</v>
      </c>
      <c r="AB3553">
        <f t="shared" si="221"/>
        <v>0</v>
      </c>
      <c r="AC3553">
        <f t="shared" si="222"/>
        <v>0</v>
      </c>
      <c r="AD3553">
        <f t="shared" si="223"/>
        <v>0</v>
      </c>
    </row>
    <row r="3554" spans="27:30" x14ac:dyDescent="0.3">
      <c r="AA3554">
        <f t="shared" si="220"/>
        <v>0</v>
      </c>
      <c r="AB3554">
        <f t="shared" si="221"/>
        <v>0</v>
      </c>
      <c r="AC3554">
        <f t="shared" si="222"/>
        <v>0</v>
      </c>
      <c r="AD3554">
        <f t="shared" si="223"/>
        <v>0</v>
      </c>
    </row>
    <row r="3555" spans="27:30" x14ac:dyDescent="0.3">
      <c r="AA3555">
        <f t="shared" si="220"/>
        <v>0</v>
      </c>
      <c r="AB3555">
        <f t="shared" si="221"/>
        <v>0</v>
      </c>
      <c r="AC3555">
        <f t="shared" si="222"/>
        <v>0</v>
      </c>
      <c r="AD3555">
        <f t="shared" si="223"/>
        <v>0</v>
      </c>
    </row>
    <row r="3556" spans="27:30" x14ac:dyDescent="0.3">
      <c r="AA3556">
        <f t="shared" si="220"/>
        <v>0</v>
      </c>
      <c r="AB3556">
        <f t="shared" si="221"/>
        <v>0</v>
      </c>
      <c r="AC3556">
        <f t="shared" si="222"/>
        <v>0</v>
      </c>
      <c r="AD3556">
        <f t="shared" si="223"/>
        <v>0</v>
      </c>
    </row>
    <row r="3557" spans="27:30" x14ac:dyDescent="0.3">
      <c r="AA3557">
        <f t="shared" si="220"/>
        <v>0</v>
      </c>
      <c r="AB3557">
        <f t="shared" si="221"/>
        <v>0</v>
      </c>
      <c r="AC3557">
        <f t="shared" si="222"/>
        <v>0</v>
      </c>
      <c r="AD3557">
        <f t="shared" si="223"/>
        <v>0</v>
      </c>
    </row>
    <row r="3558" spans="27:30" x14ac:dyDescent="0.3">
      <c r="AA3558">
        <f t="shared" si="220"/>
        <v>0</v>
      </c>
      <c r="AB3558">
        <f t="shared" si="221"/>
        <v>0</v>
      </c>
      <c r="AC3558">
        <f t="shared" si="222"/>
        <v>0</v>
      </c>
      <c r="AD3558">
        <f t="shared" si="223"/>
        <v>0</v>
      </c>
    </row>
    <row r="3559" spans="27:30" x14ac:dyDescent="0.3">
      <c r="AA3559">
        <f t="shared" si="220"/>
        <v>0</v>
      </c>
      <c r="AB3559">
        <f t="shared" si="221"/>
        <v>0</v>
      </c>
      <c r="AC3559">
        <f t="shared" si="222"/>
        <v>0</v>
      </c>
      <c r="AD3559">
        <f t="shared" si="223"/>
        <v>0</v>
      </c>
    </row>
    <row r="3560" spans="27:30" x14ac:dyDescent="0.3">
      <c r="AA3560">
        <f t="shared" si="220"/>
        <v>0</v>
      </c>
      <c r="AB3560">
        <f t="shared" si="221"/>
        <v>0</v>
      </c>
      <c r="AC3560">
        <f t="shared" si="222"/>
        <v>0</v>
      </c>
      <c r="AD3560">
        <f t="shared" si="223"/>
        <v>0</v>
      </c>
    </row>
    <row r="3561" spans="27:30" x14ac:dyDescent="0.3">
      <c r="AA3561">
        <f t="shared" si="220"/>
        <v>0</v>
      </c>
      <c r="AB3561">
        <f t="shared" si="221"/>
        <v>0</v>
      </c>
      <c r="AC3561">
        <f t="shared" si="222"/>
        <v>0</v>
      </c>
      <c r="AD3561">
        <f t="shared" si="223"/>
        <v>0</v>
      </c>
    </row>
    <row r="3562" spans="27:30" x14ac:dyDescent="0.3">
      <c r="AA3562">
        <f t="shared" si="220"/>
        <v>0</v>
      </c>
      <c r="AB3562">
        <f t="shared" si="221"/>
        <v>0</v>
      </c>
      <c r="AC3562">
        <f t="shared" si="222"/>
        <v>0</v>
      </c>
      <c r="AD3562">
        <f t="shared" si="223"/>
        <v>0</v>
      </c>
    </row>
    <row r="3563" spans="27:30" x14ac:dyDescent="0.3">
      <c r="AA3563">
        <f t="shared" si="220"/>
        <v>0</v>
      </c>
      <c r="AB3563">
        <f t="shared" si="221"/>
        <v>0</v>
      </c>
      <c r="AC3563">
        <f t="shared" si="222"/>
        <v>0</v>
      </c>
      <c r="AD3563">
        <f t="shared" si="223"/>
        <v>0</v>
      </c>
    </row>
    <row r="3564" spans="27:30" x14ac:dyDescent="0.3">
      <c r="AA3564">
        <f t="shared" si="220"/>
        <v>0</v>
      </c>
      <c r="AB3564">
        <f t="shared" si="221"/>
        <v>0</v>
      </c>
      <c r="AC3564">
        <f t="shared" si="222"/>
        <v>0</v>
      </c>
      <c r="AD3564">
        <f t="shared" si="223"/>
        <v>0</v>
      </c>
    </row>
    <row r="3565" spans="27:30" x14ac:dyDescent="0.3">
      <c r="AA3565">
        <f t="shared" si="220"/>
        <v>0</v>
      </c>
      <c r="AB3565">
        <f t="shared" si="221"/>
        <v>0</v>
      </c>
      <c r="AC3565">
        <f t="shared" si="222"/>
        <v>0</v>
      </c>
      <c r="AD3565">
        <f t="shared" si="223"/>
        <v>0</v>
      </c>
    </row>
    <row r="3566" spans="27:30" x14ac:dyDescent="0.3">
      <c r="AA3566">
        <f t="shared" si="220"/>
        <v>0</v>
      </c>
      <c r="AB3566">
        <f t="shared" si="221"/>
        <v>0</v>
      </c>
      <c r="AC3566">
        <f t="shared" si="222"/>
        <v>0</v>
      </c>
      <c r="AD3566">
        <f t="shared" si="223"/>
        <v>0</v>
      </c>
    </row>
    <row r="3567" spans="27:30" x14ac:dyDescent="0.3">
      <c r="AA3567">
        <f t="shared" si="220"/>
        <v>0</v>
      </c>
      <c r="AB3567">
        <f t="shared" si="221"/>
        <v>0</v>
      </c>
      <c r="AC3567">
        <f t="shared" si="222"/>
        <v>0</v>
      </c>
      <c r="AD3567">
        <f t="shared" si="223"/>
        <v>0</v>
      </c>
    </row>
    <row r="3568" spans="27:30" x14ac:dyDescent="0.3">
      <c r="AA3568">
        <f t="shared" si="220"/>
        <v>0</v>
      </c>
      <c r="AB3568">
        <f t="shared" si="221"/>
        <v>0</v>
      </c>
      <c r="AC3568">
        <f t="shared" si="222"/>
        <v>0</v>
      </c>
      <c r="AD3568">
        <f t="shared" si="223"/>
        <v>0</v>
      </c>
    </row>
    <row r="3569" spans="27:30" x14ac:dyDescent="0.3">
      <c r="AA3569">
        <f t="shared" si="220"/>
        <v>0</v>
      </c>
      <c r="AB3569">
        <f t="shared" si="221"/>
        <v>0</v>
      </c>
      <c r="AC3569">
        <f t="shared" si="222"/>
        <v>0</v>
      </c>
      <c r="AD3569">
        <f t="shared" si="223"/>
        <v>0</v>
      </c>
    </row>
    <row r="3570" spans="27:30" x14ac:dyDescent="0.3">
      <c r="AA3570">
        <f t="shared" si="220"/>
        <v>0</v>
      </c>
      <c r="AB3570">
        <f t="shared" si="221"/>
        <v>0</v>
      </c>
      <c r="AC3570">
        <f t="shared" si="222"/>
        <v>0</v>
      </c>
      <c r="AD3570">
        <f t="shared" si="223"/>
        <v>0</v>
      </c>
    </row>
    <row r="3571" spans="27:30" x14ac:dyDescent="0.3">
      <c r="AA3571">
        <f t="shared" si="220"/>
        <v>0</v>
      </c>
      <c r="AB3571">
        <f t="shared" si="221"/>
        <v>0</v>
      </c>
      <c r="AC3571">
        <f t="shared" si="222"/>
        <v>0</v>
      </c>
      <c r="AD3571">
        <f t="shared" si="223"/>
        <v>0</v>
      </c>
    </row>
    <row r="3572" spans="27:30" x14ac:dyDescent="0.3">
      <c r="AA3572">
        <f t="shared" si="220"/>
        <v>0</v>
      </c>
      <c r="AB3572">
        <f t="shared" si="221"/>
        <v>0</v>
      </c>
      <c r="AC3572">
        <f t="shared" si="222"/>
        <v>0</v>
      </c>
      <c r="AD3572">
        <f t="shared" si="223"/>
        <v>0</v>
      </c>
    </row>
    <row r="3573" spans="27:30" x14ac:dyDescent="0.3">
      <c r="AA3573">
        <f t="shared" si="220"/>
        <v>0</v>
      </c>
      <c r="AB3573">
        <f t="shared" si="221"/>
        <v>0</v>
      </c>
      <c r="AC3573">
        <f t="shared" si="222"/>
        <v>0</v>
      </c>
      <c r="AD3573">
        <f t="shared" si="223"/>
        <v>0</v>
      </c>
    </row>
    <row r="3574" spans="27:30" x14ac:dyDescent="0.3">
      <c r="AA3574">
        <f t="shared" si="220"/>
        <v>0</v>
      </c>
      <c r="AB3574">
        <f t="shared" si="221"/>
        <v>0</v>
      </c>
      <c r="AC3574">
        <f t="shared" si="222"/>
        <v>0</v>
      </c>
      <c r="AD3574">
        <f t="shared" si="223"/>
        <v>0</v>
      </c>
    </row>
    <row r="3575" spans="27:30" x14ac:dyDescent="0.3">
      <c r="AA3575">
        <f t="shared" si="220"/>
        <v>0</v>
      </c>
      <c r="AB3575">
        <f t="shared" si="221"/>
        <v>0</v>
      </c>
      <c r="AC3575">
        <f t="shared" si="222"/>
        <v>0</v>
      </c>
      <c r="AD3575">
        <f t="shared" si="223"/>
        <v>0</v>
      </c>
    </row>
    <row r="3576" spans="27:30" x14ac:dyDescent="0.3">
      <c r="AA3576">
        <f t="shared" si="220"/>
        <v>0</v>
      </c>
      <c r="AB3576">
        <f t="shared" si="221"/>
        <v>0</v>
      </c>
      <c r="AC3576">
        <f t="shared" si="222"/>
        <v>0</v>
      </c>
      <c r="AD3576">
        <f t="shared" si="223"/>
        <v>0</v>
      </c>
    </row>
    <row r="3577" spans="27:30" x14ac:dyDescent="0.3">
      <c r="AA3577">
        <f t="shared" si="220"/>
        <v>0</v>
      </c>
      <c r="AB3577">
        <f t="shared" si="221"/>
        <v>0</v>
      </c>
      <c r="AC3577">
        <f t="shared" si="222"/>
        <v>0</v>
      </c>
      <c r="AD3577">
        <f t="shared" si="223"/>
        <v>0</v>
      </c>
    </row>
    <row r="3578" spans="27:30" x14ac:dyDescent="0.3">
      <c r="AA3578">
        <f t="shared" si="220"/>
        <v>0</v>
      </c>
      <c r="AB3578">
        <f t="shared" si="221"/>
        <v>0</v>
      </c>
      <c r="AC3578">
        <f t="shared" si="222"/>
        <v>0</v>
      </c>
      <c r="AD3578">
        <f t="shared" si="223"/>
        <v>0</v>
      </c>
    </row>
    <row r="3579" spans="27:30" x14ac:dyDescent="0.3">
      <c r="AA3579">
        <f t="shared" si="220"/>
        <v>0</v>
      </c>
      <c r="AB3579">
        <f t="shared" si="221"/>
        <v>0</v>
      </c>
      <c r="AC3579">
        <f t="shared" si="222"/>
        <v>0</v>
      </c>
      <c r="AD3579">
        <f t="shared" si="223"/>
        <v>0</v>
      </c>
    </row>
    <row r="3580" spans="27:30" x14ac:dyDescent="0.3">
      <c r="AA3580">
        <f t="shared" si="220"/>
        <v>0</v>
      </c>
      <c r="AB3580">
        <f t="shared" si="221"/>
        <v>0</v>
      </c>
      <c r="AC3580">
        <f t="shared" si="222"/>
        <v>0</v>
      </c>
      <c r="AD3580">
        <f t="shared" si="223"/>
        <v>0</v>
      </c>
    </row>
    <row r="3581" spans="27:30" x14ac:dyDescent="0.3">
      <c r="AA3581">
        <f t="shared" si="220"/>
        <v>0</v>
      </c>
      <c r="AB3581">
        <f t="shared" si="221"/>
        <v>0</v>
      </c>
      <c r="AC3581">
        <f t="shared" si="222"/>
        <v>0</v>
      </c>
      <c r="AD3581">
        <f t="shared" si="223"/>
        <v>0</v>
      </c>
    </row>
    <row r="3582" spans="27:30" x14ac:dyDescent="0.3">
      <c r="AA3582">
        <f t="shared" si="220"/>
        <v>0</v>
      </c>
      <c r="AB3582">
        <f t="shared" si="221"/>
        <v>0</v>
      </c>
      <c r="AC3582">
        <f t="shared" si="222"/>
        <v>0</v>
      </c>
      <c r="AD3582">
        <f t="shared" si="223"/>
        <v>0</v>
      </c>
    </row>
    <row r="3583" spans="27:30" x14ac:dyDescent="0.3">
      <c r="AA3583">
        <f t="shared" si="220"/>
        <v>0</v>
      </c>
      <c r="AB3583">
        <f t="shared" si="221"/>
        <v>0</v>
      </c>
      <c r="AC3583">
        <f t="shared" si="222"/>
        <v>0</v>
      </c>
      <c r="AD3583">
        <f t="shared" si="223"/>
        <v>0</v>
      </c>
    </row>
    <row r="3584" spans="27:30" x14ac:dyDescent="0.3">
      <c r="AA3584">
        <f t="shared" si="220"/>
        <v>0</v>
      </c>
      <c r="AB3584">
        <f t="shared" si="221"/>
        <v>0</v>
      </c>
      <c r="AC3584">
        <f t="shared" si="222"/>
        <v>0</v>
      </c>
      <c r="AD3584">
        <f t="shared" si="223"/>
        <v>0</v>
      </c>
    </row>
    <row r="3585" spans="27:30" x14ac:dyDescent="0.3">
      <c r="AA3585">
        <f t="shared" si="220"/>
        <v>0</v>
      </c>
      <c r="AB3585">
        <f t="shared" si="221"/>
        <v>0</v>
      </c>
      <c r="AC3585">
        <f t="shared" si="222"/>
        <v>0</v>
      </c>
      <c r="AD3585">
        <f t="shared" si="223"/>
        <v>0</v>
      </c>
    </row>
    <row r="3586" spans="27:30" x14ac:dyDescent="0.3">
      <c r="AA3586">
        <f t="shared" si="220"/>
        <v>0</v>
      </c>
      <c r="AB3586">
        <f t="shared" si="221"/>
        <v>0</v>
      </c>
      <c r="AC3586">
        <f t="shared" si="222"/>
        <v>0</v>
      </c>
      <c r="AD3586">
        <f t="shared" si="223"/>
        <v>0</v>
      </c>
    </row>
    <row r="3587" spans="27:30" x14ac:dyDescent="0.3">
      <c r="AA3587">
        <f t="shared" si="220"/>
        <v>0</v>
      </c>
      <c r="AB3587">
        <f t="shared" si="221"/>
        <v>0</v>
      </c>
      <c r="AC3587">
        <f t="shared" si="222"/>
        <v>0</v>
      </c>
      <c r="AD3587">
        <f t="shared" si="223"/>
        <v>0</v>
      </c>
    </row>
    <row r="3588" spans="27:30" x14ac:dyDescent="0.3">
      <c r="AA3588">
        <f t="shared" si="220"/>
        <v>0</v>
      </c>
      <c r="AB3588">
        <f t="shared" si="221"/>
        <v>0</v>
      </c>
      <c r="AC3588">
        <f t="shared" si="222"/>
        <v>0</v>
      </c>
      <c r="AD3588">
        <f t="shared" si="223"/>
        <v>0</v>
      </c>
    </row>
    <row r="3589" spans="27:30" x14ac:dyDescent="0.3">
      <c r="AA3589">
        <f t="shared" ref="AA3589:AA3652" si="224">ROUND(Z3589,0)</f>
        <v>0</v>
      </c>
      <c r="AB3589">
        <f t="shared" ref="AB3589:AB3652" si="225">IF(AA3589=Y3589,0,1)</f>
        <v>0</v>
      </c>
      <c r="AC3589">
        <f t="shared" ref="AC3589:AC3652" si="226">IF(AA3589&lt;Y3589+5,IF(AA3589&gt;Y3589-5,0,1),1)</f>
        <v>0</v>
      </c>
      <c r="AD3589">
        <f t="shared" ref="AD3589:AD3652" si="227">IF(AA3589&lt;Y3589+10,IF(AA3589&gt;Y3589-10,0,1),1)</f>
        <v>0</v>
      </c>
    </row>
    <row r="3590" spans="27:30" x14ac:dyDescent="0.3">
      <c r="AA3590">
        <f t="shared" si="224"/>
        <v>0</v>
      </c>
      <c r="AB3590">
        <f t="shared" si="225"/>
        <v>0</v>
      </c>
      <c r="AC3590">
        <f t="shared" si="226"/>
        <v>0</v>
      </c>
      <c r="AD3590">
        <f t="shared" si="227"/>
        <v>0</v>
      </c>
    </row>
    <row r="3591" spans="27:30" x14ac:dyDescent="0.3">
      <c r="AA3591">
        <f t="shared" si="224"/>
        <v>0</v>
      </c>
      <c r="AB3591">
        <f t="shared" si="225"/>
        <v>0</v>
      </c>
      <c r="AC3591">
        <f t="shared" si="226"/>
        <v>0</v>
      </c>
      <c r="AD3591">
        <f t="shared" si="227"/>
        <v>0</v>
      </c>
    </row>
    <row r="3592" spans="27:30" x14ac:dyDescent="0.3">
      <c r="AA3592">
        <f t="shared" si="224"/>
        <v>0</v>
      </c>
      <c r="AB3592">
        <f t="shared" si="225"/>
        <v>0</v>
      </c>
      <c r="AC3592">
        <f t="shared" si="226"/>
        <v>0</v>
      </c>
      <c r="AD3592">
        <f t="shared" si="227"/>
        <v>0</v>
      </c>
    </row>
    <row r="3593" spans="27:30" x14ac:dyDescent="0.3">
      <c r="AA3593">
        <f t="shared" si="224"/>
        <v>0</v>
      </c>
      <c r="AB3593">
        <f t="shared" si="225"/>
        <v>0</v>
      </c>
      <c r="AC3593">
        <f t="shared" si="226"/>
        <v>0</v>
      </c>
      <c r="AD3593">
        <f t="shared" si="227"/>
        <v>0</v>
      </c>
    </row>
    <row r="3594" spans="27:30" x14ac:dyDescent="0.3">
      <c r="AA3594">
        <f t="shared" si="224"/>
        <v>0</v>
      </c>
      <c r="AB3594">
        <f t="shared" si="225"/>
        <v>0</v>
      </c>
      <c r="AC3594">
        <f t="shared" si="226"/>
        <v>0</v>
      </c>
      <c r="AD3594">
        <f t="shared" si="227"/>
        <v>0</v>
      </c>
    </row>
    <row r="3595" spans="27:30" x14ac:dyDescent="0.3">
      <c r="AA3595">
        <f t="shared" si="224"/>
        <v>0</v>
      </c>
      <c r="AB3595">
        <f t="shared" si="225"/>
        <v>0</v>
      </c>
      <c r="AC3595">
        <f t="shared" si="226"/>
        <v>0</v>
      </c>
      <c r="AD3595">
        <f t="shared" si="227"/>
        <v>0</v>
      </c>
    </row>
    <row r="3596" spans="27:30" x14ac:dyDescent="0.3">
      <c r="AA3596">
        <f t="shared" si="224"/>
        <v>0</v>
      </c>
      <c r="AB3596">
        <f t="shared" si="225"/>
        <v>0</v>
      </c>
      <c r="AC3596">
        <f t="shared" si="226"/>
        <v>0</v>
      </c>
      <c r="AD3596">
        <f t="shared" si="227"/>
        <v>0</v>
      </c>
    </row>
    <row r="3597" spans="27:30" x14ac:dyDescent="0.3">
      <c r="AA3597">
        <f t="shared" si="224"/>
        <v>0</v>
      </c>
      <c r="AB3597">
        <f t="shared" si="225"/>
        <v>0</v>
      </c>
      <c r="AC3597">
        <f t="shared" si="226"/>
        <v>0</v>
      </c>
      <c r="AD3597">
        <f t="shared" si="227"/>
        <v>0</v>
      </c>
    </row>
    <row r="3598" spans="27:30" x14ac:dyDescent="0.3">
      <c r="AA3598">
        <f t="shared" si="224"/>
        <v>0</v>
      </c>
      <c r="AB3598">
        <f t="shared" si="225"/>
        <v>0</v>
      </c>
      <c r="AC3598">
        <f t="shared" si="226"/>
        <v>0</v>
      </c>
      <c r="AD3598">
        <f t="shared" si="227"/>
        <v>0</v>
      </c>
    </row>
    <row r="3599" spans="27:30" x14ac:dyDescent="0.3">
      <c r="AA3599">
        <f t="shared" si="224"/>
        <v>0</v>
      </c>
      <c r="AB3599">
        <f t="shared" si="225"/>
        <v>0</v>
      </c>
      <c r="AC3599">
        <f t="shared" si="226"/>
        <v>0</v>
      </c>
      <c r="AD3599">
        <f t="shared" si="227"/>
        <v>0</v>
      </c>
    </row>
    <row r="3600" spans="27:30" x14ac:dyDescent="0.3">
      <c r="AA3600">
        <f t="shared" si="224"/>
        <v>0</v>
      </c>
      <c r="AB3600">
        <f t="shared" si="225"/>
        <v>0</v>
      </c>
      <c r="AC3600">
        <f t="shared" si="226"/>
        <v>0</v>
      </c>
      <c r="AD3600">
        <f t="shared" si="227"/>
        <v>0</v>
      </c>
    </row>
    <row r="3601" spans="27:30" x14ac:dyDescent="0.3">
      <c r="AA3601">
        <f t="shared" si="224"/>
        <v>0</v>
      </c>
      <c r="AB3601">
        <f t="shared" si="225"/>
        <v>0</v>
      </c>
      <c r="AC3601">
        <f t="shared" si="226"/>
        <v>0</v>
      </c>
      <c r="AD3601">
        <f t="shared" si="227"/>
        <v>0</v>
      </c>
    </row>
    <row r="3602" spans="27:30" x14ac:dyDescent="0.3">
      <c r="AA3602">
        <f t="shared" si="224"/>
        <v>0</v>
      </c>
      <c r="AB3602">
        <f t="shared" si="225"/>
        <v>0</v>
      </c>
      <c r="AC3602">
        <f t="shared" si="226"/>
        <v>0</v>
      </c>
      <c r="AD3602">
        <f t="shared" si="227"/>
        <v>0</v>
      </c>
    </row>
    <row r="3603" spans="27:30" x14ac:dyDescent="0.3">
      <c r="AA3603">
        <f t="shared" si="224"/>
        <v>0</v>
      </c>
      <c r="AB3603">
        <f t="shared" si="225"/>
        <v>0</v>
      </c>
      <c r="AC3603">
        <f t="shared" si="226"/>
        <v>0</v>
      </c>
      <c r="AD3603">
        <f t="shared" si="227"/>
        <v>0</v>
      </c>
    </row>
    <row r="3604" spans="27:30" x14ac:dyDescent="0.3">
      <c r="AA3604">
        <f t="shared" si="224"/>
        <v>0</v>
      </c>
      <c r="AB3604">
        <f t="shared" si="225"/>
        <v>0</v>
      </c>
      <c r="AC3604">
        <f t="shared" si="226"/>
        <v>0</v>
      </c>
      <c r="AD3604">
        <f t="shared" si="227"/>
        <v>0</v>
      </c>
    </row>
    <row r="3605" spans="27:30" x14ac:dyDescent="0.3">
      <c r="AA3605">
        <f t="shared" si="224"/>
        <v>0</v>
      </c>
      <c r="AB3605">
        <f t="shared" si="225"/>
        <v>0</v>
      </c>
      <c r="AC3605">
        <f t="shared" si="226"/>
        <v>0</v>
      </c>
      <c r="AD3605">
        <f t="shared" si="227"/>
        <v>0</v>
      </c>
    </row>
    <row r="3606" spans="27:30" x14ac:dyDescent="0.3">
      <c r="AA3606">
        <f t="shared" si="224"/>
        <v>0</v>
      </c>
      <c r="AB3606">
        <f t="shared" si="225"/>
        <v>0</v>
      </c>
      <c r="AC3606">
        <f t="shared" si="226"/>
        <v>0</v>
      </c>
      <c r="AD3606">
        <f t="shared" si="227"/>
        <v>0</v>
      </c>
    </row>
    <row r="3607" spans="27:30" x14ac:dyDescent="0.3">
      <c r="AA3607">
        <f t="shared" si="224"/>
        <v>0</v>
      </c>
      <c r="AB3607">
        <f t="shared" si="225"/>
        <v>0</v>
      </c>
      <c r="AC3607">
        <f t="shared" si="226"/>
        <v>0</v>
      </c>
      <c r="AD3607">
        <f t="shared" si="227"/>
        <v>0</v>
      </c>
    </row>
    <row r="3608" spans="27:30" x14ac:dyDescent="0.3">
      <c r="AA3608">
        <f t="shared" si="224"/>
        <v>0</v>
      </c>
      <c r="AB3608">
        <f t="shared" si="225"/>
        <v>0</v>
      </c>
      <c r="AC3608">
        <f t="shared" si="226"/>
        <v>0</v>
      </c>
      <c r="AD3608">
        <f t="shared" si="227"/>
        <v>0</v>
      </c>
    </row>
    <row r="3609" spans="27:30" x14ac:dyDescent="0.3">
      <c r="AA3609">
        <f t="shared" si="224"/>
        <v>0</v>
      </c>
      <c r="AB3609">
        <f t="shared" si="225"/>
        <v>0</v>
      </c>
      <c r="AC3609">
        <f t="shared" si="226"/>
        <v>0</v>
      </c>
      <c r="AD3609">
        <f t="shared" si="227"/>
        <v>0</v>
      </c>
    </row>
    <row r="3610" spans="27:30" x14ac:dyDescent="0.3">
      <c r="AA3610">
        <f t="shared" si="224"/>
        <v>0</v>
      </c>
      <c r="AB3610">
        <f t="shared" si="225"/>
        <v>0</v>
      </c>
      <c r="AC3610">
        <f t="shared" si="226"/>
        <v>0</v>
      </c>
      <c r="AD3610">
        <f t="shared" si="227"/>
        <v>0</v>
      </c>
    </row>
    <row r="3611" spans="27:30" x14ac:dyDescent="0.3">
      <c r="AA3611">
        <f t="shared" si="224"/>
        <v>0</v>
      </c>
      <c r="AB3611">
        <f t="shared" si="225"/>
        <v>0</v>
      </c>
      <c r="AC3611">
        <f t="shared" si="226"/>
        <v>0</v>
      </c>
      <c r="AD3611">
        <f t="shared" si="227"/>
        <v>0</v>
      </c>
    </row>
    <row r="3612" spans="27:30" x14ac:dyDescent="0.3">
      <c r="AA3612">
        <f t="shared" si="224"/>
        <v>0</v>
      </c>
      <c r="AB3612">
        <f t="shared" si="225"/>
        <v>0</v>
      </c>
      <c r="AC3612">
        <f t="shared" si="226"/>
        <v>0</v>
      </c>
      <c r="AD3612">
        <f t="shared" si="227"/>
        <v>0</v>
      </c>
    </row>
    <row r="3613" spans="27:30" x14ac:dyDescent="0.3">
      <c r="AA3613">
        <f t="shared" si="224"/>
        <v>0</v>
      </c>
      <c r="AB3613">
        <f t="shared" si="225"/>
        <v>0</v>
      </c>
      <c r="AC3613">
        <f t="shared" si="226"/>
        <v>0</v>
      </c>
      <c r="AD3613">
        <f t="shared" si="227"/>
        <v>0</v>
      </c>
    </row>
    <row r="3614" spans="27:30" x14ac:dyDescent="0.3">
      <c r="AA3614">
        <f t="shared" si="224"/>
        <v>0</v>
      </c>
      <c r="AB3614">
        <f t="shared" si="225"/>
        <v>0</v>
      </c>
      <c r="AC3614">
        <f t="shared" si="226"/>
        <v>0</v>
      </c>
      <c r="AD3614">
        <f t="shared" si="227"/>
        <v>0</v>
      </c>
    </row>
    <row r="3615" spans="27:30" x14ac:dyDescent="0.3">
      <c r="AA3615">
        <f t="shared" si="224"/>
        <v>0</v>
      </c>
      <c r="AB3615">
        <f t="shared" si="225"/>
        <v>0</v>
      </c>
      <c r="AC3615">
        <f t="shared" si="226"/>
        <v>0</v>
      </c>
      <c r="AD3615">
        <f t="shared" si="227"/>
        <v>0</v>
      </c>
    </row>
    <row r="3616" spans="27:30" x14ac:dyDescent="0.3">
      <c r="AA3616">
        <f t="shared" si="224"/>
        <v>0</v>
      </c>
      <c r="AB3616">
        <f t="shared" si="225"/>
        <v>0</v>
      </c>
      <c r="AC3616">
        <f t="shared" si="226"/>
        <v>0</v>
      </c>
      <c r="AD3616">
        <f t="shared" si="227"/>
        <v>0</v>
      </c>
    </row>
    <row r="3617" spans="27:30" x14ac:dyDescent="0.3">
      <c r="AA3617">
        <f t="shared" si="224"/>
        <v>0</v>
      </c>
      <c r="AB3617">
        <f t="shared" si="225"/>
        <v>0</v>
      </c>
      <c r="AC3617">
        <f t="shared" si="226"/>
        <v>0</v>
      </c>
      <c r="AD3617">
        <f t="shared" si="227"/>
        <v>0</v>
      </c>
    </row>
    <row r="3618" spans="27:30" x14ac:dyDescent="0.3">
      <c r="AA3618">
        <f t="shared" si="224"/>
        <v>0</v>
      </c>
      <c r="AB3618">
        <f t="shared" si="225"/>
        <v>0</v>
      </c>
      <c r="AC3618">
        <f t="shared" si="226"/>
        <v>0</v>
      </c>
      <c r="AD3618">
        <f t="shared" si="227"/>
        <v>0</v>
      </c>
    </row>
    <row r="3619" spans="27:30" x14ac:dyDescent="0.3">
      <c r="AA3619">
        <f t="shared" si="224"/>
        <v>0</v>
      </c>
      <c r="AB3619">
        <f t="shared" si="225"/>
        <v>0</v>
      </c>
      <c r="AC3619">
        <f t="shared" si="226"/>
        <v>0</v>
      </c>
      <c r="AD3619">
        <f t="shared" si="227"/>
        <v>0</v>
      </c>
    </row>
    <row r="3620" spans="27:30" x14ac:dyDescent="0.3">
      <c r="AA3620">
        <f t="shared" si="224"/>
        <v>0</v>
      </c>
      <c r="AB3620">
        <f t="shared" si="225"/>
        <v>0</v>
      </c>
      <c r="AC3620">
        <f t="shared" si="226"/>
        <v>0</v>
      </c>
      <c r="AD3620">
        <f t="shared" si="227"/>
        <v>0</v>
      </c>
    </row>
    <row r="3621" spans="27:30" x14ac:dyDescent="0.3">
      <c r="AA3621">
        <f t="shared" si="224"/>
        <v>0</v>
      </c>
      <c r="AB3621">
        <f t="shared" si="225"/>
        <v>0</v>
      </c>
      <c r="AC3621">
        <f t="shared" si="226"/>
        <v>0</v>
      </c>
      <c r="AD3621">
        <f t="shared" si="227"/>
        <v>0</v>
      </c>
    </row>
    <row r="3622" spans="27:30" x14ac:dyDescent="0.3">
      <c r="AA3622">
        <f t="shared" si="224"/>
        <v>0</v>
      </c>
      <c r="AB3622">
        <f t="shared" si="225"/>
        <v>0</v>
      </c>
      <c r="AC3622">
        <f t="shared" si="226"/>
        <v>0</v>
      </c>
      <c r="AD3622">
        <f t="shared" si="227"/>
        <v>0</v>
      </c>
    </row>
    <row r="3623" spans="27:30" x14ac:dyDescent="0.3">
      <c r="AA3623">
        <f t="shared" si="224"/>
        <v>0</v>
      </c>
      <c r="AB3623">
        <f t="shared" si="225"/>
        <v>0</v>
      </c>
      <c r="AC3623">
        <f t="shared" si="226"/>
        <v>0</v>
      </c>
      <c r="AD3623">
        <f t="shared" si="227"/>
        <v>0</v>
      </c>
    </row>
    <row r="3624" spans="27:30" x14ac:dyDescent="0.3">
      <c r="AA3624">
        <f t="shared" si="224"/>
        <v>0</v>
      </c>
      <c r="AB3624">
        <f t="shared" si="225"/>
        <v>0</v>
      </c>
      <c r="AC3624">
        <f t="shared" si="226"/>
        <v>0</v>
      </c>
      <c r="AD3624">
        <f t="shared" si="227"/>
        <v>0</v>
      </c>
    </row>
    <row r="3625" spans="27:30" x14ac:dyDescent="0.3">
      <c r="AA3625">
        <f t="shared" si="224"/>
        <v>0</v>
      </c>
      <c r="AB3625">
        <f t="shared" si="225"/>
        <v>0</v>
      </c>
      <c r="AC3625">
        <f t="shared" si="226"/>
        <v>0</v>
      </c>
      <c r="AD3625">
        <f t="shared" si="227"/>
        <v>0</v>
      </c>
    </row>
    <row r="3626" spans="27:30" x14ac:dyDescent="0.3">
      <c r="AA3626">
        <f t="shared" si="224"/>
        <v>0</v>
      </c>
      <c r="AB3626">
        <f t="shared" si="225"/>
        <v>0</v>
      </c>
      <c r="AC3626">
        <f t="shared" si="226"/>
        <v>0</v>
      </c>
      <c r="AD3626">
        <f t="shared" si="227"/>
        <v>0</v>
      </c>
    </row>
    <row r="3627" spans="27:30" x14ac:dyDescent="0.3">
      <c r="AA3627">
        <f t="shared" si="224"/>
        <v>0</v>
      </c>
      <c r="AB3627">
        <f t="shared" si="225"/>
        <v>0</v>
      </c>
      <c r="AC3627">
        <f t="shared" si="226"/>
        <v>0</v>
      </c>
      <c r="AD3627">
        <f t="shared" si="227"/>
        <v>0</v>
      </c>
    </row>
    <row r="3628" spans="27:30" x14ac:dyDescent="0.3">
      <c r="AA3628">
        <f t="shared" si="224"/>
        <v>0</v>
      </c>
      <c r="AB3628">
        <f t="shared" si="225"/>
        <v>0</v>
      </c>
      <c r="AC3628">
        <f t="shared" si="226"/>
        <v>0</v>
      </c>
      <c r="AD3628">
        <f t="shared" si="227"/>
        <v>0</v>
      </c>
    </row>
    <row r="3629" spans="27:30" x14ac:dyDescent="0.3">
      <c r="AA3629">
        <f t="shared" si="224"/>
        <v>0</v>
      </c>
      <c r="AB3629">
        <f t="shared" si="225"/>
        <v>0</v>
      </c>
      <c r="AC3629">
        <f t="shared" si="226"/>
        <v>0</v>
      </c>
      <c r="AD3629">
        <f t="shared" si="227"/>
        <v>0</v>
      </c>
    </row>
    <row r="3630" spans="27:30" x14ac:dyDescent="0.3">
      <c r="AA3630">
        <f t="shared" si="224"/>
        <v>0</v>
      </c>
      <c r="AB3630">
        <f t="shared" si="225"/>
        <v>0</v>
      </c>
      <c r="AC3630">
        <f t="shared" si="226"/>
        <v>0</v>
      </c>
      <c r="AD3630">
        <f t="shared" si="227"/>
        <v>0</v>
      </c>
    </row>
    <row r="3631" spans="27:30" x14ac:dyDescent="0.3">
      <c r="AA3631">
        <f t="shared" si="224"/>
        <v>0</v>
      </c>
      <c r="AB3631">
        <f t="shared" si="225"/>
        <v>0</v>
      </c>
      <c r="AC3631">
        <f t="shared" si="226"/>
        <v>0</v>
      </c>
      <c r="AD3631">
        <f t="shared" si="227"/>
        <v>0</v>
      </c>
    </row>
    <row r="3632" spans="27:30" x14ac:dyDescent="0.3">
      <c r="AA3632">
        <f t="shared" si="224"/>
        <v>0</v>
      </c>
      <c r="AB3632">
        <f t="shared" si="225"/>
        <v>0</v>
      </c>
      <c r="AC3632">
        <f t="shared" si="226"/>
        <v>0</v>
      </c>
      <c r="AD3632">
        <f t="shared" si="227"/>
        <v>0</v>
      </c>
    </row>
    <row r="3633" spans="27:30" x14ac:dyDescent="0.3">
      <c r="AA3633">
        <f t="shared" si="224"/>
        <v>0</v>
      </c>
      <c r="AB3633">
        <f t="shared" si="225"/>
        <v>0</v>
      </c>
      <c r="AC3633">
        <f t="shared" si="226"/>
        <v>0</v>
      </c>
      <c r="AD3633">
        <f t="shared" si="227"/>
        <v>0</v>
      </c>
    </row>
    <row r="3634" spans="27:30" x14ac:dyDescent="0.3">
      <c r="AA3634">
        <f t="shared" si="224"/>
        <v>0</v>
      </c>
      <c r="AB3634">
        <f t="shared" si="225"/>
        <v>0</v>
      </c>
      <c r="AC3634">
        <f t="shared" si="226"/>
        <v>0</v>
      </c>
      <c r="AD3634">
        <f t="shared" si="227"/>
        <v>0</v>
      </c>
    </row>
    <row r="3635" spans="27:30" x14ac:dyDescent="0.3">
      <c r="AA3635">
        <f t="shared" si="224"/>
        <v>0</v>
      </c>
      <c r="AB3635">
        <f t="shared" si="225"/>
        <v>0</v>
      </c>
      <c r="AC3635">
        <f t="shared" si="226"/>
        <v>0</v>
      </c>
      <c r="AD3635">
        <f t="shared" si="227"/>
        <v>0</v>
      </c>
    </row>
    <row r="3636" spans="27:30" x14ac:dyDescent="0.3">
      <c r="AA3636">
        <f t="shared" si="224"/>
        <v>0</v>
      </c>
      <c r="AB3636">
        <f t="shared" si="225"/>
        <v>0</v>
      </c>
      <c r="AC3636">
        <f t="shared" si="226"/>
        <v>0</v>
      </c>
      <c r="AD3636">
        <f t="shared" si="227"/>
        <v>0</v>
      </c>
    </row>
    <row r="3637" spans="27:30" x14ac:dyDescent="0.3">
      <c r="AA3637">
        <f t="shared" si="224"/>
        <v>0</v>
      </c>
      <c r="AB3637">
        <f t="shared" si="225"/>
        <v>0</v>
      </c>
      <c r="AC3637">
        <f t="shared" si="226"/>
        <v>0</v>
      </c>
      <c r="AD3637">
        <f t="shared" si="227"/>
        <v>0</v>
      </c>
    </row>
    <row r="3638" spans="27:30" x14ac:dyDescent="0.3">
      <c r="AA3638">
        <f t="shared" si="224"/>
        <v>0</v>
      </c>
      <c r="AB3638">
        <f t="shared" si="225"/>
        <v>0</v>
      </c>
      <c r="AC3638">
        <f t="shared" si="226"/>
        <v>0</v>
      </c>
      <c r="AD3638">
        <f t="shared" si="227"/>
        <v>0</v>
      </c>
    </row>
    <row r="3639" spans="27:30" x14ac:dyDescent="0.3">
      <c r="AA3639">
        <f t="shared" si="224"/>
        <v>0</v>
      </c>
      <c r="AB3639">
        <f t="shared" si="225"/>
        <v>0</v>
      </c>
      <c r="AC3639">
        <f t="shared" si="226"/>
        <v>0</v>
      </c>
      <c r="AD3639">
        <f t="shared" si="227"/>
        <v>0</v>
      </c>
    </row>
    <row r="3640" spans="27:30" x14ac:dyDescent="0.3">
      <c r="AA3640">
        <f t="shared" si="224"/>
        <v>0</v>
      </c>
      <c r="AB3640">
        <f t="shared" si="225"/>
        <v>0</v>
      </c>
      <c r="AC3640">
        <f t="shared" si="226"/>
        <v>0</v>
      </c>
      <c r="AD3640">
        <f t="shared" si="227"/>
        <v>0</v>
      </c>
    </row>
    <row r="3641" spans="27:30" x14ac:dyDescent="0.3">
      <c r="AA3641">
        <f t="shared" si="224"/>
        <v>0</v>
      </c>
      <c r="AB3641">
        <f t="shared" si="225"/>
        <v>0</v>
      </c>
      <c r="AC3641">
        <f t="shared" si="226"/>
        <v>0</v>
      </c>
      <c r="AD3641">
        <f t="shared" si="227"/>
        <v>0</v>
      </c>
    </row>
    <row r="3642" spans="27:30" x14ac:dyDescent="0.3">
      <c r="AA3642">
        <f t="shared" si="224"/>
        <v>0</v>
      </c>
      <c r="AB3642">
        <f t="shared" si="225"/>
        <v>0</v>
      </c>
      <c r="AC3642">
        <f t="shared" si="226"/>
        <v>0</v>
      </c>
      <c r="AD3642">
        <f t="shared" si="227"/>
        <v>0</v>
      </c>
    </row>
    <row r="3643" spans="27:30" x14ac:dyDescent="0.3">
      <c r="AA3643">
        <f t="shared" si="224"/>
        <v>0</v>
      </c>
      <c r="AB3643">
        <f t="shared" si="225"/>
        <v>0</v>
      </c>
      <c r="AC3643">
        <f t="shared" si="226"/>
        <v>0</v>
      </c>
      <c r="AD3643">
        <f t="shared" si="227"/>
        <v>0</v>
      </c>
    </row>
    <row r="3644" spans="27:30" x14ac:dyDescent="0.3">
      <c r="AA3644">
        <f t="shared" si="224"/>
        <v>0</v>
      </c>
      <c r="AB3644">
        <f t="shared" si="225"/>
        <v>0</v>
      </c>
      <c r="AC3644">
        <f t="shared" si="226"/>
        <v>0</v>
      </c>
      <c r="AD3644">
        <f t="shared" si="227"/>
        <v>0</v>
      </c>
    </row>
    <row r="3645" spans="27:30" x14ac:dyDescent="0.3">
      <c r="AA3645">
        <f t="shared" si="224"/>
        <v>0</v>
      </c>
      <c r="AB3645">
        <f t="shared" si="225"/>
        <v>0</v>
      </c>
      <c r="AC3645">
        <f t="shared" si="226"/>
        <v>0</v>
      </c>
      <c r="AD3645">
        <f t="shared" si="227"/>
        <v>0</v>
      </c>
    </row>
    <row r="3646" spans="27:30" x14ac:dyDescent="0.3">
      <c r="AA3646">
        <f t="shared" si="224"/>
        <v>0</v>
      </c>
      <c r="AB3646">
        <f t="shared" si="225"/>
        <v>0</v>
      </c>
      <c r="AC3646">
        <f t="shared" si="226"/>
        <v>0</v>
      </c>
      <c r="AD3646">
        <f t="shared" si="227"/>
        <v>0</v>
      </c>
    </row>
    <row r="3647" spans="27:30" x14ac:dyDescent="0.3">
      <c r="AA3647">
        <f t="shared" si="224"/>
        <v>0</v>
      </c>
      <c r="AB3647">
        <f t="shared" si="225"/>
        <v>0</v>
      </c>
      <c r="AC3647">
        <f t="shared" si="226"/>
        <v>0</v>
      </c>
      <c r="AD3647">
        <f t="shared" si="227"/>
        <v>0</v>
      </c>
    </row>
    <row r="3648" spans="27:30" x14ac:dyDescent="0.3">
      <c r="AA3648">
        <f t="shared" si="224"/>
        <v>0</v>
      </c>
      <c r="AB3648">
        <f t="shared" si="225"/>
        <v>0</v>
      </c>
      <c r="AC3648">
        <f t="shared" si="226"/>
        <v>0</v>
      </c>
      <c r="AD3648">
        <f t="shared" si="227"/>
        <v>0</v>
      </c>
    </row>
    <row r="3649" spans="27:30" x14ac:dyDescent="0.3">
      <c r="AA3649">
        <f t="shared" si="224"/>
        <v>0</v>
      </c>
      <c r="AB3649">
        <f t="shared" si="225"/>
        <v>0</v>
      </c>
      <c r="AC3649">
        <f t="shared" si="226"/>
        <v>0</v>
      </c>
      <c r="AD3649">
        <f t="shared" si="227"/>
        <v>0</v>
      </c>
    </row>
    <row r="3650" spans="27:30" x14ac:dyDescent="0.3">
      <c r="AA3650">
        <f t="shared" si="224"/>
        <v>0</v>
      </c>
      <c r="AB3650">
        <f t="shared" si="225"/>
        <v>0</v>
      </c>
      <c r="AC3650">
        <f t="shared" si="226"/>
        <v>0</v>
      </c>
      <c r="AD3650">
        <f t="shared" si="227"/>
        <v>0</v>
      </c>
    </row>
    <row r="3651" spans="27:30" x14ac:dyDescent="0.3">
      <c r="AA3651">
        <f t="shared" si="224"/>
        <v>0</v>
      </c>
      <c r="AB3651">
        <f t="shared" si="225"/>
        <v>0</v>
      </c>
      <c r="AC3651">
        <f t="shared" si="226"/>
        <v>0</v>
      </c>
      <c r="AD3651">
        <f t="shared" si="227"/>
        <v>0</v>
      </c>
    </row>
    <row r="3652" spans="27:30" x14ac:dyDescent="0.3">
      <c r="AA3652">
        <f t="shared" si="224"/>
        <v>0</v>
      </c>
      <c r="AB3652">
        <f t="shared" si="225"/>
        <v>0</v>
      </c>
      <c r="AC3652">
        <f t="shared" si="226"/>
        <v>0</v>
      </c>
      <c r="AD3652">
        <f t="shared" si="227"/>
        <v>0</v>
      </c>
    </row>
    <row r="3653" spans="27:30" x14ac:dyDescent="0.3">
      <c r="AA3653">
        <f t="shared" ref="AA3653:AA3716" si="228">ROUND(Z3653,0)</f>
        <v>0</v>
      </c>
      <c r="AB3653">
        <f t="shared" ref="AB3653:AB3716" si="229">IF(AA3653=Y3653,0,1)</f>
        <v>0</v>
      </c>
      <c r="AC3653">
        <f t="shared" ref="AC3653:AC3716" si="230">IF(AA3653&lt;Y3653+5,IF(AA3653&gt;Y3653-5,0,1),1)</f>
        <v>0</v>
      </c>
      <c r="AD3653">
        <f t="shared" ref="AD3653:AD3716" si="231">IF(AA3653&lt;Y3653+10,IF(AA3653&gt;Y3653-10,0,1),1)</f>
        <v>0</v>
      </c>
    </row>
    <row r="3654" spans="27:30" x14ac:dyDescent="0.3">
      <c r="AA3654">
        <f t="shared" si="228"/>
        <v>0</v>
      </c>
      <c r="AB3654">
        <f t="shared" si="229"/>
        <v>0</v>
      </c>
      <c r="AC3654">
        <f t="shared" si="230"/>
        <v>0</v>
      </c>
      <c r="AD3654">
        <f t="shared" si="231"/>
        <v>0</v>
      </c>
    </row>
    <row r="3655" spans="27:30" x14ac:dyDescent="0.3">
      <c r="AA3655">
        <f t="shared" si="228"/>
        <v>0</v>
      </c>
      <c r="AB3655">
        <f t="shared" si="229"/>
        <v>0</v>
      </c>
      <c r="AC3655">
        <f t="shared" si="230"/>
        <v>0</v>
      </c>
      <c r="AD3655">
        <f t="shared" si="231"/>
        <v>0</v>
      </c>
    </row>
    <row r="3656" spans="27:30" x14ac:dyDescent="0.3">
      <c r="AA3656">
        <f t="shared" si="228"/>
        <v>0</v>
      </c>
      <c r="AB3656">
        <f t="shared" si="229"/>
        <v>0</v>
      </c>
      <c r="AC3656">
        <f t="shared" si="230"/>
        <v>0</v>
      </c>
      <c r="AD3656">
        <f t="shared" si="231"/>
        <v>0</v>
      </c>
    </row>
    <row r="3657" spans="27:30" x14ac:dyDescent="0.3">
      <c r="AA3657">
        <f t="shared" si="228"/>
        <v>0</v>
      </c>
      <c r="AB3657">
        <f t="shared" si="229"/>
        <v>0</v>
      </c>
      <c r="AC3657">
        <f t="shared" si="230"/>
        <v>0</v>
      </c>
      <c r="AD3657">
        <f t="shared" si="231"/>
        <v>0</v>
      </c>
    </row>
    <row r="3658" spans="27:30" x14ac:dyDescent="0.3">
      <c r="AA3658">
        <f t="shared" si="228"/>
        <v>0</v>
      </c>
      <c r="AB3658">
        <f t="shared" si="229"/>
        <v>0</v>
      </c>
      <c r="AC3658">
        <f t="shared" si="230"/>
        <v>0</v>
      </c>
      <c r="AD3658">
        <f t="shared" si="231"/>
        <v>0</v>
      </c>
    </row>
    <row r="3659" spans="27:30" x14ac:dyDescent="0.3">
      <c r="AA3659">
        <f t="shared" si="228"/>
        <v>0</v>
      </c>
      <c r="AB3659">
        <f t="shared" si="229"/>
        <v>0</v>
      </c>
      <c r="AC3659">
        <f t="shared" si="230"/>
        <v>0</v>
      </c>
      <c r="AD3659">
        <f t="shared" si="231"/>
        <v>0</v>
      </c>
    </row>
    <row r="3660" spans="27:30" x14ac:dyDescent="0.3">
      <c r="AA3660">
        <f t="shared" si="228"/>
        <v>0</v>
      </c>
      <c r="AB3660">
        <f t="shared" si="229"/>
        <v>0</v>
      </c>
      <c r="AC3660">
        <f t="shared" si="230"/>
        <v>0</v>
      </c>
      <c r="AD3660">
        <f t="shared" si="231"/>
        <v>0</v>
      </c>
    </row>
    <row r="3661" spans="27:30" x14ac:dyDescent="0.3">
      <c r="AA3661">
        <f t="shared" si="228"/>
        <v>0</v>
      </c>
      <c r="AB3661">
        <f t="shared" si="229"/>
        <v>0</v>
      </c>
      <c r="AC3661">
        <f t="shared" si="230"/>
        <v>0</v>
      </c>
      <c r="AD3661">
        <f t="shared" si="231"/>
        <v>0</v>
      </c>
    </row>
    <row r="3662" spans="27:30" x14ac:dyDescent="0.3">
      <c r="AA3662">
        <f t="shared" si="228"/>
        <v>0</v>
      </c>
      <c r="AB3662">
        <f t="shared" si="229"/>
        <v>0</v>
      </c>
      <c r="AC3662">
        <f t="shared" si="230"/>
        <v>0</v>
      </c>
      <c r="AD3662">
        <f t="shared" si="231"/>
        <v>0</v>
      </c>
    </row>
    <row r="3663" spans="27:30" x14ac:dyDescent="0.3">
      <c r="AA3663">
        <f t="shared" si="228"/>
        <v>0</v>
      </c>
      <c r="AB3663">
        <f t="shared" si="229"/>
        <v>0</v>
      </c>
      <c r="AC3663">
        <f t="shared" si="230"/>
        <v>0</v>
      </c>
      <c r="AD3663">
        <f t="shared" si="231"/>
        <v>0</v>
      </c>
    </row>
    <row r="3664" spans="27:30" x14ac:dyDescent="0.3">
      <c r="AA3664">
        <f t="shared" si="228"/>
        <v>0</v>
      </c>
      <c r="AB3664">
        <f t="shared" si="229"/>
        <v>0</v>
      </c>
      <c r="AC3664">
        <f t="shared" si="230"/>
        <v>0</v>
      </c>
      <c r="AD3664">
        <f t="shared" si="231"/>
        <v>0</v>
      </c>
    </row>
    <row r="3665" spans="27:30" x14ac:dyDescent="0.3">
      <c r="AA3665">
        <f t="shared" si="228"/>
        <v>0</v>
      </c>
      <c r="AB3665">
        <f t="shared" si="229"/>
        <v>0</v>
      </c>
      <c r="AC3665">
        <f t="shared" si="230"/>
        <v>0</v>
      </c>
      <c r="AD3665">
        <f t="shared" si="231"/>
        <v>0</v>
      </c>
    </row>
    <row r="3666" spans="27:30" x14ac:dyDescent="0.3">
      <c r="AA3666">
        <f t="shared" si="228"/>
        <v>0</v>
      </c>
      <c r="AB3666">
        <f t="shared" si="229"/>
        <v>0</v>
      </c>
      <c r="AC3666">
        <f t="shared" si="230"/>
        <v>0</v>
      </c>
      <c r="AD3666">
        <f t="shared" si="231"/>
        <v>0</v>
      </c>
    </row>
    <row r="3667" spans="27:30" x14ac:dyDescent="0.3">
      <c r="AA3667">
        <f t="shared" si="228"/>
        <v>0</v>
      </c>
      <c r="AB3667">
        <f t="shared" si="229"/>
        <v>0</v>
      </c>
      <c r="AC3667">
        <f t="shared" si="230"/>
        <v>0</v>
      </c>
      <c r="AD3667">
        <f t="shared" si="231"/>
        <v>0</v>
      </c>
    </row>
    <row r="3668" spans="27:30" x14ac:dyDescent="0.3">
      <c r="AA3668">
        <f t="shared" si="228"/>
        <v>0</v>
      </c>
      <c r="AB3668">
        <f t="shared" si="229"/>
        <v>0</v>
      </c>
      <c r="AC3668">
        <f t="shared" si="230"/>
        <v>0</v>
      </c>
      <c r="AD3668">
        <f t="shared" si="231"/>
        <v>0</v>
      </c>
    </row>
    <row r="3669" spans="27:30" x14ac:dyDescent="0.3">
      <c r="AA3669">
        <f t="shared" si="228"/>
        <v>0</v>
      </c>
      <c r="AB3669">
        <f t="shared" si="229"/>
        <v>0</v>
      </c>
      <c r="AC3669">
        <f t="shared" si="230"/>
        <v>0</v>
      </c>
      <c r="AD3669">
        <f t="shared" si="231"/>
        <v>0</v>
      </c>
    </row>
    <row r="3670" spans="27:30" x14ac:dyDescent="0.3">
      <c r="AA3670">
        <f t="shared" si="228"/>
        <v>0</v>
      </c>
      <c r="AB3670">
        <f t="shared" si="229"/>
        <v>0</v>
      </c>
      <c r="AC3670">
        <f t="shared" si="230"/>
        <v>0</v>
      </c>
      <c r="AD3670">
        <f t="shared" si="231"/>
        <v>0</v>
      </c>
    </row>
    <row r="3671" spans="27:30" x14ac:dyDescent="0.3">
      <c r="AA3671">
        <f t="shared" si="228"/>
        <v>0</v>
      </c>
      <c r="AB3671">
        <f t="shared" si="229"/>
        <v>0</v>
      </c>
      <c r="AC3671">
        <f t="shared" si="230"/>
        <v>0</v>
      </c>
      <c r="AD3671">
        <f t="shared" si="231"/>
        <v>0</v>
      </c>
    </row>
    <row r="3672" spans="27:30" x14ac:dyDescent="0.3">
      <c r="AA3672">
        <f t="shared" si="228"/>
        <v>0</v>
      </c>
      <c r="AB3672">
        <f t="shared" si="229"/>
        <v>0</v>
      </c>
      <c r="AC3672">
        <f t="shared" si="230"/>
        <v>0</v>
      </c>
      <c r="AD3672">
        <f t="shared" si="231"/>
        <v>0</v>
      </c>
    </row>
    <row r="3673" spans="27:30" x14ac:dyDescent="0.3">
      <c r="AA3673">
        <f t="shared" si="228"/>
        <v>0</v>
      </c>
      <c r="AB3673">
        <f t="shared" si="229"/>
        <v>0</v>
      </c>
      <c r="AC3673">
        <f t="shared" si="230"/>
        <v>0</v>
      </c>
      <c r="AD3673">
        <f t="shared" si="231"/>
        <v>0</v>
      </c>
    </row>
    <row r="3674" spans="27:30" x14ac:dyDescent="0.3">
      <c r="AA3674">
        <f t="shared" si="228"/>
        <v>0</v>
      </c>
      <c r="AB3674">
        <f t="shared" si="229"/>
        <v>0</v>
      </c>
      <c r="AC3674">
        <f t="shared" si="230"/>
        <v>0</v>
      </c>
      <c r="AD3674">
        <f t="shared" si="231"/>
        <v>0</v>
      </c>
    </row>
    <row r="3675" spans="27:30" x14ac:dyDescent="0.3">
      <c r="AA3675">
        <f t="shared" si="228"/>
        <v>0</v>
      </c>
      <c r="AB3675">
        <f t="shared" si="229"/>
        <v>0</v>
      </c>
      <c r="AC3675">
        <f t="shared" si="230"/>
        <v>0</v>
      </c>
      <c r="AD3675">
        <f t="shared" si="231"/>
        <v>0</v>
      </c>
    </row>
    <row r="3676" spans="27:30" x14ac:dyDescent="0.3">
      <c r="AA3676">
        <f t="shared" si="228"/>
        <v>0</v>
      </c>
      <c r="AB3676">
        <f t="shared" si="229"/>
        <v>0</v>
      </c>
      <c r="AC3676">
        <f t="shared" si="230"/>
        <v>0</v>
      </c>
      <c r="AD3676">
        <f t="shared" si="231"/>
        <v>0</v>
      </c>
    </row>
    <row r="3677" spans="27:30" x14ac:dyDescent="0.3">
      <c r="AA3677">
        <f t="shared" si="228"/>
        <v>0</v>
      </c>
      <c r="AB3677">
        <f t="shared" si="229"/>
        <v>0</v>
      </c>
      <c r="AC3677">
        <f t="shared" si="230"/>
        <v>0</v>
      </c>
      <c r="AD3677">
        <f t="shared" si="231"/>
        <v>0</v>
      </c>
    </row>
    <row r="3678" spans="27:30" x14ac:dyDescent="0.3">
      <c r="AA3678">
        <f t="shared" si="228"/>
        <v>0</v>
      </c>
      <c r="AB3678">
        <f t="shared" si="229"/>
        <v>0</v>
      </c>
      <c r="AC3678">
        <f t="shared" si="230"/>
        <v>0</v>
      </c>
      <c r="AD3678">
        <f t="shared" si="231"/>
        <v>0</v>
      </c>
    </row>
    <row r="3679" spans="27:30" x14ac:dyDescent="0.3">
      <c r="AA3679">
        <f t="shared" si="228"/>
        <v>0</v>
      </c>
      <c r="AB3679">
        <f t="shared" si="229"/>
        <v>0</v>
      </c>
      <c r="AC3679">
        <f t="shared" si="230"/>
        <v>0</v>
      </c>
      <c r="AD3679">
        <f t="shared" si="231"/>
        <v>0</v>
      </c>
    </row>
    <row r="3680" spans="27:30" x14ac:dyDescent="0.3">
      <c r="AA3680">
        <f t="shared" si="228"/>
        <v>0</v>
      </c>
      <c r="AB3680">
        <f t="shared" si="229"/>
        <v>0</v>
      </c>
      <c r="AC3680">
        <f t="shared" si="230"/>
        <v>0</v>
      </c>
      <c r="AD3680">
        <f t="shared" si="231"/>
        <v>0</v>
      </c>
    </row>
    <row r="3681" spans="27:30" x14ac:dyDescent="0.3">
      <c r="AA3681">
        <f t="shared" si="228"/>
        <v>0</v>
      </c>
      <c r="AB3681">
        <f t="shared" si="229"/>
        <v>0</v>
      </c>
      <c r="AC3681">
        <f t="shared" si="230"/>
        <v>0</v>
      </c>
      <c r="AD3681">
        <f t="shared" si="231"/>
        <v>0</v>
      </c>
    </row>
    <row r="3682" spans="27:30" x14ac:dyDescent="0.3">
      <c r="AA3682">
        <f t="shared" si="228"/>
        <v>0</v>
      </c>
      <c r="AB3682">
        <f t="shared" si="229"/>
        <v>0</v>
      </c>
      <c r="AC3682">
        <f t="shared" si="230"/>
        <v>0</v>
      </c>
      <c r="AD3682">
        <f t="shared" si="231"/>
        <v>0</v>
      </c>
    </row>
    <row r="3683" spans="27:30" x14ac:dyDescent="0.3">
      <c r="AA3683">
        <f t="shared" si="228"/>
        <v>0</v>
      </c>
      <c r="AB3683">
        <f t="shared" si="229"/>
        <v>0</v>
      </c>
      <c r="AC3683">
        <f t="shared" si="230"/>
        <v>0</v>
      </c>
      <c r="AD3683">
        <f t="shared" si="231"/>
        <v>0</v>
      </c>
    </row>
    <row r="3684" spans="27:30" x14ac:dyDescent="0.3">
      <c r="AA3684">
        <f t="shared" si="228"/>
        <v>0</v>
      </c>
      <c r="AB3684">
        <f t="shared" si="229"/>
        <v>0</v>
      </c>
      <c r="AC3684">
        <f t="shared" si="230"/>
        <v>0</v>
      </c>
      <c r="AD3684">
        <f t="shared" si="231"/>
        <v>0</v>
      </c>
    </row>
    <row r="3685" spans="27:30" x14ac:dyDescent="0.3">
      <c r="AA3685">
        <f t="shared" si="228"/>
        <v>0</v>
      </c>
      <c r="AB3685">
        <f t="shared" si="229"/>
        <v>0</v>
      </c>
      <c r="AC3685">
        <f t="shared" si="230"/>
        <v>0</v>
      </c>
      <c r="AD3685">
        <f t="shared" si="231"/>
        <v>0</v>
      </c>
    </row>
    <row r="3686" spans="27:30" x14ac:dyDescent="0.3">
      <c r="AA3686">
        <f t="shared" si="228"/>
        <v>0</v>
      </c>
      <c r="AB3686">
        <f t="shared" si="229"/>
        <v>0</v>
      </c>
      <c r="AC3686">
        <f t="shared" si="230"/>
        <v>0</v>
      </c>
      <c r="AD3686">
        <f t="shared" si="231"/>
        <v>0</v>
      </c>
    </row>
    <row r="3687" spans="27:30" x14ac:dyDescent="0.3">
      <c r="AA3687">
        <f t="shared" si="228"/>
        <v>0</v>
      </c>
      <c r="AB3687">
        <f t="shared" si="229"/>
        <v>0</v>
      </c>
      <c r="AC3687">
        <f t="shared" si="230"/>
        <v>0</v>
      </c>
      <c r="AD3687">
        <f t="shared" si="231"/>
        <v>0</v>
      </c>
    </row>
    <row r="3688" spans="27:30" x14ac:dyDescent="0.3">
      <c r="AA3688">
        <f t="shared" si="228"/>
        <v>0</v>
      </c>
      <c r="AB3688">
        <f t="shared" si="229"/>
        <v>0</v>
      </c>
      <c r="AC3688">
        <f t="shared" si="230"/>
        <v>0</v>
      </c>
      <c r="AD3688">
        <f t="shared" si="231"/>
        <v>0</v>
      </c>
    </row>
    <row r="3689" spans="27:30" x14ac:dyDescent="0.3">
      <c r="AA3689">
        <f t="shared" si="228"/>
        <v>0</v>
      </c>
      <c r="AB3689">
        <f t="shared" si="229"/>
        <v>0</v>
      </c>
      <c r="AC3689">
        <f t="shared" si="230"/>
        <v>0</v>
      </c>
      <c r="AD3689">
        <f t="shared" si="231"/>
        <v>0</v>
      </c>
    </row>
    <row r="3690" spans="27:30" x14ac:dyDescent="0.3">
      <c r="AA3690">
        <f t="shared" si="228"/>
        <v>0</v>
      </c>
      <c r="AB3690">
        <f t="shared" si="229"/>
        <v>0</v>
      </c>
      <c r="AC3690">
        <f t="shared" si="230"/>
        <v>0</v>
      </c>
      <c r="AD3690">
        <f t="shared" si="231"/>
        <v>0</v>
      </c>
    </row>
    <row r="3691" spans="27:30" x14ac:dyDescent="0.3">
      <c r="AA3691">
        <f t="shared" si="228"/>
        <v>0</v>
      </c>
      <c r="AB3691">
        <f t="shared" si="229"/>
        <v>0</v>
      </c>
      <c r="AC3691">
        <f t="shared" si="230"/>
        <v>0</v>
      </c>
      <c r="AD3691">
        <f t="shared" si="231"/>
        <v>0</v>
      </c>
    </row>
    <row r="3692" spans="27:30" x14ac:dyDescent="0.3">
      <c r="AA3692">
        <f t="shared" si="228"/>
        <v>0</v>
      </c>
      <c r="AB3692">
        <f t="shared" si="229"/>
        <v>0</v>
      </c>
      <c r="AC3692">
        <f t="shared" si="230"/>
        <v>0</v>
      </c>
      <c r="AD3692">
        <f t="shared" si="231"/>
        <v>0</v>
      </c>
    </row>
    <row r="3693" spans="27:30" x14ac:dyDescent="0.3">
      <c r="AA3693">
        <f t="shared" si="228"/>
        <v>0</v>
      </c>
      <c r="AB3693">
        <f t="shared" si="229"/>
        <v>0</v>
      </c>
      <c r="AC3693">
        <f t="shared" si="230"/>
        <v>0</v>
      </c>
      <c r="AD3693">
        <f t="shared" si="231"/>
        <v>0</v>
      </c>
    </row>
    <row r="3694" spans="27:30" x14ac:dyDescent="0.3">
      <c r="AA3694">
        <f t="shared" si="228"/>
        <v>0</v>
      </c>
      <c r="AB3694">
        <f t="shared" si="229"/>
        <v>0</v>
      </c>
      <c r="AC3694">
        <f t="shared" si="230"/>
        <v>0</v>
      </c>
      <c r="AD3694">
        <f t="shared" si="231"/>
        <v>0</v>
      </c>
    </row>
    <row r="3695" spans="27:30" x14ac:dyDescent="0.3">
      <c r="AA3695">
        <f t="shared" si="228"/>
        <v>0</v>
      </c>
      <c r="AB3695">
        <f t="shared" si="229"/>
        <v>0</v>
      </c>
      <c r="AC3695">
        <f t="shared" si="230"/>
        <v>0</v>
      </c>
      <c r="AD3695">
        <f t="shared" si="231"/>
        <v>0</v>
      </c>
    </row>
    <row r="3696" spans="27:30" x14ac:dyDescent="0.3">
      <c r="AA3696">
        <f t="shared" si="228"/>
        <v>0</v>
      </c>
      <c r="AB3696">
        <f t="shared" si="229"/>
        <v>0</v>
      </c>
      <c r="AC3696">
        <f t="shared" si="230"/>
        <v>0</v>
      </c>
      <c r="AD3696">
        <f t="shared" si="231"/>
        <v>0</v>
      </c>
    </row>
    <row r="3697" spans="27:30" x14ac:dyDescent="0.3">
      <c r="AA3697">
        <f t="shared" si="228"/>
        <v>0</v>
      </c>
      <c r="AB3697">
        <f t="shared" si="229"/>
        <v>0</v>
      </c>
      <c r="AC3697">
        <f t="shared" si="230"/>
        <v>0</v>
      </c>
      <c r="AD3697">
        <f t="shared" si="231"/>
        <v>0</v>
      </c>
    </row>
    <row r="3698" spans="27:30" x14ac:dyDescent="0.3">
      <c r="AA3698">
        <f t="shared" si="228"/>
        <v>0</v>
      </c>
      <c r="AB3698">
        <f t="shared" si="229"/>
        <v>0</v>
      </c>
      <c r="AC3698">
        <f t="shared" si="230"/>
        <v>0</v>
      </c>
      <c r="AD3698">
        <f t="shared" si="231"/>
        <v>0</v>
      </c>
    </row>
    <row r="3699" spans="27:30" x14ac:dyDescent="0.3">
      <c r="AA3699">
        <f t="shared" si="228"/>
        <v>0</v>
      </c>
      <c r="AB3699">
        <f t="shared" si="229"/>
        <v>0</v>
      </c>
      <c r="AC3699">
        <f t="shared" si="230"/>
        <v>0</v>
      </c>
      <c r="AD3699">
        <f t="shared" si="231"/>
        <v>0</v>
      </c>
    </row>
    <row r="3700" spans="27:30" x14ac:dyDescent="0.3">
      <c r="AA3700">
        <f t="shared" si="228"/>
        <v>0</v>
      </c>
      <c r="AB3700">
        <f t="shared" si="229"/>
        <v>0</v>
      </c>
      <c r="AC3700">
        <f t="shared" si="230"/>
        <v>0</v>
      </c>
      <c r="AD3700">
        <f t="shared" si="231"/>
        <v>0</v>
      </c>
    </row>
    <row r="3701" spans="27:30" x14ac:dyDescent="0.3">
      <c r="AA3701">
        <f t="shared" si="228"/>
        <v>0</v>
      </c>
      <c r="AB3701">
        <f t="shared" si="229"/>
        <v>0</v>
      </c>
      <c r="AC3701">
        <f t="shared" si="230"/>
        <v>0</v>
      </c>
      <c r="AD3701">
        <f t="shared" si="231"/>
        <v>0</v>
      </c>
    </row>
    <row r="3702" spans="27:30" x14ac:dyDescent="0.3">
      <c r="AA3702">
        <f t="shared" si="228"/>
        <v>0</v>
      </c>
      <c r="AB3702">
        <f t="shared" si="229"/>
        <v>0</v>
      </c>
      <c r="AC3702">
        <f t="shared" si="230"/>
        <v>0</v>
      </c>
      <c r="AD3702">
        <f t="shared" si="231"/>
        <v>0</v>
      </c>
    </row>
    <row r="3703" spans="27:30" x14ac:dyDescent="0.3">
      <c r="AA3703">
        <f t="shared" si="228"/>
        <v>0</v>
      </c>
      <c r="AB3703">
        <f t="shared" si="229"/>
        <v>0</v>
      </c>
      <c r="AC3703">
        <f t="shared" si="230"/>
        <v>0</v>
      </c>
      <c r="AD3703">
        <f t="shared" si="231"/>
        <v>0</v>
      </c>
    </row>
    <row r="3704" spans="27:30" x14ac:dyDescent="0.3">
      <c r="AA3704">
        <f t="shared" si="228"/>
        <v>0</v>
      </c>
      <c r="AB3704">
        <f t="shared" si="229"/>
        <v>0</v>
      </c>
      <c r="AC3704">
        <f t="shared" si="230"/>
        <v>0</v>
      </c>
      <c r="AD3704">
        <f t="shared" si="231"/>
        <v>0</v>
      </c>
    </row>
    <row r="3705" spans="27:30" x14ac:dyDescent="0.3">
      <c r="AA3705">
        <f t="shared" si="228"/>
        <v>0</v>
      </c>
      <c r="AB3705">
        <f t="shared" si="229"/>
        <v>0</v>
      </c>
      <c r="AC3705">
        <f t="shared" si="230"/>
        <v>0</v>
      </c>
      <c r="AD3705">
        <f t="shared" si="231"/>
        <v>0</v>
      </c>
    </row>
    <row r="3706" spans="27:30" x14ac:dyDescent="0.3">
      <c r="AA3706">
        <f t="shared" si="228"/>
        <v>0</v>
      </c>
      <c r="AB3706">
        <f t="shared" si="229"/>
        <v>0</v>
      </c>
      <c r="AC3706">
        <f t="shared" si="230"/>
        <v>0</v>
      </c>
      <c r="AD3706">
        <f t="shared" si="231"/>
        <v>0</v>
      </c>
    </row>
    <row r="3707" spans="27:30" x14ac:dyDescent="0.3">
      <c r="AA3707">
        <f t="shared" si="228"/>
        <v>0</v>
      </c>
      <c r="AB3707">
        <f t="shared" si="229"/>
        <v>0</v>
      </c>
      <c r="AC3707">
        <f t="shared" si="230"/>
        <v>0</v>
      </c>
      <c r="AD3707">
        <f t="shared" si="231"/>
        <v>0</v>
      </c>
    </row>
    <row r="3708" spans="27:30" x14ac:dyDescent="0.3">
      <c r="AA3708">
        <f t="shared" si="228"/>
        <v>0</v>
      </c>
      <c r="AB3708">
        <f t="shared" si="229"/>
        <v>0</v>
      </c>
      <c r="AC3708">
        <f t="shared" si="230"/>
        <v>0</v>
      </c>
      <c r="AD3708">
        <f t="shared" si="231"/>
        <v>0</v>
      </c>
    </row>
    <row r="3709" spans="27:30" x14ac:dyDescent="0.3">
      <c r="AA3709">
        <f t="shared" si="228"/>
        <v>0</v>
      </c>
      <c r="AB3709">
        <f t="shared" si="229"/>
        <v>0</v>
      </c>
      <c r="AC3709">
        <f t="shared" si="230"/>
        <v>0</v>
      </c>
      <c r="AD3709">
        <f t="shared" si="231"/>
        <v>0</v>
      </c>
    </row>
    <row r="3710" spans="27:30" x14ac:dyDescent="0.3">
      <c r="AA3710">
        <f t="shared" si="228"/>
        <v>0</v>
      </c>
      <c r="AB3710">
        <f t="shared" si="229"/>
        <v>0</v>
      </c>
      <c r="AC3710">
        <f t="shared" si="230"/>
        <v>0</v>
      </c>
      <c r="AD3710">
        <f t="shared" si="231"/>
        <v>0</v>
      </c>
    </row>
    <row r="3711" spans="27:30" x14ac:dyDescent="0.3">
      <c r="AA3711">
        <f t="shared" si="228"/>
        <v>0</v>
      </c>
      <c r="AB3711">
        <f t="shared" si="229"/>
        <v>0</v>
      </c>
      <c r="AC3711">
        <f t="shared" si="230"/>
        <v>0</v>
      </c>
      <c r="AD3711">
        <f t="shared" si="231"/>
        <v>0</v>
      </c>
    </row>
    <row r="3712" spans="27:30" x14ac:dyDescent="0.3">
      <c r="AA3712">
        <f t="shared" si="228"/>
        <v>0</v>
      </c>
      <c r="AB3712">
        <f t="shared" si="229"/>
        <v>0</v>
      </c>
      <c r="AC3712">
        <f t="shared" si="230"/>
        <v>0</v>
      </c>
      <c r="AD3712">
        <f t="shared" si="231"/>
        <v>0</v>
      </c>
    </row>
    <row r="3713" spans="27:30" x14ac:dyDescent="0.3">
      <c r="AA3713">
        <f t="shared" si="228"/>
        <v>0</v>
      </c>
      <c r="AB3713">
        <f t="shared" si="229"/>
        <v>0</v>
      </c>
      <c r="AC3713">
        <f t="shared" si="230"/>
        <v>0</v>
      </c>
      <c r="AD3713">
        <f t="shared" si="231"/>
        <v>0</v>
      </c>
    </row>
    <row r="3714" spans="27:30" x14ac:dyDescent="0.3">
      <c r="AA3714">
        <f t="shared" si="228"/>
        <v>0</v>
      </c>
      <c r="AB3714">
        <f t="shared" si="229"/>
        <v>0</v>
      </c>
      <c r="AC3714">
        <f t="shared" si="230"/>
        <v>0</v>
      </c>
      <c r="AD3714">
        <f t="shared" si="231"/>
        <v>0</v>
      </c>
    </row>
    <row r="3715" spans="27:30" x14ac:dyDescent="0.3">
      <c r="AA3715">
        <f t="shared" si="228"/>
        <v>0</v>
      </c>
      <c r="AB3715">
        <f t="shared" si="229"/>
        <v>0</v>
      </c>
      <c r="AC3715">
        <f t="shared" si="230"/>
        <v>0</v>
      </c>
      <c r="AD3715">
        <f t="shared" si="231"/>
        <v>0</v>
      </c>
    </row>
    <row r="3716" spans="27:30" x14ac:dyDescent="0.3">
      <c r="AA3716">
        <f t="shared" si="228"/>
        <v>0</v>
      </c>
      <c r="AB3716">
        <f t="shared" si="229"/>
        <v>0</v>
      </c>
      <c r="AC3716">
        <f t="shared" si="230"/>
        <v>0</v>
      </c>
      <c r="AD3716">
        <f t="shared" si="231"/>
        <v>0</v>
      </c>
    </row>
    <row r="3717" spans="27:30" x14ac:dyDescent="0.3">
      <c r="AA3717">
        <f t="shared" ref="AA3717:AA3780" si="232">ROUND(Z3717,0)</f>
        <v>0</v>
      </c>
      <c r="AB3717">
        <f t="shared" ref="AB3717:AB3780" si="233">IF(AA3717=Y3717,0,1)</f>
        <v>0</v>
      </c>
      <c r="AC3717">
        <f t="shared" ref="AC3717:AC3780" si="234">IF(AA3717&lt;Y3717+5,IF(AA3717&gt;Y3717-5,0,1),1)</f>
        <v>0</v>
      </c>
      <c r="AD3717">
        <f t="shared" ref="AD3717:AD3780" si="235">IF(AA3717&lt;Y3717+10,IF(AA3717&gt;Y3717-10,0,1),1)</f>
        <v>0</v>
      </c>
    </row>
    <row r="3718" spans="27:30" x14ac:dyDescent="0.3">
      <c r="AA3718">
        <f t="shared" si="232"/>
        <v>0</v>
      </c>
      <c r="AB3718">
        <f t="shared" si="233"/>
        <v>0</v>
      </c>
      <c r="AC3718">
        <f t="shared" si="234"/>
        <v>0</v>
      </c>
      <c r="AD3718">
        <f t="shared" si="235"/>
        <v>0</v>
      </c>
    </row>
    <row r="3719" spans="27:30" x14ac:dyDescent="0.3">
      <c r="AA3719">
        <f t="shared" si="232"/>
        <v>0</v>
      </c>
      <c r="AB3719">
        <f t="shared" si="233"/>
        <v>0</v>
      </c>
      <c r="AC3719">
        <f t="shared" si="234"/>
        <v>0</v>
      </c>
      <c r="AD3719">
        <f t="shared" si="235"/>
        <v>0</v>
      </c>
    </row>
    <row r="3720" spans="27:30" x14ac:dyDescent="0.3">
      <c r="AA3720">
        <f t="shared" si="232"/>
        <v>0</v>
      </c>
      <c r="AB3720">
        <f t="shared" si="233"/>
        <v>0</v>
      </c>
      <c r="AC3720">
        <f t="shared" si="234"/>
        <v>0</v>
      </c>
      <c r="AD3720">
        <f t="shared" si="235"/>
        <v>0</v>
      </c>
    </row>
    <row r="3721" spans="27:30" x14ac:dyDescent="0.3">
      <c r="AA3721">
        <f t="shared" si="232"/>
        <v>0</v>
      </c>
      <c r="AB3721">
        <f t="shared" si="233"/>
        <v>0</v>
      </c>
      <c r="AC3721">
        <f t="shared" si="234"/>
        <v>0</v>
      </c>
      <c r="AD3721">
        <f t="shared" si="235"/>
        <v>0</v>
      </c>
    </row>
    <row r="3722" spans="27:30" x14ac:dyDescent="0.3">
      <c r="AA3722">
        <f t="shared" si="232"/>
        <v>0</v>
      </c>
      <c r="AB3722">
        <f t="shared" si="233"/>
        <v>0</v>
      </c>
      <c r="AC3722">
        <f t="shared" si="234"/>
        <v>0</v>
      </c>
      <c r="AD3722">
        <f t="shared" si="235"/>
        <v>0</v>
      </c>
    </row>
    <row r="3723" spans="27:30" x14ac:dyDescent="0.3">
      <c r="AA3723">
        <f t="shared" si="232"/>
        <v>0</v>
      </c>
      <c r="AB3723">
        <f t="shared" si="233"/>
        <v>0</v>
      </c>
      <c r="AC3723">
        <f t="shared" si="234"/>
        <v>0</v>
      </c>
      <c r="AD3723">
        <f t="shared" si="235"/>
        <v>0</v>
      </c>
    </row>
    <row r="3724" spans="27:30" x14ac:dyDescent="0.3">
      <c r="AA3724">
        <f t="shared" si="232"/>
        <v>0</v>
      </c>
      <c r="AB3724">
        <f t="shared" si="233"/>
        <v>0</v>
      </c>
      <c r="AC3724">
        <f t="shared" si="234"/>
        <v>0</v>
      </c>
      <c r="AD3724">
        <f t="shared" si="235"/>
        <v>0</v>
      </c>
    </row>
    <row r="3725" spans="27:30" x14ac:dyDescent="0.3">
      <c r="AA3725">
        <f t="shared" si="232"/>
        <v>0</v>
      </c>
      <c r="AB3725">
        <f t="shared" si="233"/>
        <v>0</v>
      </c>
      <c r="AC3725">
        <f t="shared" si="234"/>
        <v>0</v>
      </c>
      <c r="AD3725">
        <f t="shared" si="235"/>
        <v>0</v>
      </c>
    </row>
    <row r="3726" spans="27:30" x14ac:dyDescent="0.3">
      <c r="AA3726">
        <f t="shared" si="232"/>
        <v>0</v>
      </c>
      <c r="AB3726">
        <f t="shared" si="233"/>
        <v>0</v>
      </c>
      <c r="AC3726">
        <f t="shared" si="234"/>
        <v>0</v>
      </c>
      <c r="AD3726">
        <f t="shared" si="235"/>
        <v>0</v>
      </c>
    </row>
    <row r="3727" spans="27:30" x14ac:dyDescent="0.3">
      <c r="AA3727">
        <f t="shared" si="232"/>
        <v>0</v>
      </c>
      <c r="AB3727">
        <f t="shared" si="233"/>
        <v>0</v>
      </c>
      <c r="AC3727">
        <f t="shared" si="234"/>
        <v>0</v>
      </c>
      <c r="AD3727">
        <f t="shared" si="235"/>
        <v>0</v>
      </c>
    </row>
    <row r="3728" spans="27:30" x14ac:dyDescent="0.3">
      <c r="AA3728">
        <f t="shared" si="232"/>
        <v>0</v>
      </c>
      <c r="AB3728">
        <f t="shared" si="233"/>
        <v>0</v>
      </c>
      <c r="AC3728">
        <f t="shared" si="234"/>
        <v>0</v>
      </c>
      <c r="AD3728">
        <f t="shared" si="235"/>
        <v>0</v>
      </c>
    </row>
    <row r="3729" spans="27:30" x14ac:dyDescent="0.3">
      <c r="AA3729">
        <f t="shared" si="232"/>
        <v>0</v>
      </c>
      <c r="AB3729">
        <f t="shared" si="233"/>
        <v>0</v>
      </c>
      <c r="AC3729">
        <f t="shared" si="234"/>
        <v>0</v>
      </c>
      <c r="AD3729">
        <f t="shared" si="235"/>
        <v>0</v>
      </c>
    </row>
    <row r="3730" spans="27:30" x14ac:dyDescent="0.3">
      <c r="AA3730">
        <f t="shared" si="232"/>
        <v>0</v>
      </c>
      <c r="AB3730">
        <f t="shared" si="233"/>
        <v>0</v>
      </c>
      <c r="AC3730">
        <f t="shared" si="234"/>
        <v>0</v>
      </c>
      <c r="AD3730">
        <f t="shared" si="235"/>
        <v>0</v>
      </c>
    </row>
    <row r="3731" spans="27:30" x14ac:dyDescent="0.3">
      <c r="AA3731">
        <f t="shared" si="232"/>
        <v>0</v>
      </c>
      <c r="AB3731">
        <f t="shared" si="233"/>
        <v>0</v>
      </c>
      <c r="AC3731">
        <f t="shared" si="234"/>
        <v>0</v>
      </c>
      <c r="AD3731">
        <f t="shared" si="235"/>
        <v>0</v>
      </c>
    </row>
    <row r="3732" spans="27:30" x14ac:dyDescent="0.3">
      <c r="AA3732">
        <f t="shared" si="232"/>
        <v>0</v>
      </c>
      <c r="AB3732">
        <f t="shared" si="233"/>
        <v>0</v>
      </c>
      <c r="AC3732">
        <f t="shared" si="234"/>
        <v>0</v>
      </c>
      <c r="AD3732">
        <f t="shared" si="235"/>
        <v>0</v>
      </c>
    </row>
    <row r="3733" spans="27:30" x14ac:dyDescent="0.3">
      <c r="AA3733">
        <f t="shared" si="232"/>
        <v>0</v>
      </c>
      <c r="AB3733">
        <f t="shared" si="233"/>
        <v>0</v>
      </c>
      <c r="AC3733">
        <f t="shared" si="234"/>
        <v>0</v>
      </c>
      <c r="AD3733">
        <f t="shared" si="235"/>
        <v>0</v>
      </c>
    </row>
    <row r="3734" spans="27:30" x14ac:dyDescent="0.3">
      <c r="AA3734">
        <f t="shared" si="232"/>
        <v>0</v>
      </c>
      <c r="AB3734">
        <f t="shared" si="233"/>
        <v>0</v>
      </c>
      <c r="AC3734">
        <f t="shared" si="234"/>
        <v>0</v>
      </c>
      <c r="AD3734">
        <f t="shared" si="235"/>
        <v>0</v>
      </c>
    </row>
    <row r="3735" spans="27:30" x14ac:dyDescent="0.3">
      <c r="AA3735">
        <f t="shared" si="232"/>
        <v>0</v>
      </c>
      <c r="AB3735">
        <f t="shared" si="233"/>
        <v>0</v>
      </c>
      <c r="AC3735">
        <f t="shared" si="234"/>
        <v>0</v>
      </c>
      <c r="AD3735">
        <f t="shared" si="235"/>
        <v>0</v>
      </c>
    </row>
    <row r="3736" spans="27:30" x14ac:dyDescent="0.3">
      <c r="AA3736">
        <f t="shared" si="232"/>
        <v>0</v>
      </c>
      <c r="AB3736">
        <f t="shared" si="233"/>
        <v>0</v>
      </c>
      <c r="AC3736">
        <f t="shared" si="234"/>
        <v>0</v>
      </c>
      <c r="AD3736">
        <f t="shared" si="235"/>
        <v>0</v>
      </c>
    </row>
    <row r="3737" spans="27:30" x14ac:dyDescent="0.3">
      <c r="AA3737">
        <f t="shared" si="232"/>
        <v>0</v>
      </c>
      <c r="AB3737">
        <f t="shared" si="233"/>
        <v>0</v>
      </c>
      <c r="AC3737">
        <f t="shared" si="234"/>
        <v>0</v>
      </c>
      <c r="AD3737">
        <f t="shared" si="235"/>
        <v>0</v>
      </c>
    </row>
    <row r="3738" spans="27:30" x14ac:dyDescent="0.3">
      <c r="AA3738">
        <f t="shared" si="232"/>
        <v>0</v>
      </c>
      <c r="AB3738">
        <f t="shared" si="233"/>
        <v>0</v>
      </c>
      <c r="AC3738">
        <f t="shared" si="234"/>
        <v>0</v>
      </c>
      <c r="AD3738">
        <f t="shared" si="235"/>
        <v>0</v>
      </c>
    </row>
    <row r="3739" spans="27:30" x14ac:dyDescent="0.3">
      <c r="AA3739">
        <f t="shared" si="232"/>
        <v>0</v>
      </c>
      <c r="AB3739">
        <f t="shared" si="233"/>
        <v>0</v>
      </c>
      <c r="AC3739">
        <f t="shared" si="234"/>
        <v>0</v>
      </c>
      <c r="AD3739">
        <f t="shared" si="235"/>
        <v>0</v>
      </c>
    </row>
    <row r="3740" spans="27:30" x14ac:dyDescent="0.3">
      <c r="AA3740">
        <f t="shared" si="232"/>
        <v>0</v>
      </c>
      <c r="AB3740">
        <f t="shared" si="233"/>
        <v>0</v>
      </c>
      <c r="AC3740">
        <f t="shared" si="234"/>
        <v>0</v>
      </c>
      <c r="AD3740">
        <f t="shared" si="235"/>
        <v>0</v>
      </c>
    </row>
    <row r="3741" spans="27:30" x14ac:dyDescent="0.3">
      <c r="AA3741">
        <f t="shared" si="232"/>
        <v>0</v>
      </c>
      <c r="AB3741">
        <f t="shared" si="233"/>
        <v>0</v>
      </c>
      <c r="AC3741">
        <f t="shared" si="234"/>
        <v>0</v>
      </c>
      <c r="AD3741">
        <f t="shared" si="235"/>
        <v>0</v>
      </c>
    </row>
    <row r="3742" spans="27:30" x14ac:dyDescent="0.3">
      <c r="AA3742">
        <f t="shared" si="232"/>
        <v>0</v>
      </c>
      <c r="AB3742">
        <f t="shared" si="233"/>
        <v>0</v>
      </c>
      <c r="AC3742">
        <f t="shared" si="234"/>
        <v>0</v>
      </c>
      <c r="AD3742">
        <f t="shared" si="235"/>
        <v>0</v>
      </c>
    </row>
    <row r="3743" spans="27:30" x14ac:dyDescent="0.3">
      <c r="AA3743">
        <f t="shared" si="232"/>
        <v>0</v>
      </c>
      <c r="AB3743">
        <f t="shared" si="233"/>
        <v>0</v>
      </c>
      <c r="AC3743">
        <f t="shared" si="234"/>
        <v>0</v>
      </c>
      <c r="AD3743">
        <f t="shared" si="235"/>
        <v>0</v>
      </c>
    </row>
    <row r="3744" spans="27:30" x14ac:dyDescent="0.3">
      <c r="AA3744">
        <f t="shared" si="232"/>
        <v>0</v>
      </c>
      <c r="AB3744">
        <f t="shared" si="233"/>
        <v>0</v>
      </c>
      <c r="AC3744">
        <f t="shared" si="234"/>
        <v>0</v>
      </c>
      <c r="AD3744">
        <f t="shared" si="235"/>
        <v>0</v>
      </c>
    </row>
    <row r="3745" spans="27:30" x14ac:dyDescent="0.3">
      <c r="AA3745">
        <f t="shared" si="232"/>
        <v>0</v>
      </c>
      <c r="AB3745">
        <f t="shared" si="233"/>
        <v>0</v>
      </c>
      <c r="AC3745">
        <f t="shared" si="234"/>
        <v>0</v>
      </c>
      <c r="AD3745">
        <f t="shared" si="235"/>
        <v>0</v>
      </c>
    </row>
    <row r="3746" spans="27:30" x14ac:dyDescent="0.3">
      <c r="AA3746">
        <f t="shared" si="232"/>
        <v>0</v>
      </c>
      <c r="AB3746">
        <f t="shared" si="233"/>
        <v>0</v>
      </c>
      <c r="AC3746">
        <f t="shared" si="234"/>
        <v>0</v>
      </c>
      <c r="AD3746">
        <f t="shared" si="235"/>
        <v>0</v>
      </c>
    </row>
    <row r="3747" spans="27:30" x14ac:dyDescent="0.3">
      <c r="AA3747">
        <f t="shared" si="232"/>
        <v>0</v>
      </c>
      <c r="AB3747">
        <f t="shared" si="233"/>
        <v>0</v>
      </c>
      <c r="AC3747">
        <f t="shared" si="234"/>
        <v>0</v>
      </c>
      <c r="AD3747">
        <f t="shared" si="235"/>
        <v>0</v>
      </c>
    </row>
    <row r="3748" spans="27:30" x14ac:dyDescent="0.3">
      <c r="AA3748">
        <f t="shared" si="232"/>
        <v>0</v>
      </c>
      <c r="AB3748">
        <f t="shared" si="233"/>
        <v>0</v>
      </c>
      <c r="AC3748">
        <f t="shared" si="234"/>
        <v>0</v>
      </c>
      <c r="AD3748">
        <f t="shared" si="235"/>
        <v>0</v>
      </c>
    </row>
    <row r="3749" spans="27:30" x14ac:dyDescent="0.3">
      <c r="AA3749">
        <f t="shared" si="232"/>
        <v>0</v>
      </c>
      <c r="AB3749">
        <f t="shared" si="233"/>
        <v>0</v>
      </c>
      <c r="AC3749">
        <f t="shared" si="234"/>
        <v>0</v>
      </c>
      <c r="AD3749">
        <f t="shared" si="235"/>
        <v>0</v>
      </c>
    </row>
    <row r="3750" spans="27:30" x14ac:dyDescent="0.3">
      <c r="AA3750">
        <f t="shared" si="232"/>
        <v>0</v>
      </c>
      <c r="AB3750">
        <f t="shared" si="233"/>
        <v>0</v>
      </c>
      <c r="AC3750">
        <f t="shared" si="234"/>
        <v>0</v>
      </c>
      <c r="AD3750">
        <f t="shared" si="235"/>
        <v>0</v>
      </c>
    </row>
    <row r="3751" spans="27:30" x14ac:dyDescent="0.3">
      <c r="AA3751">
        <f t="shared" si="232"/>
        <v>0</v>
      </c>
      <c r="AB3751">
        <f t="shared" si="233"/>
        <v>0</v>
      </c>
      <c r="AC3751">
        <f t="shared" si="234"/>
        <v>0</v>
      </c>
      <c r="AD3751">
        <f t="shared" si="235"/>
        <v>0</v>
      </c>
    </row>
    <row r="3752" spans="27:30" x14ac:dyDescent="0.3">
      <c r="AA3752">
        <f t="shared" si="232"/>
        <v>0</v>
      </c>
      <c r="AB3752">
        <f t="shared" si="233"/>
        <v>0</v>
      </c>
      <c r="AC3752">
        <f t="shared" si="234"/>
        <v>0</v>
      </c>
      <c r="AD3752">
        <f t="shared" si="235"/>
        <v>0</v>
      </c>
    </row>
    <row r="3753" spans="27:30" x14ac:dyDescent="0.3">
      <c r="AA3753">
        <f t="shared" si="232"/>
        <v>0</v>
      </c>
      <c r="AB3753">
        <f t="shared" si="233"/>
        <v>0</v>
      </c>
      <c r="AC3753">
        <f t="shared" si="234"/>
        <v>0</v>
      </c>
      <c r="AD3753">
        <f t="shared" si="235"/>
        <v>0</v>
      </c>
    </row>
    <row r="3754" spans="27:30" x14ac:dyDescent="0.3">
      <c r="AA3754">
        <f t="shared" si="232"/>
        <v>0</v>
      </c>
      <c r="AB3754">
        <f t="shared" si="233"/>
        <v>0</v>
      </c>
      <c r="AC3754">
        <f t="shared" si="234"/>
        <v>0</v>
      </c>
      <c r="AD3754">
        <f t="shared" si="235"/>
        <v>0</v>
      </c>
    </row>
    <row r="3755" spans="27:30" x14ac:dyDescent="0.3">
      <c r="AA3755">
        <f t="shared" si="232"/>
        <v>0</v>
      </c>
      <c r="AB3755">
        <f t="shared" si="233"/>
        <v>0</v>
      </c>
      <c r="AC3755">
        <f t="shared" si="234"/>
        <v>0</v>
      </c>
      <c r="AD3755">
        <f t="shared" si="235"/>
        <v>0</v>
      </c>
    </row>
    <row r="3756" spans="27:30" x14ac:dyDescent="0.3">
      <c r="AA3756">
        <f t="shared" si="232"/>
        <v>0</v>
      </c>
      <c r="AB3756">
        <f t="shared" si="233"/>
        <v>0</v>
      </c>
      <c r="AC3756">
        <f t="shared" si="234"/>
        <v>0</v>
      </c>
      <c r="AD3756">
        <f t="shared" si="235"/>
        <v>0</v>
      </c>
    </row>
    <row r="3757" spans="27:30" x14ac:dyDescent="0.3">
      <c r="AA3757">
        <f t="shared" si="232"/>
        <v>0</v>
      </c>
      <c r="AB3757">
        <f t="shared" si="233"/>
        <v>0</v>
      </c>
      <c r="AC3757">
        <f t="shared" si="234"/>
        <v>0</v>
      </c>
      <c r="AD3757">
        <f t="shared" si="235"/>
        <v>0</v>
      </c>
    </row>
    <row r="3758" spans="27:30" x14ac:dyDescent="0.3">
      <c r="AA3758">
        <f t="shared" si="232"/>
        <v>0</v>
      </c>
      <c r="AB3758">
        <f t="shared" si="233"/>
        <v>0</v>
      </c>
      <c r="AC3758">
        <f t="shared" si="234"/>
        <v>0</v>
      </c>
      <c r="AD3758">
        <f t="shared" si="235"/>
        <v>0</v>
      </c>
    </row>
    <row r="3759" spans="27:30" x14ac:dyDescent="0.3">
      <c r="AA3759">
        <f t="shared" si="232"/>
        <v>0</v>
      </c>
      <c r="AB3759">
        <f t="shared" si="233"/>
        <v>0</v>
      </c>
      <c r="AC3759">
        <f t="shared" si="234"/>
        <v>0</v>
      </c>
      <c r="AD3759">
        <f t="shared" si="235"/>
        <v>0</v>
      </c>
    </row>
    <row r="3760" spans="27:30" x14ac:dyDescent="0.3">
      <c r="AA3760">
        <f t="shared" si="232"/>
        <v>0</v>
      </c>
      <c r="AB3760">
        <f t="shared" si="233"/>
        <v>0</v>
      </c>
      <c r="AC3760">
        <f t="shared" si="234"/>
        <v>0</v>
      </c>
      <c r="AD3760">
        <f t="shared" si="235"/>
        <v>0</v>
      </c>
    </row>
    <row r="3761" spans="27:30" x14ac:dyDescent="0.3">
      <c r="AA3761">
        <f t="shared" si="232"/>
        <v>0</v>
      </c>
      <c r="AB3761">
        <f t="shared" si="233"/>
        <v>0</v>
      </c>
      <c r="AC3761">
        <f t="shared" si="234"/>
        <v>0</v>
      </c>
      <c r="AD3761">
        <f t="shared" si="235"/>
        <v>0</v>
      </c>
    </row>
    <row r="3762" spans="27:30" x14ac:dyDescent="0.3">
      <c r="AA3762">
        <f t="shared" si="232"/>
        <v>0</v>
      </c>
      <c r="AB3762">
        <f t="shared" si="233"/>
        <v>0</v>
      </c>
      <c r="AC3762">
        <f t="shared" si="234"/>
        <v>0</v>
      </c>
      <c r="AD3762">
        <f t="shared" si="235"/>
        <v>0</v>
      </c>
    </row>
    <row r="3763" spans="27:30" x14ac:dyDescent="0.3">
      <c r="AA3763">
        <f t="shared" si="232"/>
        <v>0</v>
      </c>
      <c r="AB3763">
        <f t="shared" si="233"/>
        <v>0</v>
      </c>
      <c r="AC3763">
        <f t="shared" si="234"/>
        <v>0</v>
      </c>
      <c r="AD3763">
        <f t="shared" si="235"/>
        <v>0</v>
      </c>
    </row>
    <row r="3764" spans="27:30" x14ac:dyDescent="0.3">
      <c r="AA3764">
        <f t="shared" si="232"/>
        <v>0</v>
      </c>
      <c r="AB3764">
        <f t="shared" si="233"/>
        <v>0</v>
      </c>
      <c r="AC3764">
        <f t="shared" si="234"/>
        <v>0</v>
      </c>
      <c r="AD3764">
        <f t="shared" si="235"/>
        <v>0</v>
      </c>
    </row>
    <row r="3765" spans="27:30" x14ac:dyDescent="0.3">
      <c r="AA3765">
        <f t="shared" si="232"/>
        <v>0</v>
      </c>
      <c r="AB3765">
        <f t="shared" si="233"/>
        <v>0</v>
      </c>
      <c r="AC3765">
        <f t="shared" si="234"/>
        <v>0</v>
      </c>
      <c r="AD3765">
        <f t="shared" si="235"/>
        <v>0</v>
      </c>
    </row>
    <row r="3766" spans="27:30" x14ac:dyDescent="0.3">
      <c r="AA3766">
        <f t="shared" si="232"/>
        <v>0</v>
      </c>
      <c r="AB3766">
        <f t="shared" si="233"/>
        <v>0</v>
      </c>
      <c r="AC3766">
        <f t="shared" si="234"/>
        <v>0</v>
      </c>
      <c r="AD3766">
        <f t="shared" si="235"/>
        <v>0</v>
      </c>
    </row>
    <row r="3767" spans="27:30" x14ac:dyDescent="0.3">
      <c r="AA3767">
        <f t="shared" si="232"/>
        <v>0</v>
      </c>
      <c r="AB3767">
        <f t="shared" si="233"/>
        <v>0</v>
      </c>
      <c r="AC3767">
        <f t="shared" si="234"/>
        <v>0</v>
      </c>
      <c r="AD3767">
        <f t="shared" si="235"/>
        <v>0</v>
      </c>
    </row>
    <row r="3768" spans="27:30" x14ac:dyDescent="0.3">
      <c r="AA3768">
        <f t="shared" si="232"/>
        <v>0</v>
      </c>
      <c r="AB3768">
        <f t="shared" si="233"/>
        <v>0</v>
      </c>
      <c r="AC3768">
        <f t="shared" si="234"/>
        <v>0</v>
      </c>
      <c r="AD3768">
        <f t="shared" si="235"/>
        <v>0</v>
      </c>
    </row>
    <row r="3769" spans="27:30" x14ac:dyDescent="0.3">
      <c r="AA3769">
        <f t="shared" si="232"/>
        <v>0</v>
      </c>
      <c r="AB3769">
        <f t="shared" si="233"/>
        <v>0</v>
      </c>
      <c r="AC3769">
        <f t="shared" si="234"/>
        <v>0</v>
      </c>
      <c r="AD3769">
        <f t="shared" si="235"/>
        <v>0</v>
      </c>
    </row>
    <row r="3770" spans="27:30" x14ac:dyDescent="0.3">
      <c r="AA3770">
        <f t="shared" si="232"/>
        <v>0</v>
      </c>
      <c r="AB3770">
        <f t="shared" si="233"/>
        <v>0</v>
      </c>
      <c r="AC3770">
        <f t="shared" si="234"/>
        <v>0</v>
      </c>
      <c r="AD3770">
        <f t="shared" si="235"/>
        <v>0</v>
      </c>
    </row>
    <row r="3771" spans="27:30" x14ac:dyDescent="0.3">
      <c r="AA3771">
        <f t="shared" si="232"/>
        <v>0</v>
      </c>
      <c r="AB3771">
        <f t="shared" si="233"/>
        <v>0</v>
      </c>
      <c r="AC3771">
        <f t="shared" si="234"/>
        <v>0</v>
      </c>
      <c r="AD3771">
        <f t="shared" si="235"/>
        <v>0</v>
      </c>
    </row>
    <row r="3772" spans="27:30" x14ac:dyDescent="0.3">
      <c r="AA3772">
        <f t="shared" si="232"/>
        <v>0</v>
      </c>
      <c r="AB3772">
        <f t="shared" si="233"/>
        <v>0</v>
      </c>
      <c r="AC3772">
        <f t="shared" si="234"/>
        <v>0</v>
      </c>
      <c r="AD3772">
        <f t="shared" si="235"/>
        <v>0</v>
      </c>
    </row>
    <row r="3773" spans="27:30" x14ac:dyDescent="0.3">
      <c r="AA3773">
        <f t="shared" si="232"/>
        <v>0</v>
      </c>
      <c r="AB3773">
        <f t="shared" si="233"/>
        <v>0</v>
      </c>
      <c r="AC3773">
        <f t="shared" si="234"/>
        <v>0</v>
      </c>
      <c r="AD3773">
        <f t="shared" si="235"/>
        <v>0</v>
      </c>
    </row>
    <row r="3774" spans="27:30" x14ac:dyDescent="0.3">
      <c r="AA3774">
        <f t="shared" si="232"/>
        <v>0</v>
      </c>
      <c r="AB3774">
        <f t="shared" si="233"/>
        <v>0</v>
      </c>
      <c r="AC3774">
        <f t="shared" si="234"/>
        <v>0</v>
      </c>
      <c r="AD3774">
        <f t="shared" si="235"/>
        <v>0</v>
      </c>
    </row>
    <row r="3775" spans="27:30" x14ac:dyDescent="0.3">
      <c r="AA3775">
        <f t="shared" si="232"/>
        <v>0</v>
      </c>
      <c r="AB3775">
        <f t="shared" si="233"/>
        <v>0</v>
      </c>
      <c r="AC3775">
        <f t="shared" si="234"/>
        <v>0</v>
      </c>
      <c r="AD3775">
        <f t="shared" si="235"/>
        <v>0</v>
      </c>
    </row>
    <row r="3776" spans="27:30" x14ac:dyDescent="0.3">
      <c r="AA3776">
        <f t="shared" si="232"/>
        <v>0</v>
      </c>
      <c r="AB3776">
        <f t="shared" si="233"/>
        <v>0</v>
      </c>
      <c r="AC3776">
        <f t="shared" si="234"/>
        <v>0</v>
      </c>
      <c r="AD3776">
        <f t="shared" si="235"/>
        <v>0</v>
      </c>
    </row>
    <row r="3777" spans="27:30" x14ac:dyDescent="0.3">
      <c r="AA3777">
        <f t="shared" si="232"/>
        <v>0</v>
      </c>
      <c r="AB3777">
        <f t="shared" si="233"/>
        <v>0</v>
      </c>
      <c r="AC3777">
        <f t="shared" si="234"/>
        <v>0</v>
      </c>
      <c r="AD3777">
        <f t="shared" si="235"/>
        <v>0</v>
      </c>
    </row>
    <row r="3778" spans="27:30" x14ac:dyDescent="0.3">
      <c r="AA3778">
        <f t="shared" si="232"/>
        <v>0</v>
      </c>
      <c r="AB3778">
        <f t="shared" si="233"/>
        <v>0</v>
      </c>
      <c r="AC3778">
        <f t="shared" si="234"/>
        <v>0</v>
      </c>
      <c r="AD3778">
        <f t="shared" si="235"/>
        <v>0</v>
      </c>
    </row>
    <row r="3779" spans="27:30" x14ac:dyDescent="0.3">
      <c r="AA3779">
        <f t="shared" si="232"/>
        <v>0</v>
      </c>
      <c r="AB3779">
        <f t="shared" si="233"/>
        <v>0</v>
      </c>
      <c r="AC3779">
        <f t="shared" si="234"/>
        <v>0</v>
      </c>
      <c r="AD3779">
        <f t="shared" si="235"/>
        <v>0</v>
      </c>
    </row>
    <row r="3780" spans="27:30" x14ac:dyDescent="0.3">
      <c r="AA3780">
        <f t="shared" si="232"/>
        <v>0</v>
      </c>
      <c r="AB3780">
        <f t="shared" si="233"/>
        <v>0</v>
      </c>
      <c r="AC3780">
        <f t="shared" si="234"/>
        <v>0</v>
      </c>
      <c r="AD3780">
        <f t="shared" si="235"/>
        <v>0</v>
      </c>
    </row>
    <row r="3781" spans="27:30" x14ac:dyDescent="0.3">
      <c r="AA3781">
        <f t="shared" ref="AA3781:AA3844" si="236">ROUND(Z3781,0)</f>
        <v>0</v>
      </c>
      <c r="AB3781">
        <f t="shared" ref="AB3781:AB3844" si="237">IF(AA3781=Y3781,0,1)</f>
        <v>0</v>
      </c>
      <c r="AC3781">
        <f t="shared" ref="AC3781:AC3844" si="238">IF(AA3781&lt;Y3781+5,IF(AA3781&gt;Y3781-5,0,1),1)</f>
        <v>0</v>
      </c>
      <c r="AD3781">
        <f t="shared" ref="AD3781:AD3844" si="239">IF(AA3781&lt;Y3781+10,IF(AA3781&gt;Y3781-10,0,1),1)</f>
        <v>0</v>
      </c>
    </row>
    <row r="3782" spans="27:30" x14ac:dyDescent="0.3">
      <c r="AA3782">
        <f t="shared" si="236"/>
        <v>0</v>
      </c>
      <c r="AB3782">
        <f t="shared" si="237"/>
        <v>0</v>
      </c>
      <c r="AC3782">
        <f t="shared" si="238"/>
        <v>0</v>
      </c>
      <c r="AD3782">
        <f t="shared" si="239"/>
        <v>0</v>
      </c>
    </row>
    <row r="3783" spans="27:30" x14ac:dyDescent="0.3">
      <c r="AA3783">
        <f t="shared" si="236"/>
        <v>0</v>
      </c>
      <c r="AB3783">
        <f t="shared" si="237"/>
        <v>0</v>
      </c>
      <c r="AC3783">
        <f t="shared" si="238"/>
        <v>0</v>
      </c>
      <c r="AD3783">
        <f t="shared" si="239"/>
        <v>0</v>
      </c>
    </row>
    <row r="3784" spans="27:30" x14ac:dyDescent="0.3">
      <c r="AA3784">
        <f t="shared" si="236"/>
        <v>0</v>
      </c>
      <c r="AB3784">
        <f t="shared" si="237"/>
        <v>0</v>
      </c>
      <c r="AC3784">
        <f t="shared" si="238"/>
        <v>0</v>
      </c>
      <c r="AD3784">
        <f t="shared" si="239"/>
        <v>0</v>
      </c>
    </row>
    <row r="3785" spans="27:30" x14ac:dyDescent="0.3">
      <c r="AA3785">
        <f t="shared" si="236"/>
        <v>0</v>
      </c>
      <c r="AB3785">
        <f t="shared" si="237"/>
        <v>0</v>
      </c>
      <c r="AC3785">
        <f t="shared" si="238"/>
        <v>0</v>
      </c>
      <c r="AD3785">
        <f t="shared" si="239"/>
        <v>0</v>
      </c>
    </row>
    <row r="3786" spans="27:30" x14ac:dyDescent="0.3">
      <c r="AA3786">
        <f t="shared" si="236"/>
        <v>0</v>
      </c>
      <c r="AB3786">
        <f t="shared" si="237"/>
        <v>0</v>
      </c>
      <c r="AC3786">
        <f t="shared" si="238"/>
        <v>0</v>
      </c>
      <c r="AD3786">
        <f t="shared" si="239"/>
        <v>0</v>
      </c>
    </row>
    <row r="3787" spans="27:30" x14ac:dyDescent="0.3">
      <c r="AA3787">
        <f t="shared" si="236"/>
        <v>0</v>
      </c>
      <c r="AB3787">
        <f t="shared" si="237"/>
        <v>0</v>
      </c>
      <c r="AC3787">
        <f t="shared" si="238"/>
        <v>0</v>
      </c>
      <c r="AD3787">
        <f t="shared" si="239"/>
        <v>0</v>
      </c>
    </row>
    <row r="3788" spans="27:30" x14ac:dyDescent="0.3">
      <c r="AA3788">
        <f t="shared" si="236"/>
        <v>0</v>
      </c>
      <c r="AB3788">
        <f t="shared" si="237"/>
        <v>0</v>
      </c>
      <c r="AC3788">
        <f t="shared" si="238"/>
        <v>0</v>
      </c>
      <c r="AD3788">
        <f t="shared" si="239"/>
        <v>0</v>
      </c>
    </row>
    <row r="3789" spans="27:30" x14ac:dyDescent="0.3">
      <c r="AA3789">
        <f t="shared" si="236"/>
        <v>0</v>
      </c>
      <c r="AB3789">
        <f t="shared" si="237"/>
        <v>0</v>
      </c>
      <c r="AC3789">
        <f t="shared" si="238"/>
        <v>0</v>
      </c>
      <c r="AD3789">
        <f t="shared" si="239"/>
        <v>0</v>
      </c>
    </row>
    <row r="3790" spans="27:30" x14ac:dyDescent="0.3">
      <c r="AA3790">
        <f t="shared" si="236"/>
        <v>0</v>
      </c>
      <c r="AB3790">
        <f t="shared" si="237"/>
        <v>0</v>
      </c>
      <c r="AC3790">
        <f t="shared" si="238"/>
        <v>0</v>
      </c>
      <c r="AD3790">
        <f t="shared" si="239"/>
        <v>0</v>
      </c>
    </row>
    <row r="3791" spans="27:30" x14ac:dyDescent="0.3">
      <c r="AA3791">
        <f t="shared" si="236"/>
        <v>0</v>
      </c>
      <c r="AB3791">
        <f t="shared" si="237"/>
        <v>0</v>
      </c>
      <c r="AC3791">
        <f t="shared" si="238"/>
        <v>0</v>
      </c>
      <c r="AD3791">
        <f t="shared" si="239"/>
        <v>0</v>
      </c>
    </row>
    <row r="3792" spans="27:30" x14ac:dyDescent="0.3">
      <c r="AA3792">
        <f t="shared" si="236"/>
        <v>0</v>
      </c>
      <c r="AB3792">
        <f t="shared" si="237"/>
        <v>0</v>
      </c>
      <c r="AC3792">
        <f t="shared" si="238"/>
        <v>0</v>
      </c>
      <c r="AD3792">
        <f t="shared" si="239"/>
        <v>0</v>
      </c>
    </row>
    <row r="3793" spans="27:30" x14ac:dyDescent="0.3">
      <c r="AA3793">
        <f t="shared" si="236"/>
        <v>0</v>
      </c>
      <c r="AB3793">
        <f t="shared" si="237"/>
        <v>0</v>
      </c>
      <c r="AC3793">
        <f t="shared" si="238"/>
        <v>0</v>
      </c>
      <c r="AD3793">
        <f t="shared" si="239"/>
        <v>0</v>
      </c>
    </row>
    <row r="3794" spans="27:30" x14ac:dyDescent="0.3">
      <c r="AA3794">
        <f t="shared" si="236"/>
        <v>0</v>
      </c>
      <c r="AB3794">
        <f t="shared" si="237"/>
        <v>0</v>
      </c>
      <c r="AC3794">
        <f t="shared" si="238"/>
        <v>0</v>
      </c>
      <c r="AD3794">
        <f t="shared" si="239"/>
        <v>0</v>
      </c>
    </row>
    <row r="3795" spans="27:30" x14ac:dyDescent="0.3">
      <c r="AA3795">
        <f t="shared" si="236"/>
        <v>0</v>
      </c>
      <c r="AB3795">
        <f t="shared" si="237"/>
        <v>0</v>
      </c>
      <c r="AC3795">
        <f t="shared" si="238"/>
        <v>0</v>
      </c>
      <c r="AD3795">
        <f t="shared" si="239"/>
        <v>0</v>
      </c>
    </row>
    <row r="3796" spans="27:30" x14ac:dyDescent="0.3">
      <c r="AA3796">
        <f t="shared" si="236"/>
        <v>0</v>
      </c>
      <c r="AB3796">
        <f t="shared" si="237"/>
        <v>0</v>
      </c>
      <c r="AC3796">
        <f t="shared" si="238"/>
        <v>0</v>
      </c>
      <c r="AD3796">
        <f t="shared" si="239"/>
        <v>0</v>
      </c>
    </row>
    <row r="3797" spans="27:30" x14ac:dyDescent="0.3">
      <c r="AA3797">
        <f t="shared" si="236"/>
        <v>0</v>
      </c>
      <c r="AB3797">
        <f t="shared" si="237"/>
        <v>0</v>
      </c>
      <c r="AC3797">
        <f t="shared" si="238"/>
        <v>0</v>
      </c>
      <c r="AD3797">
        <f t="shared" si="239"/>
        <v>0</v>
      </c>
    </row>
    <row r="3798" spans="27:30" x14ac:dyDescent="0.3">
      <c r="AA3798">
        <f t="shared" si="236"/>
        <v>0</v>
      </c>
      <c r="AB3798">
        <f t="shared" si="237"/>
        <v>0</v>
      </c>
      <c r="AC3798">
        <f t="shared" si="238"/>
        <v>0</v>
      </c>
      <c r="AD3798">
        <f t="shared" si="239"/>
        <v>0</v>
      </c>
    </row>
    <row r="3799" spans="27:30" x14ac:dyDescent="0.3">
      <c r="AA3799">
        <f t="shared" si="236"/>
        <v>0</v>
      </c>
      <c r="AB3799">
        <f t="shared" si="237"/>
        <v>0</v>
      </c>
      <c r="AC3799">
        <f t="shared" si="238"/>
        <v>0</v>
      </c>
      <c r="AD3799">
        <f t="shared" si="239"/>
        <v>0</v>
      </c>
    </row>
    <row r="3800" spans="27:30" x14ac:dyDescent="0.3">
      <c r="AA3800">
        <f t="shared" si="236"/>
        <v>0</v>
      </c>
      <c r="AB3800">
        <f t="shared" si="237"/>
        <v>0</v>
      </c>
      <c r="AC3800">
        <f t="shared" si="238"/>
        <v>0</v>
      </c>
      <c r="AD3800">
        <f t="shared" si="239"/>
        <v>0</v>
      </c>
    </row>
    <row r="3801" spans="27:30" x14ac:dyDescent="0.3">
      <c r="AA3801">
        <f t="shared" si="236"/>
        <v>0</v>
      </c>
      <c r="AB3801">
        <f t="shared" si="237"/>
        <v>0</v>
      </c>
      <c r="AC3801">
        <f t="shared" si="238"/>
        <v>0</v>
      </c>
      <c r="AD3801">
        <f t="shared" si="239"/>
        <v>0</v>
      </c>
    </row>
    <row r="3802" spans="27:30" x14ac:dyDescent="0.3">
      <c r="AA3802">
        <f t="shared" si="236"/>
        <v>0</v>
      </c>
      <c r="AB3802">
        <f t="shared" si="237"/>
        <v>0</v>
      </c>
      <c r="AC3802">
        <f t="shared" si="238"/>
        <v>0</v>
      </c>
      <c r="AD3802">
        <f t="shared" si="239"/>
        <v>0</v>
      </c>
    </row>
    <row r="3803" spans="27:30" x14ac:dyDescent="0.3">
      <c r="AA3803">
        <f t="shared" si="236"/>
        <v>0</v>
      </c>
      <c r="AB3803">
        <f t="shared" si="237"/>
        <v>0</v>
      </c>
      <c r="AC3803">
        <f t="shared" si="238"/>
        <v>0</v>
      </c>
      <c r="AD3803">
        <f t="shared" si="239"/>
        <v>0</v>
      </c>
    </row>
    <row r="3804" spans="27:30" x14ac:dyDescent="0.3">
      <c r="AA3804">
        <f t="shared" si="236"/>
        <v>0</v>
      </c>
      <c r="AB3804">
        <f t="shared" si="237"/>
        <v>0</v>
      </c>
      <c r="AC3804">
        <f t="shared" si="238"/>
        <v>0</v>
      </c>
      <c r="AD3804">
        <f t="shared" si="239"/>
        <v>0</v>
      </c>
    </row>
    <row r="3805" spans="27:30" x14ac:dyDescent="0.3">
      <c r="AA3805">
        <f t="shared" si="236"/>
        <v>0</v>
      </c>
      <c r="AB3805">
        <f t="shared" si="237"/>
        <v>0</v>
      </c>
      <c r="AC3805">
        <f t="shared" si="238"/>
        <v>0</v>
      </c>
      <c r="AD3805">
        <f t="shared" si="239"/>
        <v>0</v>
      </c>
    </row>
    <row r="3806" spans="27:30" x14ac:dyDescent="0.3">
      <c r="AA3806">
        <f t="shared" si="236"/>
        <v>0</v>
      </c>
      <c r="AB3806">
        <f t="shared" si="237"/>
        <v>0</v>
      </c>
      <c r="AC3806">
        <f t="shared" si="238"/>
        <v>0</v>
      </c>
      <c r="AD3806">
        <f t="shared" si="239"/>
        <v>0</v>
      </c>
    </row>
    <row r="3807" spans="27:30" x14ac:dyDescent="0.3">
      <c r="AA3807">
        <f t="shared" si="236"/>
        <v>0</v>
      </c>
      <c r="AB3807">
        <f t="shared" si="237"/>
        <v>0</v>
      </c>
      <c r="AC3807">
        <f t="shared" si="238"/>
        <v>0</v>
      </c>
      <c r="AD3807">
        <f t="shared" si="239"/>
        <v>0</v>
      </c>
    </row>
    <row r="3808" spans="27:30" x14ac:dyDescent="0.3">
      <c r="AA3808">
        <f t="shared" si="236"/>
        <v>0</v>
      </c>
      <c r="AB3808">
        <f t="shared" si="237"/>
        <v>0</v>
      </c>
      <c r="AC3808">
        <f t="shared" si="238"/>
        <v>0</v>
      </c>
      <c r="AD3808">
        <f t="shared" si="239"/>
        <v>0</v>
      </c>
    </row>
    <row r="3809" spans="27:30" x14ac:dyDescent="0.3">
      <c r="AA3809">
        <f t="shared" si="236"/>
        <v>0</v>
      </c>
      <c r="AB3809">
        <f t="shared" si="237"/>
        <v>0</v>
      </c>
      <c r="AC3809">
        <f t="shared" si="238"/>
        <v>0</v>
      </c>
      <c r="AD3809">
        <f t="shared" si="239"/>
        <v>0</v>
      </c>
    </row>
    <row r="3810" spans="27:30" x14ac:dyDescent="0.3">
      <c r="AA3810">
        <f t="shared" si="236"/>
        <v>0</v>
      </c>
      <c r="AB3810">
        <f t="shared" si="237"/>
        <v>0</v>
      </c>
      <c r="AC3810">
        <f t="shared" si="238"/>
        <v>0</v>
      </c>
      <c r="AD3810">
        <f t="shared" si="239"/>
        <v>0</v>
      </c>
    </row>
    <row r="3811" spans="27:30" x14ac:dyDescent="0.3">
      <c r="AA3811">
        <f t="shared" si="236"/>
        <v>0</v>
      </c>
      <c r="AB3811">
        <f t="shared" si="237"/>
        <v>0</v>
      </c>
      <c r="AC3811">
        <f t="shared" si="238"/>
        <v>0</v>
      </c>
      <c r="AD3811">
        <f t="shared" si="239"/>
        <v>0</v>
      </c>
    </row>
    <row r="3812" spans="27:30" x14ac:dyDescent="0.3">
      <c r="AA3812">
        <f t="shared" si="236"/>
        <v>0</v>
      </c>
      <c r="AB3812">
        <f t="shared" si="237"/>
        <v>0</v>
      </c>
      <c r="AC3812">
        <f t="shared" si="238"/>
        <v>0</v>
      </c>
      <c r="AD3812">
        <f t="shared" si="239"/>
        <v>0</v>
      </c>
    </row>
    <row r="3813" spans="27:30" x14ac:dyDescent="0.3">
      <c r="AA3813">
        <f t="shared" si="236"/>
        <v>0</v>
      </c>
      <c r="AB3813">
        <f t="shared" si="237"/>
        <v>0</v>
      </c>
      <c r="AC3813">
        <f t="shared" si="238"/>
        <v>0</v>
      </c>
      <c r="AD3813">
        <f t="shared" si="239"/>
        <v>0</v>
      </c>
    </row>
    <row r="3814" spans="27:30" x14ac:dyDescent="0.3">
      <c r="AA3814">
        <f t="shared" si="236"/>
        <v>0</v>
      </c>
      <c r="AB3814">
        <f t="shared" si="237"/>
        <v>0</v>
      </c>
      <c r="AC3814">
        <f t="shared" si="238"/>
        <v>0</v>
      </c>
      <c r="AD3814">
        <f t="shared" si="239"/>
        <v>0</v>
      </c>
    </row>
    <row r="3815" spans="27:30" x14ac:dyDescent="0.3">
      <c r="AA3815">
        <f t="shared" si="236"/>
        <v>0</v>
      </c>
      <c r="AB3815">
        <f t="shared" si="237"/>
        <v>0</v>
      </c>
      <c r="AC3815">
        <f t="shared" si="238"/>
        <v>0</v>
      </c>
      <c r="AD3815">
        <f t="shared" si="239"/>
        <v>0</v>
      </c>
    </row>
    <row r="3816" spans="27:30" x14ac:dyDescent="0.3">
      <c r="AA3816">
        <f t="shared" si="236"/>
        <v>0</v>
      </c>
      <c r="AB3816">
        <f t="shared" si="237"/>
        <v>0</v>
      </c>
      <c r="AC3816">
        <f t="shared" si="238"/>
        <v>0</v>
      </c>
      <c r="AD3816">
        <f t="shared" si="239"/>
        <v>0</v>
      </c>
    </row>
    <row r="3817" spans="27:30" x14ac:dyDescent="0.3">
      <c r="AA3817">
        <f t="shared" si="236"/>
        <v>0</v>
      </c>
      <c r="AB3817">
        <f t="shared" si="237"/>
        <v>0</v>
      </c>
      <c r="AC3817">
        <f t="shared" si="238"/>
        <v>0</v>
      </c>
      <c r="AD3817">
        <f t="shared" si="239"/>
        <v>0</v>
      </c>
    </row>
    <row r="3818" spans="27:30" x14ac:dyDescent="0.3">
      <c r="AA3818">
        <f t="shared" si="236"/>
        <v>0</v>
      </c>
      <c r="AB3818">
        <f t="shared" si="237"/>
        <v>0</v>
      </c>
      <c r="AC3818">
        <f t="shared" si="238"/>
        <v>0</v>
      </c>
      <c r="AD3818">
        <f t="shared" si="239"/>
        <v>0</v>
      </c>
    </row>
    <row r="3819" spans="27:30" x14ac:dyDescent="0.3">
      <c r="AA3819">
        <f t="shared" si="236"/>
        <v>0</v>
      </c>
      <c r="AB3819">
        <f t="shared" si="237"/>
        <v>0</v>
      </c>
      <c r="AC3819">
        <f t="shared" si="238"/>
        <v>0</v>
      </c>
      <c r="AD3819">
        <f t="shared" si="239"/>
        <v>0</v>
      </c>
    </row>
    <row r="3820" spans="27:30" x14ac:dyDescent="0.3">
      <c r="AA3820">
        <f t="shared" si="236"/>
        <v>0</v>
      </c>
      <c r="AB3820">
        <f t="shared" si="237"/>
        <v>0</v>
      </c>
      <c r="AC3820">
        <f t="shared" si="238"/>
        <v>0</v>
      </c>
      <c r="AD3820">
        <f t="shared" si="239"/>
        <v>0</v>
      </c>
    </row>
    <row r="3821" spans="27:30" x14ac:dyDescent="0.3">
      <c r="AA3821">
        <f t="shared" si="236"/>
        <v>0</v>
      </c>
      <c r="AB3821">
        <f t="shared" si="237"/>
        <v>0</v>
      </c>
      <c r="AC3821">
        <f t="shared" si="238"/>
        <v>0</v>
      </c>
      <c r="AD3821">
        <f t="shared" si="239"/>
        <v>0</v>
      </c>
    </row>
    <row r="3822" spans="27:30" x14ac:dyDescent="0.3">
      <c r="AA3822">
        <f t="shared" si="236"/>
        <v>0</v>
      </c>
      <c r="AB3822">
        <f t="shared" si="237"/>
        <v>0</v>
      </c>
      <c r="AC3822">
        <f t="shared" si="238"/>
        <v>0</v>
      </c>
      <c r="AD3822">
        <f t="shared" si="239"/>
        <v>0</v>
      </c>
    </row>
    <row r="3823" spans="27:30" x14ac:dyDescent="0.3">
      <c r="AA3823">
        <f t="shared" si="236"/>
        <v>0</v>
      </c>
      <c r="AB3823">
        <f t="shared" si="237"/>
        <v>0</v>
      </c>
      <c r="AC3823">
        <f t="shared" si="238"/>
        <v>0</v>
      </c>
      <c r="AD3823">
        <f t="shared" si="239"/>
        <v>0</v>
      </c>
    </row>
    <row r="3824" spans="27:30" x14ac:dyDescent="0.3">
      <c r="AA3824">
        <f t="shared" si="236"/>
        <v>0</v>
      </c>
      <c r="AB3824">
        <f t="shared" si="237"/>
        <v>0</v>
      </c>
      <c r="AC3824">
        <f t="shared" si="238"/>
        <v>0</v>
      </c>
      <c r="AD3824">
        <f t="shared" si="239"/>
        <v>0</v>
      </c>
    </row>
    <row r="3825" spans="27:30" x14ac:dyDescent="0.3">
      <c r="AA3825">
        <f t="shared" si="236"/>
        <v>0</v>
      </c>
      <c r="AB3825">
        <f t="shared" si="237"/>
        <v>0</v>
      </c>
      <c r="AC3825">
        <f t="shared" si="238"/>
        <v>0</v>
      </c>
      <c r="AD3825">
        <f t="shared" si="239"/>
        <v>0</v>
      </c>
    </row>
    <row r="3826" spans="27:30" x14ac:dyDescent="0.3">
      <c r="AA3826">
        <f t="shared" si="236"/>
        <v>0</v>
      </c>
      <c r="AB3826">
        <f t="shared" si="237"/>
        <v>0</v>
      </c>
      <c r="AC3826">
        <f t="shared" si="238"/>
        <v>0</v>
      </c>
      <c r="AD3826">
        <f t="shared" si="239"/>
        <v>0</v>
      </c>
    </row>
    <row r="3827" spans="27:30" x14ac:dyDescent="0.3">
      <c r="AA3827">
        <f t="shared" si="236"/>
        <v>0</v>
      </c>
      <c r="AB3827">
        <f t="shared" si="237"/>
        <v>0</v>
      </c>
      <c r="AC3827">
        <f t="shared" si="238"/>
        <v>0</v>
      </c>
      <c r="AD3827">
        <f t="shared" si="239"/>
        <v>0</v>
      </c>
    </row>
    <row r="3828" spans="27:30" x14ac:dyDescent="0.3">
      <c r="AA3828">
        <f t="shared" si="236"/>
        <v>0</v>
      </c>
      <c r="AB3828">
        <f t="shared" si="237"/>
        <v>0</v>
      </c>
      <c r="AC3828">
        <f t="shared" si="238"/>
        <v>0</v>
      </c>
      <c r="AD3828">
        <f t="shared" si="239"/>
        <v>0</v>
      </c>
    </row>
    <row r="3829" spans="27:30" x14ac:dyDescent="0.3">
      <c r="AA3829">
        <f t="shared" si="236"/>
        <v>0</v>
      </c>
      <c r="AB3829">
        <f t="shared" si="237"/>
        <v>0</v>
      </c>
      <c r="AC3829">
        <f t="shared" si="238"/>
        <v>0</v>
      </c>
      <c r="AD3829">
        <f t="shared" si="239"/>
        <v>0</v>
      </c>
    </row>
    <row r="3830" spans="27:30" x14ac:dyDescent="0.3">
      <c r="AA3830">
        <f t="shared" si="236"/>
        <v>0</v>
      </c>
      <c r="AB3830">
        <f t="shared" si="237"/>
        <v>0</v>
      </c>
      <c r="AC3830">
        <f t="shared" si="238"/>
        <v>0</v>
      </c>
      <c r="AD3830">
        <f t="shared" si="239"/>
        <v>0</v>
      </c>
    </row>
    <row r="3831" spans="27:30" x14ac:dyDescent="0.3">
      <c r="AA3831">
        <f t="shared" si="236"/>
        <v>0</v>
      </c>
      <c r="AB3831">
        <f t="shared" si="237"/>
        <v>0</v>
      </c>
      <c r="AC3831">
        <f t="shared" si="238"/>
        <v>0</v>
      </c>
      <c r="AD3831">
        <f t="shared" si="239"/>
        <v>0</v>
      </c>
    </row>
    <row r="3832" spans="27:30" x14ac:dyDescent="0.3">
      <c r="AA3832">
        <f t="shared" si="236"/>
        <v>0</v>
      </c>
      <c r="AB3832">
        <f t="shared" si="237"/>
        <v>0</v>
      </c>
      <c r="AC3832">
        <f t="shared" si="238"/>
        <v>0</v>
      </c>
      <c r="AD3832">
        <f t="shared" si="239"/>
        <v>0</v>
      </c>
    </row>
    <row r="3833" spans="27:30" x14ac:dyDescent="0.3">
      <c r="AA3833">
        <f t="shared" si="236"/>
        <v>0</v>
      </c>
      <c r="AB3833">
        <f t="shared" si="237"/>
        <v>0</v>
      </c>
      <c r="AC3833">
        <f t="shared" si="238"/>
        <v>0</v>
      </c>
      <c r="AD3833">
        <f t="shared" si="239"/>
        <v>0</v>
      </c>
    </row>
    <row r="3834" spans="27:30" x14ac:dyDescent="0.3">
      <c r="AA3834">
        <f t="shared" si="236"/>
        <v>0</v>
      </c>
      <c r="AB3834">
        <f t="shared" si="237"/>
        <v>0</v>
      </c>
      <c r="AC3834">
        <f t="shared" si="238"/>
        <v>0</v>
      </c>
      <c r="AD3834">
        <f t="shared" si="239"/>
        <v>0</v>
      </c>
    </row>
    <row r="3835" spans="27:30" x14ac:dyDescent="0.3">
      <c r="AA3835">
        <f t="shared" si="236"/>
        <v>0</v>
      </c>
      <c r="AB3835">
        <f t="shared" si="237"/>
        <v>0</v>
      </c>
      <c r="AC3835">
        <f t="shared" si="238"/>
        <v>0</v>
      </c>
      <c r="AD3835">
        <f t="shared" si="239"/>
        <v>0</v>
      </c>
    </row>
    <row r="3836" spans="27:30" x14ac:dyDescent="0.3">
      <c r="AA3836">
        <f t="shared" si="236"/>
        <v>0</v>
      </c>
      <c r="AB3836">
        <f t="shared" si="237"/>
        <v>0</v>
      </c>
      <c r="AC3836">
        <f t="shared" si="238"/>
        <v>0</v>
      </c>
      <c r="AD3836">
        <f t="shared" si="239"/>
        <v>0</v>
      </c>
    </row>
    <row r="3837" spans="27:30" x14ac:dyDescent="0.3">
      <c r="AA3837">
        <f t="shared" si="236"/>
        <v>0</v>
      </c>
      <c r="AB3837">
        <f t="shared" si="237"/>
        <v>0</v>
      </c>
      <c r="AC3837">
        <f t="shared" si="238"/>
        <v>0</v>
      </c>
      <c r="AD3837">
        <f t="shared" si="239"/>
        <v>0</v>
      </c>
    </row>
    <row r="3838" spans="27:30" x14ac:dyDescent="0.3">
      <c r="AA3838">
        <f t="shared" si="236"/>
        <v>0</v>
      </c>
      <c r="AB3838">
        <f t="shared" si="237"/>
        <v>0</v>
      </c>
      <c r="AC3838">
        <f t="shared" si="238"/>
        <v>0</v>
      </c>
      <c r="AD3838">
        <f t="shared" si="239"/>
        <v>0</v>
      </c>
    </row>
    <row r="3839" spans="27:30" x14ac:dyDescent="0.3">
      <c r="AA3839">
        <f t="shared" si="236"/>
        <v>0</v>
      </c>
      <c r="AB3839">
        <f t="shared" si="237"/>
        <v>0</v>
      </c>
      <c r="AC3839">
        <f t="shared" si="238"/>
        <v>0</v>
      </c>
      <c r="AD3839">
        <f t="shared" si="239"/>
        <v>0</v>
      </c>
    </row>
    <row r="3840" spans="27:30" x14ac:dyDescent="0.3">
      <c r="AA3840">
        <f t="shared" si="236"/>
        <v>0</v>
      </c>
      <c r="AB3840">
        <f t="shared" si="237"/>
        <v>0</v>
      </c>
      <c r="AC3840">
        <f t="shared" si="238"/>
        <v>0</v>
      </c>
      <c r="AD3840">
        <f t="shared" si="239"/>
        <v>0</v>
      </c>
    </row>
    <row r="3841" spans="27:30" x14ac:dyDescent="0.3">
      <c r="AA3841">
        <f t="shared" si="236"/>
        <v>0</v>
      </c>
      <c r="AB3841">
        <f t="shared" si="237"/>
        <v>0</v>
      </c>
      <c r="AC3841">
        <f t="shared" si="238"/>
        <v>0</v>
      </c>
      <c r="AD3841">
        <f t="shared" si="239"/>
        <v>0</v>
      </c>
    </row>
    <row r="3842" spans="27:30" x14ac:dyDescent="0.3">
      <c r="AA3842">
        <f t="shared" si="236"/>
        <v>0</v>
      </c>
      <c r="AB3842">
        <f t="shared" si="237"/>
        <v>0</v>
      </c>
      <c r="AC3842">
        <f t="shared" si="238"/>
        <v>0</v>
      </c>
      <c r="AD3842">
        <f t="shared" si="239"/>
        <v>0</v>
      </c>
    </row>
    <row r="3843" spans="27:30" x14ac:dyDescent="0.3">
      <c r="AA3843">
        <f t="shared" si="236"/>
        <v>0</v>
      </c>
      <c r="AB3843">
        <f t="shared" si="237"/>
        <v>0</v>
      </c>
      <c r="AC3843">
        <f t="shared" si="238"/>
        <v>0</v>
      </c>
      <c r="AD3843">
        <f t="shared" si="239"/>
        <v>0</v>
      </c>
    </row>
    <row r="3844" spans="27:30" x14ac:dyDescent="0.3">
      <c r="AA3844">
        <f t="shared" si="236"/>
        <v>0</v>
      </c>
      <c r="AB3844">
        <f t="shared" si="237"/>
        <v>0</v>
      </c>
      <c r="AC3844">
        <f t="shared" si="238"/>
        <v>0</v>
      </c>
      <c r="AD3844">
        <f t="shared" si="239"/>
        <v>0</v>
      </c>
    </row>
    <row r="3845" spans="27:30" x14ac:dyDescent="0.3">
      <c r="AA3845">
        <f t="shared" ref="AA3845:AA3908" si="240">ROUND(Z3845,0)</f>
        <v>0</v>
      </c>
      <c r="AB3845">
        <f t="shared" ref="AB3845:AB3908" si="241">IF(AA3845=Y3845,0,1)</f>
        <v>0</v>
      </c>
      <c r="AC3845">
        <f t="shared" ref="AC3845:AC3908" si="242">IF(AA3845&lt;Y3845+5,IF(AA3845&gt;Y3845-5,0,1),1)</f>
        <v>0</v>
      </c>
      <c r="AD3845">
        <f t="shared" ref="AD3845:AD3908" si="243">IF(AA3845&lt;Y3845+10,IF(AA3845&gt;Y3845-10,0,1),1)</f>
        <v>0</v>
      </c>
    </row>
    <row r="3846" spans="27:30" x14ac:dyDescent="0.3">
      <c r="AA3846">
        <f t="shared" si="240"/>
        <v>0</v>
      </c>
      <c r="AB3846">
        <f t="shared" si="241"/>
        <v>0</v>
      </c>
      <c r="AC3846">
        <f t="shared" si="242"/>
        <v>0</v>
      </c>
      <c r="AD3846">
        <f t="shared" si="243"/>
        <v>0</v>
      </c>
    </row>
    <row r="3847" spans="27:30" x14ac:dyDescent="0.3">
      <c r="AA3847">
        <f t="shared" si="240"/>
        <v>0</v>
      </c>
      <c r="AB3847">
        <f t="shared" si="241"/>
        <v>0</v>
      </c>
      <c r="AC3847">
        <f t="shared" si="242"/>
        <v>0</v>
      </c>
      <c r="AD3847">
        <f t="shared" si="243"/>
        <v>0</v>
      </c>
    </row>
    <row r="3848" spans="27:30" x14ac:dyDescent="0.3">
      <c r="AA3848">
        <f t="shared" si="240"/>
        <v>0</v>
      </c>
      <c r="AB3848">
        <f t="shared" si="241"/>
        <v>0</v>
      </c>
      <c r="AC3848">
        <f t="shared" si="242"/>
        <v>0</v>
      </c>
      <c r="AD3848">
        <f t="shared" si="243"/>
        <v>0</v>
      </c>
    </row>
    <row r="3849" spans="27:30" x14ac:dyDescent="0.3">
      <c r="AA3849">
        <f t="shared" si="240"/>
        <v>0</v>
      </c>
      <c r="AB3849">
        <f t="shared" si="241"/>
        <v>0</v>
      </c>
      <c r="AC3849">
        <f t="shared" si="242"/>
        <v>0</v>
      </c>
      <c r="AD3849">
        <f t="shared" si="243"/>
        <v>0</v>
      </c>
    </row>
    <row r="3850" spans="27:30" x14ac:dyDescent="0.3">
      <c r="AA3850">
        <f t="shared" si="240"/>
        <v>0</v>
      </c>
      <c r="AB3850">
        <f t="shared" si="241"/>
        <v>0</v>
      </c>
      <c r="AC3850">
        <f t="shared" si="242"/>
        <v>0</v>
      </c>
      <c r="AD3850">
        <f t="shared" si="243"/>
        <v>0</v>
      </c>
    </row>
    <row r="3851" spans="27:30" x14ac:dyDescent="0.3">
      <c r="AA3851">
        <f t="shared" si="240"/>
        <v>0</v>
      </c>
      <c r="AB3851">
        <f t="shared" si="241"/>
        <v>0</v>
      </c>
      <c r="AC3851">
        <f t="shared" si="242"/>
        <v>0</v>
      </c>
      <c r="AD3851">
        <f t="shared" si="243"/>
        <v>0</v>
      </c>
    </row>
    <row r="3852" spans="27:30" x14ac:dyDescent="0.3">
      <c r="AA3852">
        <f t="shared" si="240"/>
        <v>0</v>
      </c>
      <c r="AB3852">
        <f t="shared" si="241"/>
        <v>0</v>
      </c>
      <c r="AC3852">
        <f t="shared" si="242"/>
        <v>0</v>
      </c>
      <c r="AD3852">
        <f t="shared" si="243"/>
        <v>0</v>
      </c>
    </row>
    <row r="3853" spans="27:30" x14ac:dyDescent="0.3">
      <c r="AA3853">
        <f t="shared" si="240"/>
        <v>0</v>
      </c>
      <c r="AB3853">
        <f t="shared" si="241"/>
        <v>0</v>
      </c>
      <c r="AC3853">
        <f t="shared" si="242"/>
        <v>0</v>
      </c>
      <c r="AD3853">
        <f t="shared" si="243"/>
        <v>0</v>
      </c>
    </row>
    <row r="3854" spans="27:30" x14ac:dyDescent="0.3">
      <c r="AA3854">
        <f t="shared" si="240"/>
        <v>0</v>
      </c>
      <c r="AB3854">
        <f t="shared" si="241"/>
        <v>0</v>
      </c>
      <c r="AC3854">
        <f t="shared" si="242"/>
        <v>0</v>
      </c>
      <c r="AD3854">
        <f t="shared" si="243"/>
        <v>0</v>
      </c>
    </row>
    <row r="3855" spans="27:30" x14ac:dyDescent="0.3">
      <c r="AA3855">
        <f t="shared" si="240"/>
        <v>0</v>
      </c>
      <c r="AB3855">
        <f t="shared" si="241"/>
        <v>0</v>
      </c>
      <c r="AC3855">
        <f t="shared" si="242"/>
        <v>0</v>
      </c>
      <c r="AD3855">
        <f t="shared" si="243"/>
        <v>0</v>
      </c>
    </row>
    <row r="3856" spans="27:30" x14ac:dyDescent="0.3">
      <c r="AA3856">
        <f t="shared" si="240"/>
        <v>0</v>
      </c>
      <c r="AB3856">
        <f t="shared" si="241"/>
        <v>0</v>
      </c>
      <c r="AC3856">
        <f t="shared" si="242"/>
        <v>0</v>
      </c>
      <c r="AD3856">
        <f t="shared" si="243"/>
        <v>0</v>
      </c>
    </row>
    <row r="3857" spans="27:30" x14ac:dyDescent="0.3">
      <c r="AA3857">
        <f t="shared" si="240"/>
        <v>0</v>
      </c>
      <c r="AB3857">
        <f t="shared" si="241"/>
        <v>0</v>
      </c>
      <c r="AC3857">
        <f t="shared" si="242"/>
        <v>0</v>
      </c>
      <c r="AD3857">
        <f t="shared" si="243"/>
        <v>0</v>
      </c>
    </row>
    <row r="3858" spans="27:30" x14ac:dyDescent="0.3">
      <c r="AA3858">
        <f t="shared" si="240"/>
        <v>0</v>
      </c>
      <c r="AB3858">
        <f t="shared" si="241"/>
        <v>0</v>
      </c>
      <c r="AC3858">
        <f t="shared" si="242"/>
        <v>0</v>
      </c>
      <c r="AD3858">
        <f t="shared" si="243"/>
        <v>0</v>
      </c>
    </row>
    <row r="3859" spans="27:30" x14ac:dyDescent="0.3">
      <c r="AA3859">
        <f t="shared" si="240"/>
        <v>0</v>
      </c>
      <c r="AB3859">
        <f t="shared" si="241"/>
        <v>0</v>
      </c>
      <c r="AC3859">
        <f t="shared" si="242"/>
        <v>0</v>
      </c>
      <c r="AD3859">
        <f t="shared" si="243"/>
        <v>0</v>
      </c>
    </row>
    <row r="3860" spans="27:30" x14ac:dyDescent="0.3">
      <c r="AA3860">
        <f t="shared" si="240"/>
        <v>0</v>
      </c>
      <c r="AB3860">
        <f t="shared" si="241"/>
        <v>0</v>
      </c>
      <c r="AC3860">
        <f t="shared" si="242"/>
        <v>0</v>
      </c>
      <c r="AD3860">
        <f t="shared" si="243"/>
        <v>0</v>
      </c>
    </row>
    <row r="3861" spans="27:30" x14ac:dyDescent="0.3">
      <c r="AA3861">
        <f t="shared" si="240"/>
        <v>0</v>
      </c>
      <c r="AB3861">
        <f t="shared" si="241"/>
        <v>0</v>
      </c>
      <c r="AC3861">
        <f t="shared" si="242"/>
        <v>0</v>
      </c>
      <c r="AD3861">
        <f t="shared" si="243"/>
        <v>0</v>
      </c>
    </row>
    <row r="3862" spans="27:30" x14ac:dyDescent="0.3">
      <c r="AA3862">
        <f t="shared" si="240"/>
        <v>0</v>
      </c>
      <c r="AB3862">
        <f t="shared" si="241"/>
        <v>0</v>
      </c>
      <c r="AC3862">
        <f t="shared" si="242"/>
        <v>0</v>
      </c>
      <c r="AD3862">
        <f t="shared" si="243"/>
        <v>0</v>
      </c>
    </row>
    <row r="3863" spans="27:30" x14ac:dyDescent="0.3">
      <c r="AA3863">
        <f t="shared" si="240"/>
        <v>0</v>
      </c>
      <c r="AB3863">
        <f t="shared" si="241"/>
        <v>0</v>
      </c>
      <c r="AC3863">
        <f t="shared" si="242"/>
        <v>0</v>
      </c>
      <c r="AD3863">
        <f t="shared" si="243"/>
        <v>0</v>
      </c>
    </row>
    <row r="3864" spans="27:30" x14ac:dyDescent="0.3">
      <c r="AA3864">
        <f t="shared" si="240"/>
        <v>0</v>
      </c>
      <c r="AB3864">
        <f t="shared" si="241"/>
        <v>0</v>
      </c>
      <c r="AC3864">
        <f t="shared" si="242"/>
        <v>0</v>
      </c>
      <c r="AD3864">
        <f t="shared" si="243"/>
        <v>0</v>
      </c>
    </row>
    <row r="3865" spans="27:30" x14ac:dyDescent="0.3">
      <c r="AA3865">
        <f t="shared" si="240"/>
        <v>0</v>
      </c>
      <c r="AB3865">
        <f t="shared" si="241"/>
        <v>0</v>
      </c>
      <c r="AC3865">
        <f t="shared" si="242"/>
        <v>0</v>
      </c>
      <c r="AD3865">
        <f t="shared" si="243"/>
        <v>0</v>
      </c>
    </row>
    <row r="3866" spans="27:30" x14ac:dyDescent="0.3">
      <c r="AA3866">
        <f t="shared" si="240"/>
        <v>0</v>
      </c>
      <c r="AB3866">
        <f t="shared" si="241"/>
        <v>0</v>
      </c>
      <c r="AC3866">
        <f t="shared" si="242"/>
        <v>0</v>
      </c>
      <c r="AD3866">
        <f t="shared" si="243"/>
        <v>0</v>
      </c>
    </row>
    <row r="3867" spans="27:30" x14ac:dyDescent="0.3">
      <c r="AA3867">
        <f t="shared" si="240"/>
        <v>0</v>
      </c>
      <c r="AB3867">
        <f t="shared" si="241"/>
        <v>0</v>
      </c>
      <c r="AC3867">
        <f t="shared" si="242"/>
        <v>0</v>
      </c>
      <c r="AD3867">
        <f t="shared" si="243"/>
        <v>0</v>
      </c>
    </row>
    <row r="3868" spans="27:30" x14ac:dyDescent="0.3">
      <c r="AA3868">
        <f t="shared" si="240"/>
        <v>0</v>
      </c>
      <c r="AB3868">
        <f t="shared" si="241"/>
        <v>0</v>
      </c>
      <c r="AC3868">
        <f t="shared" si="242"/>
        <v>0</v>
      </c>
      <c r="AD3868">
        <f t="shared" si="243"/>
        <v>0</v>
      </c>
    </row>
    <row r="3869" spans="27:30" x14ac:dyDescent="0.3">
      <c r="AA3869">
        <f t="shared" si="240"/>
        <v>0</v>
      </c>
      <c r="AB3869">
        <f t="shared" si="241"/>
        <v>0</v>
      </c>
      <c r="AC3869">
        <f t="shared" si="242"/>
        <v>0</v>
      </c>
      <c r="AD3869">
        <f t="shared" si="243"/>
        <v>0</v>
      </c>
    </row>
    <row r="3870" spans="27:30" x14ac:dyDescent="0.3">
      <c r="AA3870">
        <f t="shared" si="240"/>
        <v>0</v>
      </c>
      <c r="AB3870">
        <f t="shared" si="241"/>
        <v>0</v>
      </c>
      <c r="AC3870">
        <f t="shared" si="242"/>
        <v>0</v>
      </c>
      <c r="AD3870">
        <f t="shared" si="243"/>
        <v>0</v>
      </c>
    </row>
    <row r="3871" spans="27:30" x14ac:dyDescent="0.3">
      <c r="AA3871">
        <f t="shared" si="240"/>
        <v>0</v>
      </c>
      <c r="AB3871">
        <f t="shared" si="241"/>
        <v>0</v>
      </c>
      <c r="AC3871">
        <f t="shared" si="242"/>
        <v>0</v>
      </c>
      <c r="AD3871">
        <f t="shared" si="243"/>
        <v>0</v>
      </c>
    </row>
    <row r="3872" spans="27:30" x14ac:dyDescent="0.3">
      <c r="AA3872">
        <f t="shared" si="240"/>
        <v>0</v>
      </c>
      <c r="AB3872">
        <f t="shared" si="241"/>
        <v>0</v>
      </c>
      <c r="AC3872">
        <f t="shared" si="242"/>
        <v>0</v>
      </c>
      <c r="AD3872">
        <f t="shared" si="243"/>
        <v>0</v>
      </c>
    </row>
    <row r="3873" spans="27:30" x14ac:dyDescent="0.3">
      <c r="AA3873">
        <f t="shared" si="240"/>
        <v>0</v>
      </c>
      <c r="AB3873">
        <f t="shared" si="241"/>
        <v>0</v>
      </c>
      <c r="AC3873">
        <f t="shared" si="242"/>
        <v>0</v>
      </c>
      <c r="AD3873">
        <f t="shared" si="243"/>
        <v>0</v>
      </c>
    </row>
    <row r="3874" spans="27:30" x14ac:dyDescent="0.3">
      <c r="AA3874">
        <f t="shared" si="240"/>
        <v>0</v>
      </c>
      <c r="AB3874">
        <f t="shared" si="241"/>
        <v>0</v>
      </c>
      <c r="AC3874">
        <f t="shared" si="242"/>
        <v>0</v>
      </c>
      <c r="AD3874">
        <f t="shared" si="243"/>
        <v>0</v>
      </c>
    </row>
    <row r="3875" spans="27:30" x14ac:dyDescent="0.3">
      <c r="AA3875">
        <f t="shared" si="240"/>
        <v>0</v>
      </c>
      <c r="AB3875">
        <f t="shared" si="241"/>
        <v>0</v>
      </c>
      <c r="AC3875">
        <f t="shared" si="242"/>
        <v>0</v>
      </c>
      <c r="AD3875">
        <f t="shared" si="243"/>
        <v>0</v>
      </c>
    </row>
    <row r="3876" spans="27:30" x14ac:dyDescent="0.3">
      <c r="AA3876">
        <f t="shared" si="240"/>
        <v>0</v>
      </c>
      <c r="AB3876">
        <f t="shared" si="241"/>
        <v>0</v>
      </c>
      <c r="AC3876">
        <f t="shared" si="242"/>
        <v>0</v>
      </c>
      <c r="AD3876">
        <f t="shared" si="243"/>
        <v>0</v>
      </c>
    </row>
    <row r="3877" spans="27:30" x14ac:dyDescent="0.3">
      <c r="AA3877">
        <f t="shared" si="240"/>
        <v>0</v>
      </c>
      <c r="AB3877">
        <f t="shared" si="241"/>
        <v>0</v>
      </c>
      <c r="AC3877">
        <f t="shared" si="242"/>
        <v>0</v>
      </c>
      <c r="AD3877">
        <f t="shared" si="243"/>
        <v>0</v>
      </c>
    </row>
    <row r="3878" spans="27:30" x14ac:dyDescent="0.3">
      <c r="AA3878">
        <f t="shared" si="240"/>
        <v>0</v>
      </c>
      <c r="AB3878">
        <f t="shared" si="241"/>
        <v>0</v>
      </c>
      <c r="AC3878">
        <f t="shared" si="242"/>
        <v>0</v>
      </c>
      <c r="AD3878">
        <f t="shared" si="243"/>
        <v>0</v>
      </c>
    </row>
    <row r="3879" spans="27:30" x14ac:dyDescent="0.3">
      <c r="AA3879">
        <f t="shared" si="240"/>
        <v>0</v>
      </c>
      <c r="AB3879">
        <f t="shared" si="241"/>
        <v>0</v>
      </c>
      <c r="AC3879">
        <f t="shared" si="242"/>
        <v>0</v>
      </c>
      <c r="AD3879">
        <f t="shared" si="243"/>
        <v>0</v>
      </c>
    </row>
    <row r="3880" spans="27:30" x14ac:dyDescent="0.3">
      <c r="AA3880">
        <f t="shared" si="240"/>
        <v>0</v>
      </c>
      <c r="AB3880">
        <f t="shared" si="241"/>
        <v>0</v>
      </c>
      <c r="AC3880">
        <f t="shared" si="242"/>
        <v>0</v>
      </c>
      <c r="AD3880">
        <f t="shared" si="243"/>
        <v>0</v>
      </c>
    </row>
    <row r="3881" spans="27:30" x14ac:dyDescent="0.3">
      <c r="AA3881">
        <f t="shared" si="240"/>
        <v>0</v>
      </c>
      <c r="AB3881">
        <f t="shared" si="241"/>
        <v>0</v>
      </c>
      <c r="AC3881">
        <f t="shared" si="242"/>
        <v>0</v>
      </c>
      <c r="AD3881">
        <f t="shared" si="243"/>
        <v>0</v>
      </c>
    </row>
    <row r="3882" spans="27:30" x14ac:dyDescent="0.3">
      <c r="AA3882">
        <f t="shared" si="240"/>
        <v>0</v>
      </c>
      <c r="AB3882">
        <f t="shared" si="241"/>
        <v>0</v>
      </c>
      <c r="AC3882">
        <f t="shared" si="242"/>
        <v>0</v>
      </c>
      <c r="AD3882">
        <f t="shared" si="243"/>
        <v>0</v>
      </c>
    </row>
    <row r="3883" spans="27:30" x14ac:dyDescent="0.3">
      <c r="AA3883">
        <f t="shared" si="240"/>
        <v>0</v>
      </c>
      <c r="AB3883">
        <f t="shared" si="241"/>
        <v>0</v>
      </c>
      <c r="AC3883">
        <f t="shared" si="242"/>
        <v>0</v>
      </c>
      <c r="AD3883">
        <f t="shared" si="243"/>
        <v>0</v>
      </c>
    </row>
    <row r="3884" spans="27:30" x14ac:dyDescent="0.3">
      <c r="AA3884">
        <f t="shared" si="240"/>
        <v>0</v>
      </c>
      <c r="AB3884">
        <f t="shared" si="241"/>
        <v>0</v>
      </c>
      <c r="AC3884">
        <f t="shared" si="242"/>
        <v>0</v>
      </c>
      <c r="AD3884">
        <f t="shared" si="243"/>
        <v>0</v>
      </c>
    </row>
    <row r="3885" spans="27:30" x14ac:dyDescent="0.3">
      <c r="AA3885">
        <f t="shared" si="240"/>
        <v>0</v>
      </c>
      <c r="AB3885">
        <f t="shared" si="241"/>
        <v>0</v>
      </c>
      <c r="AC3885">
        <f t="shared" si="242"/>
        <v>0</v>
      </c>
      <c r="AD3885">
        <f t="shared" si="243"/>
        <v>0</v>
      </c>
    </row>
    <row r="3886" spans="27:30" x14ac:dyDescent="0.3">
      <c r="AA3886">
        <f t="shared" si="240"/>
        <v>0</v>
      </c>
      <c r="AB3886">
        <f t="shared" si="241"/>
        <v>0</v>
      </c>
      <c r="AC3886">
        <f t="shared" si="242"/>
        <v>0</v>
      </c>
      <c r="AD3886">
        <f t="shared" si="243"/>
        <v>0</v>
      </c>
    </row>
    <row r="3887" spans="27:30" x14ac:dyDescent="0.3">
      <c r="AA3887">
        <f t="shared" si="240"/>
        <v>0</v>
      </c>
      <c r="AB3887">
        <f t="shared" si="241"/>
        <v>0</v>
      </c>
      <c r="AC3887">
        <f t="shared" si="242"/>
        <v>0</v>
      </c>
      <c r="AD3887">
        <f t="shared" si="243"/>
        <v>0</v>
      </c>
    </row>
    <row r="3888" spans="27:30" x14ac:dyDescent="0.3">
      <c r="AA3888">
        <f t="shared" si="240"/>
        <v>0</v>
      </c>
      <c r="AB3888">
        <f t="shared" si="241"/>
        <v>0</v>
      </c>
      <c r="AC3888">
        <f t="shared" si="242"/>
        <v>0</v>
      </c>
      <c r="AD3888">
        <f t="shared" si="243"/>
        <v>0</v>
      </c>
    </row>
    <row r="3889" spans="27:30" x14ac:dyDescent="0.3">
      <c r="AA3889">
        <f t="shared" si="240"/>
        <v>0</v>
      </c>
      <c r="AB3889">
        <f t="shared" si="241"/>
        <v>0</v>
      </c>
      <c r="AC3889">
        <f t="shared" si="242"/>
        <v>0</v>
      </c>
      <c r="AD3889">
        <f t="shared" si="243"/>
        <v>0</v>
      </c>
    </row>
    <row r="3890" spans="27:30" x14ac:dyDescent="0.3">
      <c r="AA3890">
        <f t="shared" si="240"/>
        <v>0</v>
      </c>
      <c r="AB3890">
        <f t="shared" si="241"/>
        <v>0</v>
      </c>
      <c r="AC3890">
        <f t="shared" si="242"/>
        <v>0</v>
      </c>
      <c r="AD3890">
        <f t="shared" si="243"/>
        <v>0</v>
      </c>
    </row>
    <row r="3891" spans="27:30" x14ac:dyDescent="0.3">
      <c r="AA3891">
        <f t="shared" si="240"/>
        <v>0</v>
      </c>
      <c r="AB3891">
        <f t="shared" si="241"/>
        <v>0</v>
      </c>
      <c r="AC3891">
        <f t="shared" si="242"/>
        <v>0</v>
      </c>
      <c r="AD3891">
        <f t="shared" si="243"/>
        <v>0</v>
      </c>
    </row>
    <row r="3892" spans="27:30" x14ac:dyDescent="0.3">
      <c r="AA3892">
        <f t="shared" si="240"/>
        <v>0</v>
      </c>
      <c r="AB3892">
        <f t="shared" si="241"/>
        <v>0</v>
      </c>
      <c r="AC3892">
        <f t="shared" si="242"/>
        <v>0</v>
      </c>
      <c r="AD3892">
        <f t="shared" si="243"/>
        <v>0</v>
      </c>
    </row>
    <row r="3893" spans="27:30" x14ac:dyDescent="0.3">
      <c r="AA3893">
        <f t="shared" si="240"/>
        <v>0</v>
      </c>
      <c r="AB3893">
        <f t="shared" si="241"/>
        <v>0</v>
      </c>
      <c r="AC3893">
        <f t="shared" si="242"/>
        <v>0</v>
      </c>
      <c r="AD3893">
        <f t="shared" si="243"/>
        <v>0</v>
      </c>
    </row>
    <row r="3894" spans="27:30" x14ac:dyDescent="0.3">
      <c r="AA3894">
        <f t="shared" si="240"/>
        <v>0</v>
      </c>
      <c r="AB3894">
        <f t="shared" si="241"/>
        <v>0</v>
      </c>
      <c r="AC3894">
        <f t="shared" si="242"/>
        <v>0</v>
      </c>
      <c r="AD3894">
        <f t="shared" si="243"/>
        <v>0</v>
      </c>
    </row>
    <row r="3895" spans="27:30" x14ac:dyDescent="0.3">
      <c r="AA3895">
        <f t="shared" si="240"/>
        <v>0</v>
      </c>
      <c r="AB3895">
        <f t="shared" si="241"/>
        <v>0</v>
      </c>
      <c r="AC3895">
        <f t="shared" si="242"/>
        <v>0</v>
      </c>
      <c r="AD3895">
        <f t="shared" si="243"/>
        <v>0</v>
      </c>
    </row>
    <row r="3896" spans="27:30" x14ac:dyDescent="0.3">
      <c r="AA3896">
        <f t="shared" si="240"/>
        <v>0</v>
      </c>
      <c r="AB3896">
        <f t="shared" si="241"/>
        <v>0</v>
      </c>
      <c r="AC3896">
        <f t="shared" si="242"/>
        <v>0</v>
      </c>
      <c r="AD3896">
        <f t="shared" si="243"/>
        <v>0</v>
      </c>
    </row>
    <row r="3897" spans="27:30" x14ac:dyDescent="0.3">
      <c r="AA3897">
        <f t="shared" si="240"/>
        <v>0</v>
      </c>
      <c r="AB3897">
        <f t="shared" si="241"/>
        <v>0</v>
      </c>
      <c r="AC3897">
        <f t="shared" si="242"/>
        <v>0</v>
      </c>
      <c r="AD3897">
        <f t="shared" si="243"/>
        <v>0</v>
      </c>
    </row>
    <row r="3898" spans="27:30" x14ac:dyDescent="0.3">
      <c r="AA3898">
        <f t="shared" si="240"/>
        <v>0</v>
      </c>
      <c r="AB3898">
        <f t="shared" si="241"/>
        <v>0</v>
      </c>
      <c r="AC3898">
        <f t="shared" si="242"/>
        <v>0</v>
      </c>
      <c r="AD3898">
        <f t="shared" si="243"/>
        <v>0</v>
      </c>
    </row>
    <row r="3899" spans="27:30" x14ac:dyDescent="0.3">
      <c r="AA3899">
        <f t="shared" si="240"/>
        <v>0</v>
      </c>
      <c r="AB3899">
        <f t="shared" si="241"/>
        <v>0</v>
      </c>
      <c r="AC3899">
        <f t="shared" si="242"/>
        <v>0</v>
      </c>
      <c r="AD3899">
        <f t="shared" si="243"/>
        <v>0</v>
      </c>
    </row>
    <row r="3900" spans="27:30" x14ac:dyDescent="0.3">
      <c r="AA3900">
        <f t="shared" si="240"/>
        <v>0</v>
      </c>
      <c r="AB3900">
        <f t="shared" si="241"/>
        <v>0</v>
      </c>
      <c r="AC3900">
        <f t="shared" si="242"/>
        <v>0</v>
      </c>
      <c r="AD3900">
        <f t="shared" si="243"/>
        <v>0</v>
      </c>
    </row>
    <row r="3901" spans="27:30" x14ac:dyDescent="0.3">
      <c r="AA3901">
        <f t="shared" si="240"/>
        <v>0</v>
      </c>
      <c r="AB3901">
        <f t="shared" si="241"/>
        <v>0</v>
      </c>
      <c r="AC3901">
        <f t="shared" si="242"/>
        <v>0</v>
      </c>
      <c r="AD3901">
        <f t="shared" si="243"/>
        <v>0</v>
      </c>
    </row>
    <row r="3902" spans="27:30" x14ac:dyDescent="0.3">
      <c r="AA3902">
        <f t="shared" si="240"/>
        <v>0</v>
      </c>
      <c r="AB3902">
        <f t="shared" si="241"/>
        <v>0</v>
      </c>
      <c r="AC3902">
        <f t="shared" si="242"/>
        <v>0</v>
      </c>
      <c r="AD3902">
        <f t="shared" si="243"/>
        <v>0</v>
      </c>
    </row>
    <row r="3903" spans="27:30" x14ac:dyDescent="0.3">
      <c r="AA3903">
        <f t="shared" si="240"/>
        <v>0</v>
      </c>
      <c r="AB3903">
        <f t="shared" si="241"/>
        <v>0</v>
      </c>
      <c r="AC3903">
        <f t="shared" si="242"/>
        <v>0</v>
      </c>
      <c r="AD3903">
        <f t="shared" si="243"/>
        <v>0</v>
      </c>
    </row>
    <row r="3904" spans="27:30" x14ac:dyDescent="0.3">
      <c r="AA3904">
        <f t="shared" si="240"/>
        <v>0</v>
      </c>
      <c r="AB3904">
        <f t="shared" si="241"/>
        <v>0</v>
      </c>
      <c r="AC3904">
        <f t="shared" si="242"/>
        <v>0</v>
      </c>
      <c r="AD3904">
        <f t="shared" si="243"/>
        <v>0</v>
      </c>
    </row>
    <row r="3905" spans="27:30" x14ac:dyDescent="0.3">
      <c r="AA3905">
        <f t="shared" si="240"/>
        <v>0</v>
      </c>
      <c r="AB3905">
        <f t="shared" si="241"/>
        <v>0</v>
      </c>
      <c r="AC3905">
        <f t="shared" si="242"/>
        <v>0</v>
      </c>
      <c r="AD3905">
        <f t="shared" si="243"/>
        <v>0</v>
      </c>
    </row>
    <row r="3906" spans="27:30" x14ac:dyDescent="0.3">
      <c r="AA3906">
        <f t="shared" si="240"/>
        <v>0</v>
      </c>
      <c r="AB3906">
        <f t="shared" si="241"/>
        <v>0</v>
      </c>
      <c r="AC3906">
        <f t="shared" si="242"/>
        <v>0</v>
      </c>
      <c r="AD3906">
        <f t="shared" si="243"/>
        <v>0</v>
      </c>
    </row>
    <row r="3907" spans="27:30" x14ac:dyDescent="0.3">
      <c r="AA3907">
        <f t="shared" si="240"/>
        <v>0</v>
      </c>
      <c r="AB3907">
        <f t="shared" si="241"/>
        <v>0</v>
      </c>
      <c r="AC3907">
        <f t="shared" si="242"/>
        <v>0</v>
      </c>
      <c r="AD3907">
        <f t="shared" si="243"/>
        <v>0</v>
      </c>
    </row>
    <row r="3908" spans="27:30" x14ac:dyDescent="0.3">
      <c r="AA3908">
        <f t="shared" si="240"/>
        <v>0</v>
      </c>
      <c r="AB3908">
        <f t="shared" si="241"/>
        <v>0</v>
      </c>
      <c r="AC3908">
        <f t="shared" si="242"/>
        <v>0</v>
      </c>
      <c r="AD3908">
        <f t="shared" si="243"/>
        <v>0</v>
      </c>
    </row>
    <row r="3909" spans="27:30" x14ac:dyDescent="0.3">
      <c r="AA3909">
        <f t="shared" ref="AA3909:AA3972" si="244">ROUND(Z3909,0)</f>
        <v>0</v>
      </c>
      <c r="AB3909">
        <f t="shared" ref="AB3909:AB3972" si="245">IF(AA3909=Y3909,0,1)</f>
        <v>0</v>
      </c>
      <c r="AC3909">
        <f t="shared" ref="AC3909:AC3972" si="246">IF(AA3909&lt;Y3909+5,IF(AA3909&gt;Y3909-5,0,1),1)</f>
        <v>0</v>
      </c>
      <c r="AD3909">
        <f t="shared" ref="AD3909:AD3972" si="247">IF(AA3909&lt;Y3909+10,IF(AA3909&gt;Y3909-10,0,1),1)</f>
        <v>0</v>
      </c>
    </row>
    <row r="3910" spans="27:30" x14ac:dyDescent="0.3">
      <c r="AA3910">
        <f t="shared" si="244"/>
        <v>0</v>
      </c>
      <c r="AB3910">
        <f t="shared" si="245"/>
        <v>0</v>
      </c>
      <c r="AC3910">
        <f t="shared" si="246"/>
        <v>0</v>
      </c>
      <c r="AD3910">
        <f t="shared" si="247"/>
        <v>0</v>
      </c>
    </row>
    <row r="3911" spans="27:30" x14ac:dyDescent="0.3">
      <c r="AA3911">
        <f t="shared" si="244"/>
        <v>0</v>
      </c>
      <c r="AB3911">
        <f t="shared" si="245"/>
        <v>0</v>
      </c>
      <c r="AC3911">
        <f t="shared" si="246"/>
        <v>0</v>
      </c>
      <c r="AD3911">
        <f t="shared" si="247"/>
        <v>0</v>
      </c>
    </row>
    <row r="3912" spans="27:30" x14ac:dyDescent="0.3">
      <c r="AA3912">
        <f t="shared" si="244"/>
        <v>0</v>
      </c>
      <c r="AB3912">
        <f t="shared" si="245"/>
        <v>0</v>
      </c>
      <c r="AC3912">
        <f t="shared" si="246"/>
        <v>0</v>
      </c>
      <c r="AD3912">
        <f t="shared" si="247"/>
        <v>0</v>
      </c>
    </row>
    <row r="3913" spans="27:30" x14ac:dyDescent="0.3">
      <c r="AA3913">
        <f t="shared" si="244"/>
        <v>0</v>
      </c>
      <c r="AB3913">
        <f t="shared" si="245"/>
        <v>0</v>
      </c>
      <c r="AC3913">
        <f t="shared" si="246"/>
        <v>0</v>
      </c>
      <c r="AD3913">
        <f t="shared" si="247"/>
        <v>0</v>
      </c>
    </row>
    <row r="3914" spans="27:30" x14ac:dyDescent="0.3">
      <c r="AA3914">
        <f t="shared" si="244"/>
        <v>0</v>
      </c>
      <c r="AB3914">
        <f t="shared" si="245"/>
        <v>0</v>
      </c>
      <c r="AC3914">
        <f t="shared" si="246"/>
        <v>0</v>
      </c>
      <c r="AD3914">
        <f t="shared" si="247"/>
        <v>0</v>
      </c>
    </row>
    <row r="3915" spans="27:30" x14ac:dyDescent="0.3">
      <c r="AA3915">
        <f t="shared" si="244"/>
        <v>0</v>
      </c>
      <c r="AB3915">
        <f t="shared" si="245"/>
        <v>0</v>
      </c>
      <c r="AC3915">
        <f t="shared" si="246"/>
        <v>0</v>
      </c>
      <c r="AD3915">
        <f t="shared" si="247"/>
        <v>0</v>
      </c>
    </row>
    <row r="3916" spans="27:30" x14ac:dyDescent="0.3">
      <c r="AA3916">
        <f t="shared" si="244"/>
        <v>0</v>
      </c>
      <c r="AB3916">
        <f t="shared" si="245"/>
        <v>0</v>
      </c>
      <c r="AC3916">
        <f t="shared" si="246"/>
        <v>0</v>
      </c>
      <c r="AD3916">
        <f t="shared" si="247"/>
        <v>0</v>
      </c>
    </row>
    <row r="3917" spans="27:30" x14ac:dyDescent="0.3">
      <c r="AA3917">
        <f t="shared" si="244"/>
        <v>0</v>
      </c>
      <c r="AB3917">
        <f t="shared" si="245"/>
        <v>0</v>
      </c>
      <c r="AC3917">
        <f t="shared" si="246"/>
        <v>0</v>
      </c>
      <c r="AD3917">
        <f t="shared" si="247"/>
        <v>0</v>
      </c>
    </row>
    <row r="3918" spans="27:30" x14ac:dyDescent="0.3">
      <c r="AA3918">
        <f t="shared" si="244"/>
        <v>0</v>
      </c>
      <c r="AB3918">
        <f t="shared" si="245"/>
        <v>0</v>
      </c>
      <c r="AC3918">
        <f t="shared" si="246"/>
        <v>0</v>
      </c>
      <c r="AD3918">
        <f t="shared" si="247"/>
        <v>0</v>
      </c>
    </row>
    <row r="3919" spans="27:30" x14ac:dyDescent="0.3">
      <c r="AA3919">
        <f t="shared" si="244"/>
        <v>0</v>
      </c>
      <c r="AB3919">
        <f t="shared" si="245"/>
        <v>0</v>
      </c>
      <c r="AC3919">
        <f t="shared" si="246"/>
        <v>0</v>
      </c>
      <c r="AD3919">
        <f t="shared" si="247"/>
        <v>0</v>
      </c>
    </row>
    <row r="3920" spans="27:30" x14ac:dyDescent="0.3">
      <c r="AA3920">
        <f t="shared" si="244"/>
        <v>0</v>
      </c>
      <c r="AB3920">
        <f t="shared" si="245"/>
        <v>0</v>
      </c>
      <c r="AC3920">
        <f t="shared" si="246"/>
        <v>0</v>
      </c>
      <c r="AD3920">
        <f t="shared" si="247"/>
        <v>0</v>
      </c>
    </row>
    <row r="3921" spans="27:30" x14ac:dyDescent="0.3">
      <c r="AA3921">
        <f t="shared" si="244"/>
        <v>0</v>
      </c>
      <c r="AB3921">
        <f t="shared" si="245"/>
        <v>0</v>
      </c>
      <c r="AC3921">
        <f t="shared" si="246"/>
        <v>0</v>
      </c>
      <c r="AD3921">
        <f t="shared" si="247"/>
        <v>0</v>
      </c>
    </row>
    <row r="3922" spans="27:30" x14ac:dyDescent="0.3">
      <c r="AA3922">
        <f t="shared" si="244"/>
        <v>0</v>
      </c>
      <c r="AB3922">
        <f t="shared" si="245"/>
        <v>0</v>
      </c>
      <c r="AC3922">
        <f t="shared" si="246"/>
        <v>0</v>
      </c>
      <c r="AD3922">
        <f t="shared" si="247"/>
        <v>0</v>
      </c>
    </row>
    <row r="3923" spans="27:30" x14ac:dyDescent="0.3">
      <c r="AA3923">
        <f t="shared" si="244"/>
        <v>0</v>
      </c>
      <c r="AB3923">
        <f t="shared" si="245"/>
        <v>0</v>
      </c>
      <c r="AC3923">
        <f t="shared" si="246"/>
        <v>0</v>
      </c>
      <c r="AD3923">
        <f t="shared" si="247"/>
        <v>0</v>
      </c>
    </row>
    <row r="3924" spans="27:30" x14ac:dyDescent="0.3">
      <c r="AA3924">
        <f t="shared" si="244"/>
        <v>0</v>
      </c>
      <c r="AB3924">
        <f t="shared" si="245"/>
        <v>0</v>
      </c>
      <c r="AC3924">
        <f t="shared" si="246"/>
        <v>0</v>
      </c>
      <c r="AD3924">
        <f t="shared" si="247"/>
        <v>0</v>
      </c>
    </row>
    <row r="3925" spans="27:30" x14ac:dyDescent="0.3">
      <c r="AA3925">
        <f t="shared" si="244"/>
        <v>0</v>
      </c>
      <c r="AB3925">
        <f t="shared" si="245"/>
        <v>0</v>
      </c>
      <c r="AC3925">
        <f t="shared" si="246"/>
        <v>0</v>
      </c>
      <c r="AD3925">
        <f t="shared" si="247"/>
        <v>0</v>
      </c>
    </row>
    <row r="3926" spans="27:30" x14ac:dyDescent="0.3">
      <c r="AA3926">
        <f t="shared" si="244"/>
        <v>0</v>
      </c>
      <c r="AB3926">
        <f t="shared" si="245"/>
        <v>0</v>
      </c>
      <c r="AC3926">
        <f t="shared" si="246"/>
        <v>0</v>
      </c>
      <c r="AD3926">
        <f t="shared" si="247"/>
        <v>0</v>
      </c>
    </row>
    <row r="3927" spans="27:30" x14ac:dyDescent="0.3">
      <c r="AA3927">
        <f t="shared" si="244"/>
        <v>0</v>
      </c>
      <c r="AB3927">
        <f t="shared" si="245"/>
        <v>0</v>
      </c>
      <c r="AC3927">
        <f t="shared" si="246"/>
        <v>0</v>
      </c>
      <c r="AD3927">
        <f t="shared" si="247"/>
        <v>0</v>
      </c>
    </row>
    <row r="3928" spans="27:30" x14ac:dyDescent="0.3">
      <c r="AA3928">
        <f t="shared" si="244"/>
        <v>0</v>
      </c>
      <c r="AB3928">
        <f t="shared" si="245"/>
        <v>0</v>
      </c>
      <c r="AC3928">
        <f t="shared" si="246"/>
        <v>0</v>
      </c>
      <c r="AD3928">
        <f t="shared" si="247"/>
        <v>0</v>
      </c>
    </row>
    <row r="3929" spans="27:30" x14ac:dyDescent="0.3">
      <c r="AA3929">
        <f t="shared" si="244"/>
        <v>0</v>
      </c>
      <c r="AB3929">
        <f t="shared" si="245"/>
        <v>0</v>
      </c>
      <c r="AC3929">
        <f t="shared" si="246"/>
        <v>0</v>
      </c>
      <c r="AD3929">
        <f t="shared" si="247"/>
        <v>0</v>
      </c>
    </row>
    <row r="3930" spans="27:30" x14ac:dyDescent="0.3">
      <c r="AA3930">
        <f t="shared" si="244"/>
        <v>0</v>
      </c>
      <c r="AB3930">
        <f t="shared" si="245"/>
        <v>0</v>
      </c>
      <c r="AC3930">
        <f t="shared" si="246"/>
        <v>0</v>
      </c>
      <c r="AD3930">
        <f t="shared" si="247"/>
        <v>0</v>
      </c>
    </row>
    <row r="3931" spans="27:30" x14ac:dyDescent="0.3">
      <c r="AA3931">
        <f t="shared" si="244"/>
        <v>0</v>
      </c>
      <c r="AB3931">
        <f t="shared" si="245"/>
        <v>0</v>
      </c>
      <c r="AC3931">
        <f t="shared" si="246"/>
        <v>0</v>
      </c>
      <c r="AD3931">
        <f t="shared" si="247"/>
        <v>0</v>
      </c>
    </row>
    <row r="3932" spans="27:30" x14ac:dyDescent="0.3">
      <c r="AA3932">
        <f t="shared" si="244"/>
        <v>0</v>
      </c>
      <c r="AB3932">
        <f t="shared" si="245"/>
        <v>0</v>
      </c>
      <c r="AC3932">
        <f t="shared" si="246"/>
        <v>0</v>
      </c>
      <c r="AD3932">
        <f t="shared" si="247"/>
        <v>0</v>
      </c>
    </row>
    <row r="3933" spans="27:30" x14ac:dyDescent="0.3">
      <c r="AA3933">
        <f t="shared" si="244"/>
        <v>0</v>
      </c>
      <c r="AB3933">
        <f t="shared" si="245"/>
        <v>0</v>
      </c>
      <c r="AC3933">
        <f t="shared" si="246"/>
        <v>0</v>
      </c>
      <c r="AD3933">
        <f t="shared" si="247"/>
        <v>0</v>
      </c>
    </row>
    <row r="3934" spans="27:30" x14ac:dyDescent="0.3">
      <c r="AA3934">
        <f t="shared" si="244"/>
        <v>0</v>
      </c>
      <c r="AB3934">
        <f t="shared" si="245"/>
        <v>0</v>
      </c>
      <c r="AC3934">
        <f t="shared" si="246"/>
        <v>0</v>
      </c>
      <c r="AD3934">
        <f t="shared" si="247"/>
        <v>0</v>
      </c>
    </row>
    <row r="3935" spans="27:30" x14ac:dyDescent="0.3">
      <c r="AA3935">
        <f t="shared" si="244"/>
        <v>0</v>
      </c>
      <c r="AB3935">
        <f t="shared" si="245"/>
        <v>0</v>
      </c>
      <c r="AC3935">
        <f t="shared" si="246"/>
        <v>0</v>
      </c>
      <c r="AD3935">
        <f t="shared" si="247"/>
        <v>0</v>
      </c>
    </row>
    <row r="3936" spans="27:30" x14ac:dyDescent="0.3">
      <c r="AA3936">
        <f t="shared" si="244"/>
        <v>0</v>
      </c>
      <c r="AB3936">
        <f t="shared" si="245"/>
        <v>0</v>
      </c>
      <c r="AC3936">
        <f t="shared" si="246"/>
        <v>0</v>
      </c>
      <c r="AD3936">
        <f t="shared" si="247"/>
        <v>0</v>
      </c>
    </row>
    <row r="3937" spans="27:30" x14ac:dyDescent="0.3">
      <c r="AA3937">
        <f t="shared" si="244"/>
        <v>0</v>
      </c>
      <c r="AB3937">
        <f t="shared" si="245"/>
        <v>0</v>
      </c>
      <c r="AC3937">
        <f t="shared" si="246"/>
        <v>0</v>
      </c>
      <c r="AD3937">
        <f t="shared" si="247"/>
        <v>0</v>
      </c>
    </row>
    <row r="3938" spans="27:30" x14ac:dyDescent="0.3">
      <c r="AA3938">
        <f t="shared" si="244"/>
        <v>0</v>
      </c>
      <c r="AB3938">
        <f t="shared" si="245"/>
        <v>0</v>
      </c>
      <c r="AC3938">
        <f t="shared" si="246"/>
        <v>0</v>
      </c>
      <c r="AD3938">
        <f t="shared" si="247"/>
        <v>0</v>
      </c>
    </row>
    <row r="3939" spans="27:30" x14ac:dyDescent="0.3">
      <c r="AA3939">
        <f t="shared" si="244"/>
        <v>0</v>
      </c>
      <c r="AB3939">
        <f t="shared" si="245"/>
        <v>0</v>
      </c>
      <c r="AC3939">
        <f t="shared" si="246"/>
        <v>0</v>
      </c>
      <c r="AD3939">
        <f t="shared" si="247"/>
        <v>0</v>
      </c>
    </row>
    <row r="3940" spans="27:30" x14ac:dyDescent="0.3">
      <c r="AA3940">
        <f t="shared" si="244"/>
        <v>0</v>
      </c>
      <c r="AB3940">
        <f t="shared" si="245"/>
        <v>0</v>
      </c>
      <c r="AC3940">
        <f t="shared" si="246"/>
        <v>0</v>
      </c>
      <c r="AD3940">
        <f t="shared" si="247"/>
        <v>0</v>
      </c>
    </row>
    <row r="3941" spans="27:30" x14ac:dyDescent="0.3">
      <c r="AA3941">
        <f t="shared" si="244"/>
        <v>0</v>
      </c>
      <c r="AB3941">
        <f t="shared" si="245"/>
        <v>0</v>
      </c>
      <c r="AC3941">
        <f t="shared" si="246"/>
        <v>0</v>
      </c>
      <c r="AD3941">
        <f t="shared" si="247"/>
        <v>0</v>
      </c>
    </row>
    <row r="3942" spans="27:30" x14ac:dyDescent="0.3">
      <c r="AA3942">
        <f t="shared" si="244"/>
        <v>0</v>
      </c>
      <c r="AB3942">
        <f t="shared" si="245"/>
        <v>0</v>
      </c>
      <c r="AC3942">
        <f t="shared" si="246"/>
        <v>0</v>
      </c>
      <c r="AD3942">
        <f t="shared" si="247"/>
        <v>0</v>
      </c>
    </row>
    <row r="3943" spans="27:30" x14ac:dyDescent="0.3">
      <c r="AA3943">
        <f t="shared" si="244"/>
        <v>0</v>
      </c>
      <c r="AB3943">
        <f t="shared" si="245"/>
        <v>0</v>
      </c>
      <c r="AC3943">
        <f t="shared" si="246"/>
        <v>0</v>
      </c>
      <c r="AD3943">
        <f t="shared" si="247"/>
        <v>0</v>
      </c>
    </row>
    <row r="3944" spans="27:30" x14ac:dyDescent="0.3">
      <c r="AA3944">
        <f t="shared" si="244"/>
        <v>0</v>
      </c>
      <c r="AB3944">
        <f t="shared" si="245"/>
        <v>0</v>
      </c>
      <c r="AC3944">
        <f t="shared" si="246"/>
        <v>0</v>
      </c>
      <c r="AD3944">
        <f t="shared" si="247"/>
        <v>0</v>
      </c>
    </row>
    <row r="3945" spans="27:30" x14ac:dyDescent="0.3">
      <c r="AA3945">
        <f t="shared" si="244"/>
        <v>0</v>
      </c>
      <c r="AB3945">
        <f t="shared" si="245"/>
        <v>0</v>
      </c>
      <c r="AC3945">
        <f t="shared" si="246"/>
        <v>0</v>
      </c>
      <c r="AD3945">
        <f t="shared" si="247"/>
        <v>0</v>
      </c>
    </row>
    <row r="3946" spans="27:30" x14ac:dyDescent="0.3">
      <c r="AA3946">
        <f t="shared" si="244"/>
        <v>0</v>
      </c>
      <c r="AB3946">
        <f t="shared" si="245"/>
        <v>0</v>
      </c>
      <c r="AC3946">
        <f t="shared" si="246"/>
        <v>0</v>
      </c>
      <c r="AD3946">
        <f t="shared" si="247"/>
        <v>0</v>
      </c>
    </row>
    <row r="3947" spans="27:30" x14ac:dyDescent="0.3">
      <c r="AA3947">
        <f t="shared" si="244"/>
        <v>0</v>
      </c>
      <c r="AB3947">
        <f t="shared" si="245"/>
        <v>0</v>
      </c>
      <c r="AC3947">
        <f t="shared" si="246"/>
        <v>0</v>
      </c>
      <c r="AD3947">
        <f t="shared" si="247"/>
        <v>0</v>
      </c>
    </row>
    <row r="3948" spans="27:30" x14ac:dyDescent="0.3">
      <c r="AA3948">
        <f t="shared" si="244"/>
        <v>0</v>
      </c>
      <c r="AB3948">
        <f t="shared" si="245"/>
        <v>0</v>
      </c>
      <c r="AC3948">
        <f t="shared" si="246"/>
        <v>0</v>
      </c>
      <c r="AD3948">
        <f t="shared" si="247"/>
        <v>0</v>
      </c>
    </row>
    <row r="3949" spans="27:30" x14ac:dyDescent="0.3">
      <c r="AA3949">
        <f t="shared" si="244"/>
        <v>0</v>
      </c>
      <c r="AB3949">
        <f t="shared" si="245"/>
        <v>0</v>
      </c>
      <c r="AC3949">
        <f t="shared" si="246"/>
        <v>0</v>
      </c>
      <c r="AD3949">
        <f t="shared" si="247"/>
        <v>0</v>
      </c>
    </row>
    <row r="3950" spans="27:30" x14ac:dyDescent="0.3">
      <c r="AA3950">
        <f t="shared" si="244"/>
        <v>0</v>
      </c>
      <c r="AB3950">
        <f t="shared" si="245"/>
        <v>0</v>
      </c>
      <c r="AC3950">
        <f t="shared" si="246"/>
        <v>0</v>
      </c>
      <c r="AD3950">
        <f t="shared" si="247"/>
        <v>0</v>
      </c>
    </row>
    <row r="3951" spans="27:30" x14ac:dyDescent="0.3">
      <c r="AA3951">
        <f t="shared" si="244"/>
        <v>0</v>
      </c>
      <c r="AB3951">
        <f t="shared" si="245"/>
        <v>0</v>
      </c>
      <c r="AC3951">
        <f t="shared" si="246"/>
        <v>0</v>
      </c>
      <c r="AD3951">
        <f t="shared" si="247"/>
        <v>0</v>
      </c>
    </row>
    <row r="3952" spans="27:30" x14ac:dyDescent="0.3">
      <c r="AA3952">
        <f t="shared" si="244"/>
        <v>0</v>
      </c>
      <c r="AB3952">
        <f t="shared" si="245"/>
        <v>0</v>
      </c>
      <c r="AC3952">
        <f t="shared" si="246"/>
        <v>0</v>
      </c>
      <c r="AD3952">
        <f t="shared" si="247"/>
        <v>0</v>
      </c>
    </row>
    <row r="3953" spans="27:30" x14ac:dyDescent="0.3">
      <c r="AA3953">
        <f t="shared" si="244"/>
        <v>0</v>
      </c>
      <c r="AB3953">
        <f t="shared" si="245"/>
        <v>0</v>
      </c>
      <c r="AC3953">
        <f t="shared" si="246"/>
        <v>0</v>
      </c>
      <c r="AD3953">
        <f t="shared" si="247"/>
        <v>0</v>
      </c>
    </row>
    <row r="3954" spans="27:30" x14ac:dyDescent="0.3">
      <c r="AA3954">
        <f t="shared" si="244"/>
        <v>0</v>
      </c>
      <c r="AB3954">
        <f t="shared" si="245"/>
        <v>0</v>
      </c>
      <c r="AC3954">
        <f t="shared" si="246"/>
        <v>0</v>
      </c>
      <c r="AD3954">
        <f t="shared" si="247"/>
        <v>0</v>
      </c>
    </row>
    <row r="3955" spans="27:30" x14ac:dyDescent="0.3">
      <c r="AA3955">
        <f t="shared" si="244"/>
        <v>0</v>
      </c>
      <c r="AB3955">
        <f t="shared" si="245"/>
        <v>0</v>
      </c>
      <c r="AC3955">
        <f t="shared" si="246"/>
        <v>0</v>
      </c>
      <c r="AD3955">
        <f t="shared" si="247"/>
        <v>0</v>
      </c>
    </row>
    <row r="3956" spans="27:30" x14ac:dyDescent="0.3">
      <c r="AA3956">
        <f t="shared" si="244"/>
        <v>0</v>
      </c>
      <c r="AB3956">
        <f t="shared" si="245"/>
        <v>0</v>
      </c>
      <c r="AC3956">
        <f t="shared" si="246"/>
        <v>0</v>
      </c>
      <c r="AD3956">
        <f t="shared" si="247"/>
        <v>0</v>
      </c>
    </row>
    <row r="3957" spans="27:30" x14ac:dyDescent="0.3">
      <c r="AA3957">
        <f t="shared" si="244"/>
        <v>0</v>
      </c>
      <c r="AB3957">
        <f t="shared" si="245"/>
        <v>0</v>
      </c>
      <c r="AC3957">
        <f t="shared" si="246"/>
        <v>0</v>
      </c>
      <c r="AD3957">
        <f t="shared" si="247"/>
        <v>0</v>
      </c>
    </row>
    <row r="3958" spans="27:30" x14ac:dyDescent="0.3">
      <c r="AA3958">
        <f t="shared" si="244"/>
        <v>0</v>
      </c>
      <c r="AB3958">
        <f t="shared" si="245"/>
        <v>0</v>
      </c>
      <c r="AC3958">
        <f t="shared" si="246"/>
        <v>0</v>
      </c>
      <c r="AD3958">
        <f t="shared" si="247"/>
        <v>0</v>
      </c>
    </row>
    <row r="3959" spans="27:30" x14ac:dyDescent="0.3">
      <c r="AA3959">
        <f t="shared" si="244"/>
        <v>0</v>
      </c>
      <c r="AB3959">
        <f t="shared" si="245"/>
        <v>0</v>
      </c>
      <c r="AC3959">
        <f t="shared" si="246"/>
        <v>0</v>
      </c>
      <c r="AD3959">
        <f t="shared" si="247"/>
        <v>0</v>
      </c>
    </row>
    <row r="3960" spans="27:30" x14ac:dyDescent="0.3">
      <c r="AA3960">
        <f t="shared" si="244"/>
        <v>0</v>
      </c>
      <c r="AB3960">
        <f t="shared" si="245"/>
        <v>0</v>
      </c>
      <c r="AC3960">
        <f t="shared" si="246"/>
        <v>0</v>
      </c>
      <c r="AD3960">
        <f t="shared" si="247"/>
        <v>0</v>
      </c>
    </row>
    <row r="3961" spans="27:30" x14ac:dyDescent="0.3">
      <c r="AA3961">
        <f t="shared" si="244"/>
        <v>0</v>
      </c>
      <c r="AB3961">
        <f t="shared" si="245"/>
        <v>0</v>
      </c>
      <c r="AC3961">
        <f t="shared" si="246"/>
        <v>0</v>
      </c>
      <c r="AD3961">
        <f t="shared" si="247"/>
        <v>0</v>
      </c>
    </row>
    <row r="3962" spans="27:30" x14ac:dyDescent="0.3">
      <c r="AA3962">
        <f t="shared" si="244"/>
        <v>0</v>
      </c>
      <c r="AB3962">
        <f t="shared" si="245"/>
        <v>0</v>
      </c>
      <c r="AC3962">
        <f t="shared" si="246"/>
        <v>0</v>
      </c>
      <c r="AD3962">
        <f t="shared" si="247"/>
        <v>0</v>
      </c>
    </row>
    <row r="3963" spans="27:30" x14ac:dyDescent="0.3">
      <c r="AA3963">
        <f t="shared" si="244"/>
        <v>0</v>
      </c>
      <c r="AB3963">
        <f t="shared" si="245"/>
        <v>0</v>
      </c>
      <c r="AC3963">
        <f t="shared" si="246"/>
        <v>0</v>
      </c>
      <c r="AD3963">
        <f t="shared" si="247"/>
        <v>0</v>
      </c>
    </row>
    <row r="3964" spans="27:30" x14ac:dyDescent="0.3">
      <c r="AA3964">
        <f t="shared" si="244"/>
        <v>0</v>
      </c>
      <c r="AB3964">
        <f t="shared" si="245"/>
        <v>0</v>
      </c>
      <c r="AC3964">
        <f t="shared" si="246"/>
        <v>0</v>
      </c>
      <c r="AD3964">
        <f t="shared" si="247"/>
        <v>0</v>
      </c>
    </row>
    <row r="3965" spans="27:30" x14ac:dyDescent="0.3">
      <c r="AA3965">
        <f t="shared" si="244"/>
        <v>0</v>
      </c>
      <c r="AB3965">
        <f t="shared" si="245"/>
        <v>0</v>
      </c>
      <c r="AC3965">
        <f t="shared" si="246"/>
        <v>0</v>
      </c>
      <c r="AD3965">
        <f t="shared" si="247"/>
        <v>0</v>
      </c>
    </row>
    <row r="3966" spans="27:30" x14ac:dyDescent="0.3">
      <c r="AA3966">
        <f t="shared" si="244"/>
        <v>0</v>
      </c>
      <c r="AB3966">
        <f t="shared" si="245"/>
        <v>0</v>
      </c>
      <c r="AC3966">
        <f t="shared" si="246"/>
        <v>0</v>
      </c>
      <c r="AD3966">
        <f t="shared" si="247"/>
        <v>0</v>
      </c>
    </row>
    <row r="3967" spans="27:30" x14ac:dyDescent="0.3">
      <c r="AA3967">
        <f t="shared" si="244"/>
        <v>0</v>
      </c>
      <c r="AB3967">
        <f t="shared" si="245"/>
        <v>0</v>
      </c>
      <c r="AC3967">
        <f t="shared" si="246"/>
        <v>0</v>
      </c>
      <c r="AD3967">
        <f t="shared" si="247"/>
        <v>0</v>
      </c>
    </row>
    <row r="3968" spans="27:30" x14ac:dyDescent="0.3">
      <c r="AA3968">
        <f t="shared" si="244"/>
        <v>0</v>
      </c>
      <c r="AB3968">
        <f t="shared" si="245"/>
        <v>0</v>
      </c>
      <c r="AC3968">
        <f t="shared" si="246"/>
        <v>0</v>
      </c>
      <c r="AD3968">
        <f t="shared" si="247"/>
        <v>0</v>
      </c>
    </row>
    <row r="3969" spans="27:30" x14ac:dyDescent="0.3">
      <c r="AA3969">
        <f t="shared" si="244"/>
        <v>0</v>
      </c>
      <c r="AB3969">
        <f t="shared" si="245"/>
        <v>0</v>
      </c>
      <c r="AC3969">
        <f t="shared" si="246"/>
        <v>0</v>
      </c>
      <c r="AD3969">
        <f t="shared" si="247"/>
        <v>0</v>
      </c>
    </row>
    <row r="3970" spans="27:30" x14ac:dyDescent="0.3">
      <c r="AA3970">
        <f t="shared" si="244"/>
        <v>0</v>
      </c>
      <c r="AB3970">
        <f t="shared" si="245"/>
        <v>0</v>
      </c>
      <c r="AC3970">
        <f t="shared" si="246"/>
        <v>0</v>
      </c>
      <c r="AD3970">
        <f t="shared" si="247"/>
        <v>0</v>
      </c>
    </row>
    <row r="3971" spans="27:30" x14ac:dyDescent="0.3">
      <c r="AA3971">
        <f t="shared" si="244"/>
        <v>0</v>
      </c>
      <c r="AB3971">
        <f t="shared" si="245"/>
        <v>0</v>
      </c>
      <c r="AC3971">
        <f t="shared" si="246"/>
        <v>0</v>
      </c>
      <c r="AD3971">
        <f t="shared" si="247"/>
        <v>0</v>
      </c>
    </row>
    <row r="3972" spans="27:30" x14ac:dyDescent="0.3">
      <c r="AA3972">
        <f t="shared" si="244"/>
        <v>0</v>
      </c>
      <c r="AB3972">
        <f t="shared" si="245"/>
        <v>0</v>
      </c>
      <c r="AC3972">
        <f t="shared" si="246"/>
        <v>0</v>
      </c>
      <c r="AD3972">
        <f t="shared" si="247"/>
        <v>0</v>
      </c>
    </row>
    <row r="3973" spans="27:30" x14ac:dyDescent="0.3">
      <c r="AA3973">
        <f t="shared" ref="AA3973:AA3975" si="248">ROUND(Z3973,0)</f>
        <v>0</v>
      </c>
      <c r="AB3973">
        <f t="shared" ref="AB3973:AB3975" si="249">IF(AA3973=Y3973,0,1)</f>
        <v>0</v>
      </c>
      <c r="AC3973">
        <f t="shared" ref="AC3973:AC3975" si="250">IF(AA3973&lt;Y3973+5,IF(AA3973&gt;Y3973-5,0,1),1)</f>
        <v>0</v>
      </c>
      <c r="AD3973">
        <f t="shared" ref="AD3973:AD3975" si="251">IF(AA3973&lt;Y3973+10,IF(AA3973&gt;Y3973-10,0,1),1)</f>
        <v>0</v>
      </c>
    </row>
    <row r="3974" spans="27:30" x14ac:dyDescent="0.3">
      <c r="AA3974">
        <f t="shared" si="248"/>
        <v>0</v>
      </c>
      <c r="AB3974">
        <f t="shared" si="249"/>
        <v>0</v>
      </c>
      <c r="AC3974">
        <f t="shared" si="250"/>
        <v>0</v>
      </c>
      <c r="AD3974">
        <f t="shared" si="251"/>
        <v>0</v>
      </c>
    </row>
    <row r="3975" spans="27:30" x14ac:dyDescent="0.3">
      <c r="AA3975">
        <f t="shared" si="248"/>
        <v>0</v>
      </c>
      <c r="AB3975">
        <f t="shared" si="249"/>
        <v>0</v>
      </c>
      <c r="AC3975">
        <f t="shared" si="250"/>
        <v>0</v>
      </c>
      <c r="AD3975">
        <f t="shared" si="251"/>
        <v>0</v>
      </c>
    </row>
  </sheetData>
  <mergeCells count="3">
    <mergeCell ref="AH4:AH7"/>
    <mergeCell ref="AH11:AH14"/>
    <mergeCell ref="AH18:AH21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R3986"/>
  <sheetViews>
    <sheetView workbookViewId="0"/>
  </sheetViews>
  <sheetFormatPr defaultRowHeight="14.4" x14ac:dyDescent="0.3"/>
  <cols>
    <col min="1" max="1" width="13.109375" bestFit="1" customWidth="1"/>
    <col min="2" max="2" width="6.44140625" bestFit="1" customWidth="1"/>
    <col min="3" max="3" width="5.5546875" bestFit="1" customWidth="1"/>
    <col min="4" max="4" width="6.44140625" bestFit="1" customWidth="1"/>
    <col min="5" max="5" width="6" bestFit="1" customWidth="1"/>
    <col min="6" max="6" width="5.5546875" bestFit="1" customWidth="1"/>
    <col min="7" max="7" width="6" bestFit="1" customWidth="1"/>
    <col min="8" max="8" width="6.33203125" bestFit="1" customWidth="1"/>
    <col min="9" max="9" width="11" bestFit="1" customWidth="1"/>
    <col min="10" max="11" width="5.5546875" bestFit="1" customWidth="1"/>
  </cols>
  <sheetData>
    <row r="1" spans="1:18" x14ac:dyDescent="0.3">
      <c r="A1" t="s">
        <v>4</v>
      </c>
      <c r="B1" t="s">
        <v>172</v>
      </c>
      <c r="C1" t="s">
        <v>167</v>
      </c>
      <c r="D1" t="s">
        <v>168</v>
      </c>
      <c r="E1" t="s">
        <v>169</v>
      </c>
      <c r="F1" t="s">
        <v>170</v>
      </c>
      <c r="G1" t="s">
        <v>157</v>
      </c>
      <c r="H1" t="s">
        <v>158</v>
      </c>
      <c r="I1" t="s">
        <v>160</v>
      </c>
    </row>
    <row r="2" spans="1:18" x14ac:dyDescent="0.3">
      <c r="A2" t="s">
        <v>80</v>
      </c>
      <c r="B2">
        <v>1</v>
      </c>
      <c r="C2">
        <v>0</v>
      </c>
      <c r="D2">
        <v>0</v>
      </c>
      <c r="E2">
        <v>1</v>
      </c>
      <c r="F2">
        <v>0</v>
      </c>
      <c r="G2">
        <v>1</v>
      </c>
      <c r="H2">
        <v>151</v>
      </c>
      <c r="I2">
        <v>146.35642999999999</v>
      </c>
    </row>
    <row r="3" spans="1:18" x14ac:dyDescent="0.3">
      <c r="A3" t="s">
        <v>80</v>
      </c>
      <c r="B3">
        <v>2</v>
      </c>
      <c r="C3">
        <v>1</v>
      </c>
      <c r="D3">
        <v>0</v>
      </c>
      <c r="E3">
        <v>0</v>
      </c>
      <c r="F3">
        <v>0</v>
      </c>
      <c r="G3">
        <v>2</v>
      </c>
      <c r="H3">
        <v>49</v>
      </c>
      <c r="I3">
        <v>52.66375</v>
      </c>
      <c r="Q3" s="31"/>
      <c r="R3" s="31"/>
    </row>
    <row r="4" spans="1:18" x14ac:dyDescent="0.3">
      <c r="A4" t="s">
        <v>20</v>
      </c>
      <c r="B4">
        <v>8</v>
      </c>
      <c r="C4">
        <v>1</v>
      </c>
      <c r="D4">
        <v>0</v>
      </c>
      <c r="E4">
        <v>0</v>
      </c>
      <c r="F4">
        <v>0</v>
      </c>
      <c r="G4">
        <v>8</v>
      </c>
      <c r="H4">
        <v>2</v>
      </c>
      <c r="I4">
        <v>0.29108000000000001</v>
      </c>
      <c r="Q4" s="31"/>
      <c r="R4" s="31"/>
    </row>
    <row r="5" spans="1:18" x14ac:dyDescent="0.3">
      <c r="A5" t="s">
        <v>20</v>
      </c>
      <c r="B5">
        <v>9</v>
      </c>
      <c r="C5">
        <v>0</v>
      </c>
      <c r="D5">
        <v>0</v>
      </c>
      <c r="E5">
        <v>1</v>
      </c>
      <c r="F5">
        <v>0</v>
      </c>
      <c r="G5">
        <v>9</v>
      </c>
      <c r="H5">
        <v>2</v>
      </c>
      <c r="I5">
        <v>6.4439999999999997E-2</v>
      </c>
      <c r="Q5" s="31"/>
      <c r="R5" s="31"/>
    </row>
    <row r="6" spans="1:18" x14ac:dyDescent="0.3">
      <c r="A6" t="s">
        <v>20</v>
      </c>
      <c r="B6">
        <v>10</v>
      </c>
      <c r="C6">
        <v>0</v>
      </c>
      <c r="D6">
        <v>0</v>
      </c>
      <c r="E6">
        <v>0</v>
      </c>
      <c r="F6">
        <v>1</v>
      </c>
      <c r="G6">
        <v>10</v>
      </c>
      <c r="H6">
        <v>2</v>
      </c>
      <c r="I6">
        <v>0.12881000000000001</v>
      </c>
      <c r="Q6" s="31"/>
      <c r="R6" s="31"/>
    </row>
    <row r="7" spans="1:18" x14ac:dyDescent="0.3">
      <c r="A7" t="s">
        <v>109</v>
      </c>
      <c r="B7">
        <v>11</v>
      </c>
      <c r="C7">
        <v>0</v>
      </c>
      <c r="D7">
        <v>1</v>
      </c>
      <c r="E7">
        <v>0</v>
      </c>
      <c r="F7">
        <v>0</v>
      </c>
      <c r="G7">
        <v>11</v>
      </c>
      <c r="H7">
        <v>12</v>
      </c>
      <c r="I7">
        <v>9.2748600000000003</v>
      </c>
      <c r="Q7" s="31"/>
      <c r="R7" s="31"/>
    </row>
    <row r="8" spans="1:18" x14ac:dyDescent="0.3">
      <c r="A8" t="s">
        <v>109</v>
      </c>
      <c r="B8">
        <v>12</v>
      </c>
      <c r="C8">
        <v>0</v>
      </c>
      <c r="D8">
        <v>0</v>
      </c>
      <c r="E8">
        <v>1</v>
      </c>
      <c r="F8">
        <v>0</v>
      </c>
      <c r="G8">
        <v>12</v>
      </c>
      <c r="H8">
        <v>42</v>
      </c>
      <c r="I8">
        <v>47.109740000000002</v>
      </c>
      <c r="Q8" s="31"/>
      <c r="R8" s="31"/>
    </row>
    <row r="9" spans="1:18" x14ac:dyDescent="0.3">
      <c r="A9" t="s">
        <v>81</v>
      </c>
      <c r="B9">
        <v>14</v>
      </c>
      <c r="C9">
        <v>1</v>
      </c>
      <c r="D9">
        <v>0</v>
      </c>
      <c r="E9">
        <v>0</v>
      </c>
      <c r="F9">
        <v>0</v>
      </c>
      <c r="G9">
        <v>14</v>
      </c>
      <c r="H9">
        <v>94</v>
      </c>
      <c r="I9">
        <v>61.250430000000001</v>
      </c>
      <c r="Q9" s="31"/>
    </row>
    <row r="10" spans="1:18" x14ac:dyDescent="0.3">
      <c r="A10" t="s">
        <v>81</v>
      </c>
      <c r="B10">
        <v>15</v>
      </c>
      <c r="C10">
        <v>0</v>
      </c>
      <c r="D10">
        <v>0</v>
      </c>
      <c r="E10">
        <v>1</v>
      </c>
      <c r="F10">
        <v>0</v>
      </c>
      <c r="G10">
        <v>15</v>
      </c>
      <c r="H10">
        <v>180</v>
      </c>
      <c r="I10">
        <v>169.56334000000001</v>
      </c>
      <c r="Q10" s="31"/>
    </row>
    <row r="11" spans="1:18" x14ac:dyDescent="0.3">
      <c r="A11" t="s">
        <v>50</v>
      </c>
      <c r="B11">
        <v>18</v>
      </c>
      <c r="C11">
        <v>1</v>
      </c>
      <c r="D11">
        <v>0</v>
      </c>
      <c r="E11">
        <v>0</v>
      </c>
      <c r="F11">
        <v>0</v>
      </c>
      <c r="G11">
        <v>18</v>
      </c>
      <c r="H11">
        <v>11</v>
      </c>
      <c r="I11">
        <v>11.23176</v>
      </c>
      <c r="Q11" s="31"/>
    </row>
    <row r="12" spans="1:18" x14ac:dyDescent="0.3">
      <c r="A12" t="s">
        <v>50</v>
      </c>
      <c r="B12">
        <v>19</v>
      </c>
      <c r="C12">
        <v>0</v>
      </c>
      <c r="D12">
        <v>0</v>
      </c>
      <c r="E12">
        <v>1</v>
      </c>
      <c r="F12">
        <v>0</v>
      </c>
      <c r="G12">
        <v>19</v>
      </c>
      <c r="H12">
        <v>37</v>
      </c>
      <c r="I12">
        <v>38.057409999999997</v>
      </c>
      <c r="Q12" s="31"/>
    </row>
    <row r="13" spans="1:18" x14ac:dyDescent="0.3">
      <c r="A13" t="s">
        <v>21</v>
      </c>
      <c r="B13">
        <v>21</v>
      </c>
      <c r="C13">
        <v>0</v>
      </c>
      <c r="D13">
        <v>0</v>
      </c>
      <c r="E13">
        <v>0</v>
      </c>
      <c r="F13">
        <v>1</v>
      </c>
      <c r="G13">
        <v>21</v>
      </c>
      <c r="H13">
        <v>6</v>
      </c>
      <c r="I13">
        <v>9.7500000000000003E-2</v>
      </c>
      <c r="Q13" s="31"/>
    </row>
    <row r="14" spans="1:18" x14ac:dyDescent="0.3">
      <c r="A14" t="s">
        <v>110</v>
      </c>
      <c r="B14">
        <v>23</v>
      </c>
      <c r="C14">
        <v>0</v>
      </c>
      <c r="D14">
        <v>1</v>
      </c>
      <c r="E14">
        <v>0</v>
      </c>
      <c r="F14">
        <v>0</v>
      </c>
      <c r="G14">
        <v>23</v>
      </c>
      <c r="H14">
        <v>15</v>
      </c>
      <c r="I14">
        <v>6.41</v>
      </c>
      <c r="Q14" s="31"/>
    </row>
    <row r="15" spans="1:18" x14ac:dyDescent="0.3">
      <c r="A15" t="s">
        <v>110</v>
      </c>
      <c r="B15">
        <v>24</v>
      </c>
      <c r="C15">
        <v>0</v>
      </c>
      <c r="D15">
        <v>0</v>
      </c>
      <c r="E15">
        <v>1</v>
      </c>
      <c r="F15">
        <v>0</v>
      </c>
      <c r="G15">
        <v>24</v>
      </c>
      <c r="H15">
        <v>44</v>
      </c>
      <c r="I15">
        <v>45.120800000000003</v>
      </c>
      <c r="Q15" s="31"/>
    </row>
    <row r="16" spans="1:18" x14ac:dyDescent="0.3">
      <c r="A16" t="s">
        <v>82</v>
      </c>
      <c r="B16">
        <v>26</v>
      </c>
      <c r="C16">
        <v>0</v>
      </c>
      <c r="D16">
        <v>0</v>
      </c>
      <c r="E16">
        <v>1</v>
      </c>
      <c r="F16">
        <v>0</v>
      </c>
      <c r="G16">
        <v>26</v>
      </c>
      <c r="H16">
        <v>54</v>
      </c>
      <c r="I16">
        <v>41.580509999999997</v>
      </c>
      <c r="Q16" s="31"/>
    </row>
    <row r="17" spans="1:17" x14ac:dyDescent="0.3">
      <c r="A17" t="s">
        <v>22</v>
      </c>
      <c r="B17">
        <v>34</v>
      </c>
      <c r="C17">
        <v>0</v>
      </c>
      <c r="D17">
        <v>1</v>
      </c>
      <c r="E17">
        <v>0</v>
      </c>
      <c r="F17">
        <v>0</v>
      </c>
      <c r="G17">
        <v>34</v>
      </c>
      <c r="H17">
        <v>1</v>
      </c>
      <c r="I17">
        <v>0.15565000000000001</v>
      </c>
      <c r="Q17" s="31"/>
    </row>
    <row r="18" spans="1:17" x14ac:dyDescent="0.3">
      <c r="A18" t="s">
        <v>22</v>
      </c>
      <c r="B18">
        <v>35</v>
      </c>
      <c r="C18">
        <v>0</v>
      </c>
      <c r="D18">
        <v>0</v>
      </c>
      <c r="E18">
        <v>1</v>
      </c>
      <c r="F18">
        <v>0</v>
      </c>
      <c r="G18">
        <v>35</v>
      </c>
      <c r="H18">
        <v>8</v>
      </c>
      <c r="I18">
        <v>0.69671000000000005</v>
      </c>
      <c r="Q18" s="31"/>
    </row>
    <row r="19" spans="1:17" x14ac:dyDescent="0.3">
      <c r="A19" t="s">
        <v>111</v>
      </c>
      <c r="B19">
        <v>37</v>
      </c>
      <c r="C19">
        <v>0</v>
      </c>
      <c r="D19">
        <v>1</v>
      </c>
      <c r="E19">
        <v>0</v>
      </c>
      <c r="F19">
        <v>0</v>
      </c>
      <c r="G19">
        <v>37</v>
      </c>
      <c r="H19">
        <v>6</v>
      </c>
      <c r="I19">
        <v>10.31427</v>
      </c>
      <c r="Q19" s="31"/>
    </row>
    <row r="20" spans="1:17" x14ac:dyDescent="0.3">
      <c r="A20" t="s">
        <v>111</v>
      </c>
      <c r="B20">
        <v>38</v>
      </c>
      <c r="C20">
        <v>0</v>
      </c>
      <c r="D20">
        <v>0</v>
      </c>
      <c r="E20">
        <v>1</v>
      </c>
      <c r="F20">
        <v>0</v>
      </c>
      <c r="G20">
        <v>38</v>
      </c>
      <c r="H20">
        <v>21</v>
      </c>
      <c r="I20">
        <v>47.152520000000003</v>
      </c>
      <c r="Q20" s="31"/>
    </row>
    <row r="21" spans="1:17" x14ac:dyDescent="0.3">
      <c r="A21" t="s">
        <v>111</v>
      </c>
      <c r="B21">
        <v>39</v>
      </c>
      <c r="C21">
        <v>0</v>
      </c>
      <c r="D21">
        <v>0</v>
      </c>
      <c r="E21">
        <v>0</v>
      </c>
      <c r="F21">
        <v>1</v>
      </c>
      <c r="G21">
        <v>39</v>
      </c>
      <c r="H21">
        <v>21</v>
      </c>
      <c r="I21">
        <v>42.958530000000003</v>
      </c>
      <c r="Q21" s="31"/>
    </row>
    <row r="22" spans="1:17" x14ac:dyDescent="0.3">
      <c r="A22" t="s">
        <v>83</v>
      </c>
      <c r="B22">
        <v>40</v>
      </c>
      <c r="C22">
        <v>0</v>
      </c>
      <c r="D22">
        <v>1</v>
      </c>
      <c r="E22">
        <v>0</v>
      </c>
      <c r="F22">
        <v>0</v>
      </c>
      <c r="G22">
        <v>40</v>
      </c>
      <c r="H22">
        <v>4</v>
      </c>
      <c r="I22">
        <v>6.8627599999999997</v>
      </c>
      <c r="Q22" s="31"/>
    </row>
    <row r="23" spans="1:17" x14ac:dyDescent="0.3">
      <c r="A23" t="s">
        <v>83</v>
      </c>
      <c r="B23">
        <v>41</v>
      </c>
      <c r="C23">
        <v>0</v>
      </c>
      <c r="D23">
        <v>0</v>
      </c>
      <c r="E23">
        <v>0</v>
      </c>
      <c r="F23">
        <v>1</v>
      </c>
      <c r="G23">
        <v>41</v>
      </c>
      <c r="H23">
        <v>22</v>
      </c>
      <c r="I23">
        <v>19.203240000000001</v>
      </c>
      <c r="Q23" s="31"/>
    </row>
    <row r="24" spans="1:17" x14ac:dyDescent="0.3">
      <c r="A24" t="s">
        <v>83</v>
      </c>
      <c r="B24">
        <v>42</v>
      </c>
      <c r="C24">
        <v>0</v>
      </c>
      <c r="D24">
        <v>0</v>
      </c>
      <c r="E24">
        <v>1</v>
      </c>
      <c r="F24">
        <v>0</v>
      </c>
      <c r="G24">
        <v>42</v>
      </c>
      <c r="H24">
        <v>22</v>
      </c>
      <c r="I24">
        <v>21.201059999999998</v>
      </c>
      <c r="Q24" s="31"/>
    </row>
    <row r="25" spans="1:17" x14ac:dyDescent="0.3">
      <c r="A25" t="s">
        <v>83</v>
      </c>
      <c r="B25">
        <v>43</v>
      </c>
      <c r="C25">
        <v>1</v>
      </c>
      <c r="D25">
        <v>0</v>
      </c>
      <c r="E25">
        <v>0</v>
      </c>
      <c r="F25">
        <v>0</v>
      </c>
      <c r="G25">
        <v>43</v>
      </c>
      <c r="H25">
        <v>3</v>
      </c>
      <c r="I25">
        <v>1.3694999999999999</v>
      </c>
      <c r="Q25" s="31"/>
    </row>
    <row r="26" spans="1:17" x14ac:dyDescent="0.3">
      <c r="A26" t="s">
        <v>52</v>
      </c>
      <c r="B26">
        <v>44</v>
      </c>
      <c r="C26">
        <v>0</v>
      </c>
      <c r="D26">
        <v>1</v>
      </c>
      <c r="E26">
        <v>0</v>
      </c>
      <c r="F26">
        <v>0</v>
      </c>
      <c r="G26">
        <v>44</v>
      </c>
      <c r="H26">
        <v>11</v>
      </c>
      <c r="I26">
        <v>6.6600400000000004</v>
      </c>
      <c r="Q26" s="31"/>
    </row>
    <row r="27" spans="1:17" x14ac:dyDescent="0.3">
      <c r="A27" t="s">
        <v>52</v>
      </c>
      <c r="B27">
        <v>45</v>
      </c>
      <c r="C27">
        <v>0</v>
      </c>
      <c r="D27">
        <v>0</v>
      </c>
      <c r="E27">
        <v>1</v>
      </c>
      <c r="F27">
        <v>0</v>
      </c>
      <c r="G27">
        <v>45</v>
      </c>
      <c r="H27">
        <v>35</v>
      </c>
      <c r="I27">
        <v>30.187139999999999</v>
      </c>
      <c r="Q27" s="31"/>
    </row>
    <row r="28" spans="1:17" x14ac:dyDescent="0.3">
      <c r="A28" t="s">
        <v>23</v>
      </c>
      <c r="B28">
        <v>48</v>
      </c>
      <c r="C28">
        <v>0</v>
      </c>
      <c r="D28">
        <v>1</v>
      </c>
      <c r="E28">
        <v>0</v>
      </c>
      <c r="F28">
        <v>0</v>
      </c>
      <c r="G28">
        <v>48</v>
      </c>
      <c r="H28">
        <v>4</v>
      </c>
      <c r="I28">
        <v>3.3603399999999999</v>
      </c>
      <c r="Q28" s="31"/>
    </row>
    <row r="29" spans="1:17" x14ac:dyDescent="0.3">
      <c r="A29" t="s">
        <v>23</v>
      </c>
      <c r="B29">
        <v>49</v>
      </c>
      <c r="C29">
        <v>0</v>
      </c>
      <c r="D29">
        <v>0</v>
      </c>
      <c r="E29">
        <v>1</v>
      </c>
      <c r="F29">
        <v>0</v>
      </c>
      <c r="G29">
        <v>49</v>
      </c>
      <c r="H29">
        <v>10</v>
      </c>
      <c r="I29">
        <v>24.482379999999999</v>
      </c>
      <c r="Q29" s="31"/>
    </row>
    <row r="30" spans="1:17" x14ac:dyDescent="0.3">
      <c r="A30" t="s">
        <v>23</v>
      </c>
      <c r="B30">
        <v>50</v>
      </c>
      <c r="C30">
        <v>0</v>
      </c>
      <c r="D30">
        <v>0</v>
      </c>
      <c r="E30">
        <v>0</v>
      </c>
      <c r="F30">
        <v>1</v>
      </c>
      <c r="G30">
        <v>50</v>
      </c>
      <c r="H30">
        <v>10</v>
      </c>
      <c r="I30">
        <v>18.049189999999999</v>
      </c>
      <c r="Q30" s="31"/>
    </row>
    <row r="31" spans="1:17" x14ac:dyDescent="0.3">
      <c r="A31" t="s">
        <v>112</v>
      </c>
      <c r="B31">
        <v>52</v>
      </c>
      <c r="C31">
        <v>0</v>
      </c>
      <c r="D31">
        <v>1</v>
      </c>
      <c r="E31">
        <v>0</v>
      </c>
      <c r="F31">
        <v>0</v>
      </c>
      <c r="G31">
        <v>52</v>
      </c>
      <c r="H31">
        <v>14</v>
      </c>
      <c r="I31">
        <v>13.860860000000001</v>
      </c>
      <c r="Q31" s="31"/>
    </row>
    <row r="32" spans="1:17" x14ac:dyDescent="0.3">
      <c r="A32" t="s">
        <v>112</v>
      </c>
      <c r="B32">
        <v>53</v>
      </c>
      <c r="C32">
        <v>0</v>
      </c>
      <c r="D32">
        <v>0</v>
      </c>
      <c r="E32">
        <v>0</v>
      </c>
      <c r="F32">
        <v>1</v>
      </c>
      <c r="G32">
        <v>53</v>
      </c>
      <c r="H32">
        <v>51</v>
      </c>
      <c r="I32">
        <v>61.048380000000002</v>
      </c>
      <c r="Q32" s="31"/>
    </row>
    <row r="33" spans="1:17" x14ac:dyDescent="0.3">
      <c r="A33" t="s">
        <v>0</v>
      </c>
      <c r="B33">
        <v>55</v>
      </c>
      <c r="C33">
        <v>0</v>
      </c>
      <c r="D33">
        <v>1</v>
      </c>
      <c r="E33">
        <v>0</v>
      </c>
      <c r="F33">
        <v>0</v>
      </c>
      <c r="G33">
        <v>55</v>
      </c>
      <c r="H33">
        <v>8</v>
      </c>
      <c r="I33">
        <v>19.8964</v>
      </c>
      <c r="Q33" s="31"/>
    </row>
    <row r="34" spans="1:17" x14ac:dyDescent="0.3">
      <c r="A34" t="s">
        <v>0</v>
      </c>
      <c r="B34">
        <v>56</v>
      </c>
      <c r="C34">
        <v>0</v>
      </c>
      <c r="D34">
        <v>0</v>
      </c>
      <c r="E34">
        <v>0</v>
      </c>
      <c r="F34">
        <v>1</v>
      </c>
      <c r="G34">
        <v>56</v>
      </c>
      <c r="H34">
        <v>44</v>
      </c>
      <c r="I34">
        <v>39.153449999999999</v>
      </c>
      <c r="Q34" s="31"/>
    </row>
    <row r="35" spans="1:17" x14ac:dyDescent="0.3">
      <c r="A35" t="s">
        <v>0</v>
      </c>
      <c r="B35">
        <v>57</v>
      </c>
      <c r="C35">
        <v>0</v>
      </c>
      <c r="D35">
        <v>0</v>
      </c>
      <c r="E35">
        <v>1</v>
      </c>
      <c r="F35">
        <v>0</v>
      </c>
      <c r="G35">
        <v>57</v>
      </c>
      <c r="H35">
        <v>45</v>
      </c>
      <c r="I35">
        <v>40.791629999999998</v>
      </c>
      <c r="Q35" s="31"/>
    </row>
    <row r="36" spans="1:17" x14ac:dyDescent="0.3">
      <c r="A36" t="s">
        <v>0</v>
      </c>
      <c r="B36">
        <v>58</v>
      </c>
      <c r="C36">
        <v>1</v>
      </c>
      <c r="D36">
        <v>0</v>
      </c>
      <c r="E36">
        <v>0</v>
      </c>
      <c r="F36">
        <v>0</v>
      </c>
      <c r="G36">
        <v>58</v>
      </c>
      <c r="H36">
        <v>13</v>
      </c>
      <c r="I36">
        <v>2.7887</v>
      </c>
      <c r="Q36" s="31"/>
    </row>
    <row r="37" spans="1:17" x14ac:dyDescent="0.3">
      <c r="A37" t="s">
        <v>53</v>
      </c>
      <c r="B37">
        <v>59</v>
      </c>
      <c r="C37">
        <v>0</v>
      </c>
      <c r="D37">
        <v>0</v>
      </c>
      <c r="E37">
        <v>1</v>
      </c>
      <c r="F37">
        <v>0</v>
      </c>
      <c r="G37">
        <v>59</v>
      </c>
      <c r="H37">
        <v>239</v>
      </c>
      <c r="I37">
        <v>241.53297000000001</v>
      </c>
      <c r="Q37" s="31"/>
    </row>
    <row r="38" spans="1:17" x14ac:dyDescent="0.3">
      <c r="A38" t="s">
        <v>53</v>
      </c>
      <c r="B38">
        <v>60</v>
      </c>
      <c r="C38">
        <v>1</v>
      </c>
      <c r="D38">
        <v>0</v>
      </c>
      <c r="E38">
        <v>0</v>
      </c>
      <c r="F38">
        <v>0</v>
      </c>
      <c r="G38">
        <v>60</v>
      </c>
      <c r="H38">
        <v>80</v>
      </c>
      <c r="I38">
        <v>79.281090000000006</v>
      </c>
      <c r="Q38" s="31"/>
    </row>
    <row r="39" spans="1:17" x14ac:dyDescent="0.3">
      <c r="A39" t="s">
        <v>24</v>
      </c>
      <c r="B39">
        <v>63</v>
      </c>
      <c r="C39">
        <v>0</v>
      </c>
      <c r="D39">
        <v>0</v>
      </c>
      <c r="E39">
        <v>0</v>
      </c>
      <c r="F39">
        <v>1</v>
      </c>
      <c r="G39">
        <v>63</v>
      </c>
      <c r="H39">
        <v>37</v>
      </c>
      <c r="I39">
        <v>45.483289999999997</v>
      </c>
      <c r="Q39" s="31"/>
    </row>
    <row r="40" spans="1:17" x14ac:dyDescent="0.3">
      <c r="A40" t="s">
        <v>24</v>
      </c>
      <c r="B40">
        <v>64</v>
      </c>
      <c r="C40">
        <v>0</v>
      </c>
      <c r="D40">
        <v>0</v>
      </c>
      <c r="E40">
        <v>1</v>
      </c>
      <c r="F40">
        <v>0</v>
      </c>
      <c r="G40">
        <v>64</v>
      </c>
      <c r="H40">
        <v>37</v>
      </c>
      <c r="I40">
        <v>48.308059999999998</v>
      </c>
      <c r="Q40" s="31"/>
    </row>
    <row r="41" spans="1:17" x14ac:dyDescent="0.3">
      <c r="A41" t="s">
        <v>24</v>
      </c>
      <c r="B41">
        <v>65</v>
      </c>
      <c r="C41">
        <v>1</v>
      </c>
      <c r="D41">
        <v>0</v>
      </c>
      <c r="E41">
        <v>0</v>
      </c>
      <c r="F41">
        <v>0</v>
      </c>
      <c r="G41">
        <v>65</v>
      </c>
      <c r="H41">
        <v>8</v>
      </c>
      <c r="I41">
        <v>19.916499999999999</v>
      </c>
      <c r="Q41" s="31"/>
    </row>
    <row r="42" spans="1:17" x14ac:dyDescent="0.3">
      <c r="A42" t="s">
        <v>113</v>
      </c>
      <c r="B42">
        <v>67</v>
      </c>
      <c r="C42">
        <v>0</v>
      </c>
      <c r="D42">
        <v>0</v>
      </c>
      <c r="E42">
        <v>0</v>
      </c>
      <c r="F42">
        <v>1</v>
      </c>
      <c r="G42">
        <v>67</v>
      </c>
      <c r="H42">
        <v>192</v>
      </c>
      <c r="I42">
        <v>189.512</v>
      </c>
      <c r="Q42" s="31"/>
    </row>
    <row r="43" spans="1:17" x14ac:dyDescent="0.3">
      <c r="A43" t="s">
        <v>84</v>
      </c>
      <c r="B43">
        <v>70</v>
      </c>
      <c r="C43">
        <v>0</v>
      </c>
      <c r="D43">
        <v>0</v>
      </c>
      <c r="E43">
        <v>1</v>
      </c>
      <c r="F43">
        <v>0</v>
      </c>
      <c r="G43">
        <v>70</v>
      </c>
      <c r="H43">
        <v>46</v>
      </c>
      <c r="I43">
        <v>52.923729999999999</v>
      </c>
      <c r="Q43" s="31"/>
    </row>
    <row r="44" spans="1:17" x14ac:dyDescent="0.3">
      <c r="A44" t="s">
        <v>54</v>
      </c>
      <c r="B44">
        <v>74</v>
      </c>
      <c r="C44">
        <v>0</v>
      </c>
      <c r="D44">
        <v>0</v>
      </c>
      <c r="E44">
        <v>1</v>
      </c>
      <c r="F44">
        <v>0</v>
      </c>
      <c r="G44">
        <v>74</v>
      </c>
      <c r="H44">
        <v>72</v>
      </c>
      <c r="I44">
        <v>55.103189999999998</v>
      </c>
      <c r="Q44" s="31"/>
    </row>
    <row r="45" spans="1:17" x14ac:dyDescent="0.3">
      <c r="A45" t="s">
        <v>25</v>
      </c>
      <c r="B45">
        <v>78</v>
      </c>
      <c r="C45">
        <v>0</v>
      </c>
      <c r="D45">
        <v>0</v>
      </c>
      <c r="E45">
        <v>1</v>
      </c>
      <c r="F45">
        <v>0</v>
      </c>
      <c r="G45">
        <v>78</v>
      </c>
      <c r="H45">
        <v>48</v>
      </c>
      <c r="I45">
        <v>50.212040000000002</v>
      </c>
      <c r="Q45" s="31"/>
    </row>
    <row r="46" spans="1:17" x14ac:dyDescent="0.3">
      <c r="A46" t="s">
        <v>25</v>
      </c>
      <c r="B46">
        <v>79</v>
      </c>
      <c r="C46">
        <v>1</v>
      </c>
      <c r="D46">
        <v>0</v>
      </c>
      <c r="E46">
        <v>0</v>
      </c>
      <c r="F46">
        <v>0</v>
      </c>
      <c r="G46">
        <v>79</v>
      </c>
      <c r="H46">
        <v>12</v>
      </c>
      <c r="I46">
        <v>39.203470000000003</v>
      </c>
      <c r="Q46" s="31"/>
    </row>
    <row r="47" spans="1:17" x14ac:dyDescent="0.3">
      <c r="A47" t="s">
        <v>114</v>
      </c>
      <c r="B47">
        <v>82</v>
      </c>
      <c r="C47">
        <v>0</v>
      </c>
      <c r="D47">
        <v>0</v>
      </c>
      <c r="E47">
        <v>1</v>
      </c>
      <c r="F47">
        <v>0</v>
      </c>
      <c r="G47">
        <v>82</v>
      </c>
      <c r="H47">
        <v>209</v>
      </c>
      <c r="I47">
        <v>210.15002999999999</v>
      </c>
      <c r="Q47" s="31"/>
    </row>
    <row r="48" spans="1:17" x14ac:dyDescent="0.3">
      <c r="A48" t="s">
        <v>114</v>
      </c>
      <c r="B48">
        <v>83</v>
      </c>
      <c r="C48">
        <v>0</v>
      </c>
      <c r="D48">
        <v>0</v>
      </c>
      <c r="E48">
        <v>0</v>
      </c>
      <c r="F48">
        <v>1</v>
      </c>
      <c r="G48">
        <v>83</v>
      </c>
      <c r="H48">
        <v>203</v>
      </c>
      <c r="I48">
        <v>209.11202</v>
      </c>
      <c r="Q48" s="31"/>
    </row>
    <row r="49" spans="1:17" x14ac:dyDescent="0.3">
      <c r="A49" t="s">
        <v>114</v>
      </c>
      <c r="B49">
        <v>84</v>
      </c>
      <c r="C49">
        <v>0</v>
      </c>
      <c r="D49">
        <v>1</v>
      </c>
      <c r="E49">
        <v>0</v>
      </c>
      <c r="F49">
        <v>0</v>
      </c>
      <c r="G49">
        <v>84</v>
      </c>
      <c r="H49">
        <v>65</v>
      </c>
      <c r="I49">
        <v>78.561539999999994</v>
      </c>
      <c r="Q49" s="31"/>
    </row>
    <row r="50" spans="1:17" x14ac:dyDescent="0.3">
      <c r="A50" t="s">
        <v>85</v>
      </c>
      <c r="B50">
        <v>85</v>
      </c>
      <c r="C50">
        <v>0</v>
      </c>
      <c r="D50">
        <v>0</v>
      </c>
      <c r="E50">
        <v>0</v>
      </c>
      <c r="F50">
        <v>1</v>
      </c>
      <c r="G50">
        <v>85</v>
      </c>
      <c r="H50">
        <v>71</v>
      </c>
      <c r="I50">
        <v>93.04504</v>
      </c>
      <c r="Q50" s="31"/>
    </row>
    <row r="51" spans="1:17" x14ac:dyDescent="0.3">
      <c r="A51" t="s">
        <v>85</v>
      </c>
      <c r="B51">
        <v>86</v>
      </c>
      <c r="C51">
        <v>1</v>
      </c>
      <c r="D51">
        <v>0</v>
      </c>
      <c r="E51">
        <v>0</v>
      </c>
      <c r="F51">
        <v>0</v>
      </c>
      <c r="G51">
        <v>86</v>
      </c>
      <c r="H51">
        <v>34</v>
      </c>
      <c r="I51">
        <v>32.526629999999997</v>
      </c>
      <c r="Q51" s="31"/>
    </row>
    <row r="52" spans="1:17" x14ac:dyDescent="0.3">
      <c r="A52" t="s">
        <v>55</v>
      </c>
      <c r="B52">
        <v>89</v>
      </c>
      <c r="C52">
        <v>0</v>
      </c>
      <c r="D52">
        <v>0</v>
      </c>
      <c r="E52">
        <v>1</v>
      </c>
      <c r="F52">
        <v>0</v>
      </c>
      <c r="G52">
        <v>89</v>
      </c>
      <c r="H52">
        <v>10</v>
      </c>
      <c r="I52">
        <v>10.93064</v>
      </c>
      <c r="Q52" s="31"/>
    </row>
    <row r="53" spans="1:17" x14ac:dyDescent="0.3">
      <c r="A53" t="s">
        <v>26</v>
      </c>
      <c r="B53">
        <v>93</v>
      </c>
      <c r="C53">
        <v>1</v>
      </c>
      <c r="D53">
        <v>0</v>
      </c>
      <c r="E53">
        <v>0</v>
      </c>
      <c r="F53">
        <v>0</v>
      </c>
      <c r="G53">
        <v>93</v>
      </c>
      <c r="H53">
        <v>38</v>
      </c>
      <c r="I53">
        <v>50.731679999999997</v>
      </c>
      <c r="Q53" s="31"/>
    </row>
    <row r="54" spans="1:17" x14ac:dyDescent="0.3">
      <c r="A54" t="s">
        <v>26</v>
      </c>
      <c r="B54">
        <v>94</v>
      </c>
      <c r="C54">
        <v>0</v>
      </c>
      <c r="D54">
        <v>0</v>
      </c>
      <c r="E54">
        <v>0</v>
      </c>
      <c r="F54">
        <v>1</v>
      </c>
      <c r="G54">
        <v>94</v>
      </c>
      <c r="H54">
        <v>142</v>
      </c>
      <c r="I54">
        <v>133.93288000000001</v>
      </c>
      <c r="Q54" s="31"/>
    </row>
    <row r="55" spans="1:17" x14ac:dyDescent="0.3">
      <c r="A55" t="s">
        <v>26</v>
      </c>
      <c r="B55">
        <v>95</v>
      </c>
      <c r="C55">
        <v>0</v>
      </c>
      <c r="D55">
        <v>1</v>
      </c>
      <c r="E55">
        <v>0</v>
      </c>
      <c r="F55">
        <v>0</v>
      </c>
      <c r="G55">
        <v>95</v>
      </c>
      <c r="H55">
        <v>46</v>
      </c>
      <c r="I55">
        <v>44.37426</v>
      </c>
      <c r="Q55" s="31"/>
    </row>
    <row r="56" spans="1:17" x14ac:dyDescent="0.3">
      <c r="A56" t="s">
        <v>115</v>
      </c>
      <c r="B56">
        <v>97</v>
      </c>
      <c r="C56">
        <v>0</v>
      </c>
      <c r="D56">
        <v>0</v>
      </c>
      <c r="E56">
        <v>1</v>
      </c>
      <c r="F56">
        <v>0</v>
      </c>
      <c r="G56">
        <v>97</v>
      </c>
      <c r="H56">
        <v>196</v>
      </c>
      <c r="I56">
        <v>199.18018000000001</v>
      </c>
      <c r="Q56" s="31"/>
    </row>
    <row r="57" spans="1:17" x14ac:dyDescent="0.3">
      <c r="A57" t="s">
        <v>115</v>
      </c>
      <c r="B57">
        <v>98</v>
      </c>
      <c r="C57">
        <v>0</v>
      </c>
      <c r="D57">
        <v>0</v>
      </c>
      <c r="E57">
        <v>0</v>
      </c>
      <c r="F57">
        <v>1</v>
      </c>
      <c r="G57">
        <v>98</v>
      </c>
      <c r="H57">
        <v>202</v>
      </c>
      <c r="I57">
        <v>202.22370000000001</v>
      </c>
      <c r="Q57" s="31"/>
    </row>
    <row r="58" spans="1:17" x14ac:dyDescent="0.3">
      <c r="A58" t="s">
        <v>86</v>
      </c>
      <c r="B58">
        <v>100</v>
      </c>
      <c r="C58">
        <v>0</v>
      </c>
      <c r="D58">
        <v>0</v>
      </c>
      <c r="E58">
        <v>1</v>
      </c>
      <c r="F58">
        <v>0</v>
      </c>
      <c r="G58">
        <v>100</v>
      </c>
      <c r="H58">
        <v>172</v>
      </c>
      <c r="I58">
        <v>168.06164000000001</v>
      </c>
      <c r="Q58" s="31"/>
    </row>
    <row r="59" spans="1:17" x14ac:dyDescent="0.3">
      <c r="A59" t="s">
        <v>86</v>
      </c>
      <c r="B59">
        <v>101</v>
      </c>
      <c r="C59">
        <v>1</v>
      </c>
      <c r="D59">
        <v>0</v>
      </c>
      <c r="E59">
        <v>0</v>
      </c>
      <c r="F59">
        <v>0</v>
      </c>
      <c r="G59">
        <v>101</v>
      </c>
      <c r="H59">
        <v>25</v>
      </c>
      <c r="I59">
        <v>53.028959999999998</v>
      </c>
      <c r="Q59" s="31"/>
    </row>
    <row r="60" spans="1:17" x14ac:dyDescent="0.3">
      <c r="A60" t="s">
        <v>27</v>
      </c>
      <c r="B60">
        <v>108</v>
      </c>
      <c r="C60">
        <v>0</v>
      </c>
      <c r="D60">
        <v>0</v>
      </c>
      <c r="E60">
        <v>0</v>
      </c>
      <c r="F60">
        <v>1</v>
      </c>
      <c r="G60">
        <v>108</v>
      </c>
      <c r="H60">
        <v>1</v>
      </c>
      <c r="I60">
        <v>1.8799600000000001</v>
      </c>
      <c r="Q60" s="31"/>
    </row>
    <row r="61" spans="1:17" x14ac:dyDescent="0.3">
      <c r="A61" t="s">
        <v>116</v>
      </c>
      <c r="B61">
        <v>111</v>
      </c>
      <c r="C61">
        <v>0</v>
      </c>
      <c r="D61">
        <v>1</v>
      </c>
      <c r="E61">
        <v>0</v>
      </c>
      <c r="F61">
        <v>0</v>
      </c>
      <c r="G61">
        <v>111</v>
      </c>
      <c r="H61">
        <v>12</v>
      </c>
      <c r="I61">
        <v>8.8278800000000004</v>
      </c>
      <c r="Q61" s="31"/>
    </row>
    <row r="62" spans="1:17" x14ac:dyDescent="0.3">
      <c r="A62" t="s">
        <v>116</v>
      </c>
      <c r="B62">
        <v>112</v>
      </c>
      <c r="C62">
        <v>0</v>
      </c>
      <c r="D62">
        <v>0</v>
      </c>
      <c r="E62">
        <v>1</v>
      </c>
      <c r="F62">
        <v>0</v>
      </c>
      <c r="G62">
        <v>112</v>
      </c>
      <c r="H62">
        <v>35</v>
      </c>
      <c r="I62">
        <v>40.156300000000002</v>
      </c>
      <c r="Q62" s="31"/>
    </row>
    <row r="63" spans="1:17" x14ac:dyDescent="0.3">
      <c r="A63" t="s">
        <v>87</v>
      </c>
      <c r="B63">
        <v>114</v>
      </c>
      <c r="C63">
        <v>1</v>
      </c>
      <c r="D63">
        <v>0</v>
      </c>
      <c r="E63">
        <v>0</v>
      </c>
      <c r="F63">
        <v>0</v>
      </c>
      <c r="G63">
        <v>114</v>
      </c>
      <c r="H63">
        <v>63</v>
      </c>
      <c r="I63">
        <v>70.648520000000005</v>
      </c>
      <c r="Q63" s="31"/>
    </row>
    <row r="64" spans="1:17" x14ac:dyDescent="0.3">
      <c r="A64" t="s">
        <v>87</v>
      </c>
      <c r="B64">
        <v>115</v>
      </c>
      <c r="C64">
        <v>0</v>
      </c>
      <c r="D64">
        <v>0</v>
      </c>
      <c r="E64">
        <v>0</v>
      </c>
      <c r="F64">
        <v>1</v>
      </c>
      <c r="G64">
        <v>115</v>
      </c>
      <c r="H64">
        <v>183</v>
      </c>
      <c r="I64">
        <v>184.09278</v>
      </c>
      <c r="Q64" s="31"/>
    </row>
    <row r="65" spans="1:17" x14ac:dyDescent="0.3">
      <c r="A65" t="s">
        <v>57</v>
      </c>
      <c r="B65">
        <v>118</v>
      </c>
      <c r="C65">
        <v>0</v>
      </c>
      <c r="D65">
        <v>1</v>
      </c>
      <c r="E65">
        <v>0</v>
      </c>
      <c r="F65">
        <v>0</v>
      </c>
      <c r="G65">
        <v>118</v>
      </c>
      <c r="H65">
        <v>18</v>
      </c>
      <c r="I65">
        <v>19.869389999999999</v>
      </c>
      <c r="Q65" s="31"/>
    </row>
    <row r="66" spans="1:17" x14ac:dyDescent="0.3">
      <c r="A66" t="s">
        <v>57</v>
      </c>
      <c r="B66">
        <v>119</v>
      </c>
      <c r="C66">
        <v>1</v>
      </c>
      <c r="D66">
        <v>0</v>
      </c>
      <c r="E66">
        <v>0</v>
      </c>
      <c r="F66">
        <v>0</v>
      </c>
      <c r="G66">
        <v>119</v>
      </c>
      <c r="H66">
        <v>16</v>
      </c>
      <c r="I66">
        <v>6.4439200000000003</v>
      </c>
      <c r="Q66" s="31"/>
    </row>
    <row r="67" spans="1:17" x14ac:dyDescent="0.3">
      <c r="A67" t="s">
        <v>28</v>
      </c>
      <c r="B67">
        <v>122</v>
      </c>
      <c r="C67">
        <v>0</v>
      </c>
      <c r="D67">
        <v>0</v>
      </c>
      <c r="E67">
        <v>1</v>
      </c>
      <c r="F67">
        <v>0</v>
      </c>
      <c r="G67">
        <v>122</v>
      </c>
      <c r="H67">
        <v>12</v>
      </c>
      <c r="I67">
        <v>10.816079999999999</v>
      </c>
      <c r="Q67" s="31"/>
    </row>
    <row r="68" spans="1:17" x14ac:dyDescent="0.3">
      <c r="A68" t="s">
        <v>28</v>
      </c>
      <c r="B68">
        <v>123</v>
      </c>
      <c r="C68">
        <v>1</v>
      </c>
      <c r="D68">
        <v>0</v>
      </c>
      <c r="E68">
        <v>0</v>
      </c>
      <c r="F68">
        <v>0</v>
      </c>
      <c r="G68">
        <v>123</v>
      </c>
      <c r="H68">
        <v>5</v>
      </c>
      <c r="I68">
        <v>8.79908</v>
      </c>
      <c r="Q68" s="31"/>
    </row>
    <row r="69" spans="1:17" x14ac:dyDescent="0.3">
      <c r="A69" t="s">
        <v>117</v>
      </c>
      <c r="B69">
        <v>125</v>
      </c>
      <c r="C69">
        <v>0</v>
      </c>
      <c r="D69">
        <v>1</v>
      </c>
      <c r="E69">
        <v>0</v>
      </c>
      <c r="F69">
        <v>0</v>
      </c>
      <c r="G69">
        <v>125</v>
      </c>
      <c r="H69">
        <v>15</v>
      </c>
      <c r="I69">
        <v>10.32282</v>
      </c>
      <c r="Q69" s="31"/>
    </row>
    <row r="70" spans="1:17" x14ac:dyDescent="0.3">
      <c r="A70" t="s">
        <v>117</v>
      </c>
      <c r="B70">
        <v>126</v>
      </c>
      <c r="C70">
        <v>0</v>
      </c>
      <c r="D70">
        <v>0</v>
      </c>
      <c r="E70">
        <v>0</v>
      </c>
      <c r="F70">
        <v>1</v>
      </c>
      <c r="G70">
        <v>126</v>
      </c>
      <c r="H70">
        <v>46</v>
      </c>
      <c r="I70">
        <v>34.944369999999999</v>
      </c>
      <c r="Q70" s="31"/>
    </row>
    <row r="71" spans="1:17" x14ac:dyDescent="0.3">
      <c r="A71" t="s">
        <v>117</v>
      </c>
      <c r="B71">
        <v>127</v>
      </c>
      <c r="C71">
        <v>0</v>
      </c>
      <c r="D71">
        <v>0</v>
      </c>
      <c r="E71">
        <v>1</v>
      </c>
      <c r="F71">
        <v>0</v>
      </c>
      <c r="G71">
        <v>127</v>
      </c>
      <c r="H71">
        <v>41</v>
      </c>
      <c r="I71">
        <v>35.312600000000003</v>
      </c>
      <c r="Q71" s="31"/>
    </row>
    <row r="72" spans="1:17" x14ac:dyDescent="0.3">
      <c r="A72" t="s">
        <v>88</v>
      </c>
      <c r="B72">
        <v>128</v>
      </c>
      <c r="C72">
        <v>1</v>
      </c>
      <c r="D72">
        <v>0</v>
      </c>
      <c r="E72">
        <v>0</v>
      </c>
      <c r="F72">
        <v>0</v>
      </c>
      <c r="G72">
        <v>128</v>
      </c>
      <c r="H72">
        <v>17</v>
      </c>
      <c r="I72">
        <v>20.211839999999999</v>
      </c>
      <c r="Q72" s="31"/>
    </row>
    <row r="73" spans="1:17" x14ac:dyDescent="0.3">
      <c r="A73" t="s">
        <v>88</v>
      </c>
      <c r="B73">
        <v>129</v>
      </c>
      <c r="C73">
        <v>0</v>
      </c>
      <c r="D73">
        <v>0</v>
      </c>
      <c r="E73">
        <v>0</v>
      </c>
      <c r="F73">
        <v>1</v>
      </c>
      <c r="G73">
        <v>129</v>
      </c>
      <c r="H73">
        <v>42</v>
      </c>
      <c r="I73">
        <v>34.039580000000001</v>
      </c>
      <c r="Q73" s="31"/>
    </row>
    <row r="74" spans="1:17" x14ac:dyDescent="0.3">
      <c r="A74" t="s">
        <v>58</v>
      </c>
      <c r="B74">
        <v>132</v>
      </c>
      <c r="C74">
        <v>0</v>
      </c>
      <c r="D74">
        <v>1</v>
      </c>
      <c r="E74">
        <v>0</v>
      </c>
      <c r="F74">
        <v>0</v>
      </c>
      <c r="G74">
        <v>132</v>
      </c>
      <c r="H74">
        <v>37</v>
      </c>
      <c r="I74">
        <v>44.530090000000001</v>
      </c>
      <c r="Q74" s="31"/>
    </row>
    <row r="75" spans="1:17" x14ac:dyDescent="0.3">
      <c r="A75" t="s">
        <v>29</v>
      </c>
      <c r="B75">
        <v>136</v>
      </c>
      <c r="C75">
        <v>0</v>
      </c>
      <c r="D75">
        <v>1</v>
      </c>
      <c r="E75">
        <v>0</v>
      </c>
      <c r="F75">
        <v>0</v>
      </c>
      <c r="G75">
        <v>136</v>
      </c>
      <c r="H75">
        <v>12</v>
      </c>
      <c r="I75">
        <v>12.730600000000001</v>
      </c>
      <c r="Q75" s="31"/>
    </row>
    <row r="76" spans="1:17" x14ac:dyDescent="0.3">
      <c r="A76" t="s">
        <v>29</v>
      </c>
      <c r="B76">
        <v>137</v>
      </c>
      <c r="C76">
        <v>0</v>
      </c>
      <c r="D76">
        <v>0</v>
      </c>
      <c r="E76">
        <v>1</v>
      </c>
      <c r="F76">
        <v>0</v>
      </c>
      <c r="G76">
        <v>137</v>
      </c>
      <c r="H76">
        <v>29</v>
      </c>
      <c r="I76">
        <v>28.494949999999999</v>
      </c>
      <c r="Q76" s="31"/>
    </row>
    <row r="77" spans="1:17" x14ac:dyDescent="0.3">
      <c r="A77" t="s">
        <v>118</v>
      </c>
      <c r="B77">
        <v>140</v>
      </c>
      <c r="C77">
        <v>0</v>
      </c>
      <c r="D77">
        <v>0</v>
      </c>
      <c r="E77">
        <v>0</v>
      </c>
      <c r="F77">
        <v>1</v>
      </c>
      <c r="G77">
        <v>140</v>
      </c>
      <c r="H77">
        <v>5</v>
      </c>
      <c r="I77">
        <v>13.99934</v>
      </c>
      <c r="Q77" s="31"/>
    </row>
    <row r="78" spans="1:17" x14ac:dyDescent="0.3">
      <c r="A78" t="s">
        <v>59</v>
      </c>
      <c r="B78">
        <v>144</v>
      </c>
      <c r="C78">
        <v>0</v>
      </c>
      <c r="D78">
        <v>1</v>
      </c>
      <c r="E78">
        <v>0</v>
      </c>
      <c r="F78">
        <v>0</v>
      </c>
      <c r="G78">
        <v>144</v>
      </c>
      <c r="H78">
        <v>62</v>
      </c>
      <c r="I78">
        <v>55.954169999999998</v>
      </c>
      <c r="Q78" s="31"/>
    </row>
    <row r="79" spans="1:17" x14ac:dyDescent="0.3">
      <c r="A79" t="s">
        <v>59</v>
      </c>
      <c r="B79">
        <v>145</v>
      </c>
      <c r="C79">
        <v>0</v>
      </c>
      <c r="D79">
        <v>0</v>
      </c>
      <c r="E79">
        <v>0</v>
      </c>
      <c r="F79">
        <v>1</v>
      </c>
      <c r="G79">
        <v>145</v>
      </c>
      <c r="H79">
        <v>165</v>
      </c>
      <c r="I79">
        <v>157.52744999999999</v>
      </c>
      <c r="Q79" s="31"/>
    </row>
    <row r="80" spans="1:17" x14ac:dyDescent="0.3">
      <c r="A80" t="s">
        <v>30</v>
      </c>
      <c r="B80">
        <v>148</v>
      </c>
      <c r="C80">
        <v>0</v>
      </c>
      <c r="D80">
        <v>1</v>
      </c>
      <c r="E80">
        <v>0</v>
      </c>
      <c r="F80">
        <v>0</v>
      </c>
      <c r="G80">
        <v>148</v>
      </c>
      <c r="H80">
        <v>13</v>
      </c>
      <c r="I80">
        <v>14.513389999999999</v>
      </c>
      <c r="Q80" s="31"/>
    </row>
    <row r="81" spans="1:17" x14ac:dyDescent="0.3">
      <c r="A81" t="s">
        <v>30</v>
      </c>
      <c r="B81">
        <v>149</v>
      </c>
      <c r="C81">
        <v>0</v>
      </c>
      <c r="D81">
        <v>0</v>
      </c>
      <c r="E81">
        <v>1</v>
      </c>
      <c r="F81">
        <v>0</v>
      </c>
      <c r="G81">
        <v>149</v>
      </c>
      <c r="H81">
        <v>29</v>
      </c>
      <c r="I81">
        <v>37.998359999999998</v>
      </c>
      <c r="Q81" s="31"/>
    </row>
    <row r="82" spans="1:17" x14ac:dyDescent="0.3">
      <c r="A82" t="s">
        <v>30</v>
      </c>
      <c r="B82">
        <v>150</v>
      </c>
      <c r="C82">
        <v>0</v>
      </c>
      <c r="D82">
        <v>0</v>
      </c>
      <c r="E82">
        <v>0</v>
      </c>
      <c r="F82">
        <v>1</v>
      </c>
      <c r="G82">
        <v>150</v>
      </c>
      <c r="H82">
        <v>30</v>
      </c>
      <c r="I82">
        <v>38.335920000000002</v>
      </c>
      <c r="Q82" s="31"/>
    </row>
    <row r="83" spans="1:17" x14ac:dyDescent="0.3">
      <c r="A83" t="s">
        <v>30</v>
      </c>
      <c r="B83">
        <v>151</v>
      </c>
      <c r="C83">
        <v>1</v>
      </c>
      <c r="D83">
        <v>0</v>
      </c>
      <c r="E83">
        <v>0</v>
      </c>
      <c r="F83">
        <v>0</v>
      </c>
      <c r="G83">
        <v>151</v>
      </c>
      <c r="H83">
        <v>14</v>
      </c>
      <c r="I83">
        <v>13.166169999999999</v>
      </c>
      <c r="Q83" s="31"/>
    </row>
    <row r="84" spans="1:17" x14ac:dyDescent="0.3">
      <c r="A84" t="s">
        <v>119</v>
      </c>
      <c r="B84">
        <v>152</v>
      </c>
      <c r="C84">
        <v>0</v>
      </c>
      <c r="D84">
        <v>0</v>
      </c>
      <c r="E84">
        <v>0</v>
      </c>
      <c r="F84">
        <v>1</v>
      </c>
      <c r="G84">
        <v>152</v>
      </c>
      <c r="H84">
        <v>21</v>
      </c>
      <c r="I84">
        <v>32.031480000000002</v>
      </c>
      <c r="Q84" s="31"/>
    </row>
    <row r="85" spans="1:17" x14ac:dyDescent="0.3">
      <c r="A85" t="s">
        <v>119</v>
      </c>
      <c r="B85">
        <v>153</v>
      </c>
      <c r="C85">
        <v>0</v>
      </c>
      <c r="D85">
        <v>0</v>
      </c>
      <c r="E85">
        <v>1</v>
      </c>
      <c r="F85">
        <v>0</v>
      </c>
      <c r="G85">
        <v>153</v>
      </c>
      <c r="H85">
        <v>22</v>
      </c>
      <c r="I85">
        <v>44.63373</v>
      </c>
      <c r="Q85" s="31"/>
    </row>
    <row r="86" spans="1:17" x14ac:dyDescent="0.3">
      <c r="A86" t="s">
        <v>89</v>
      </c>
      <c r="B86">
        <v>155</v>
      </c>
      <c r="C86">
        <v>1</v>
      </c>
      <c r="D86">
        <v>0</v>
      </c>
      <c r="E86">
        <v>0</v>
      </c>
      <c r="F86">
        <v>0</v>
      </c>
      <c r="G86">
        <v>155</v>
      </c>
      <c r="H86">
        <v>1</v>
      </c>
      <c r="I86">
        <v>4.5217799999999997</v>
      </c>
      <c r="Q86" s="31"/>
    </row>
    <row r="87" spans="1:17" x14ac:dyDescent="0.3">
      <c r="A87" t="s">
        <v>60</v>
      </c>
      <c r="B87">
        <v>156</v>
      </c>
      <c r="C87">
        <v>0</v>
      </c>
      <c r="D87">
        <v>0</v>
      </c>
      <c r="E87">
        <v>0</v>
      </c>
      <c r="F87">
        <v>1</v>
      </c>
      <c r="G87">
        <v>156</v>
      </c>
      <c r="H87">
        <v>222</v>
      </c>
      <c r="I87">
        <v>210.62566000000001</v>
      </c>
      <c r="Q87" s="31"/>
    </row>
    <row r="88" spans="1:17" x14ac:dyDescent="0.3">
      <c r="A88" t="s">
        <v>31</v>
      </c>
      <c r="B88">
        <v>160</v>
      </c>
      <c r="C88">
        <v>0</v>
      </c>
      <c r="D88">
        <v>0</v>
      </c>
      <c r="E88">
        <v>1</v>
      </c>
      <c r="F88">
        <v>0</v>
      </c>
      <c r="G88">
        <v>160</v>
      </c>
      <c r="H88">
        <v>43</v>
      </c>
      <c r="I88">
        <v>49.037990000000001</v>
      </c>
      <c r="Q88" s="31"/>
    </row>
    <row r="89" spans="1:17" x14ac:dyDescent="0.3">
      <c r="A89" t="s">
        <v>31</v>
      </c>
      <c r="B89">
        <v>161</v>
      </c>
      <c r="C89">
        <v>1</v>
      </c>
      <c r="D89">
        <v>0</v>
      </c>
      <c r="E89">
        <v>0</v>
      </c>
      <c r="F89">
        <v>0</v>
      </c>
      <c r="G89">
        <v>161</v>
      </c>
      <c r="H89">
        <v>15</v>
      </c>
      <c r="I89">
        <v>20.719339999999999</v>
      </c>
      <c r="Q89" s="31"/>
    </row>
    <row r="90" spans="1:17" x14ac:dyDescent="0.3">
      <c r="A90" t="s">
        <v>120</v>
      </c>
      <c r="B90">
        <v>164</v>
      </c>
      <c r="C90">
        <v>0</v>
      </c>
      <c r="D90">
        <v>1</v>
      </c>
      <c r="E90">
        <v>0</v>
      </c>
      <c r="F90">
        <v>0</v>
      </c>
      <c r="G90">
        <v>164</v>
      </c>
      <c r="H90">
        <v>36</v>
      </c>
      <c r="I90">
        <v>57.859459999999999</v>
      </c>
      <c r="Q90" s="31"/>
    </row>
    <row r="91" spans="1:17" x14ac:dyDescent="0.3">
      <c r="A91" t="s">
        <v>120</v>
      </c>
      <c r="B91">
        <v>165</v>
      </c>
      <c r="C91">
        <v>0</v>
      </c>
      <c r="D91">
        <v>0</v>
      </c>
      <c r="E91">
        <v>0</v>
      </c>
      <c r="F91">
        <v>1</v>
      </c>
      <c r="G91">
        <v>165</v>
      </c>
      <c r="H91">
        <v>86</v>
      </c>
      <c r="I91">
        <v>107.13160999999999</v>
      </c>
      <c r="Q91" s="31"/>
    </row>
    <row r="92" spans="1:17" x14ac:dyDescent="0.3">
      <c r="A92" t="s">
        <v>90</v>
      </c>
      <c r="B92">
        <v>167</v>
      </c>
      <c r="C92">
        <v>0</v>
      </c>
      <c r="D92">
        <v>1</v>
      </c>
      <c r="E92">
        <v>0</v>
      </c>
      <c r="F92">
        <v>0</v>
      </c>
      <c r="G92">
        <v>167</v>
      </c>
      <c r="H92">
        <v>14</v>
      </c>
      <c r="I92">
        <v>18.738959999999999</v>
      </c>
      <c r="Q92" s="31"/>
    </row>
    <row r="93" spans="1:17" x14ac:dyDescent="0.3">
      <c r="A93" t="s">
        <v>90</v>
      </c>
      <c r="B93">
        <v>168</v>
      </c>
      <c r="C93">
        <v>0</v>
      </c>
      <c r="D93">
        <v>0</v>
      </c>
      <c r="E93">
        <v>1</v>
      </c>
      <c r="F93">
        <v>0</v>
      </c>
      <c r="G93">
        <v>168</v>
      </c>
      <c r="H93">
        <v>61</v>
      </c>
      <c r="I93">
        <v>74.079539999999994</v>
      </c>
      <c r="Q93" s="31"/>
    </row>
    <row r="94" spans="1:17" x14ac:dyDescent="0.3">
      <c r="A94" t="s">
        <v>90</v>
      </c>
      <c r="B94">
        <v>169</v>
      </c>
      <c r="C94">
        <v>0</v>
      </c>
      <c r="D94">
        <v>0</v>
      </c>
      <c r="E94">
        <v>0</v>
      </c>
      <c r="F94">
        <v>1</v>
      </c>
      <c r="G94">
        <v>169</v>
      </c>
      <c r="H94">
        <v>51</v>
      </c>
      <c r="I94">
        <v>66.54392</v>
      </c>
      <c r="Q94" s="31"/>
    </row>
    <row r="95" spans="1:17" x14ac:dyDescent="0.3">
      <c r="A95" t="s">
        <v>61</v>
      </c>
      <c r="B95">
        <v>171</v>
      </c>
      <c r="C95">
        <v>1</v>
      </c>
      <c r="D95">
        <v>0</v>
      </c>
      <c r="E95">
        <v>0</v>
      </c>
      <c r="F95">
        <v>0</v>
      </c>
      <c r="G95">
        <v>171</v>
      </c>
      <c r="H95">
        <v>5</v>
      </c>
      <c r="I95">
        <v>6.4905400000000002</v>
      </c>
      <c r="Q95" s="31"/>
    </row>
    <row r="96" spans="1:17" x14ac:dyDescent="0.3">
      <c r="A96" t="s">
        <v>61</v>
      </c>
      <c r="B96">
        <v>172</v>
      </c>
      <c r="C96">
        <v>0</v>
      </c>
      <c r="D96">
        <v>0</v>
      </c>
      <c r="E96">
        <v>1</v>
      </c>
      <c r="F96">
        <v>0</v>
      </c>
      <c r="G96">
        <v>172</v>
      </c>
      <c r="H96">
        <v>27</v>
      </c>
      <c r="I96">
        <v>47.440890000000003</v>
      </c>
      <c r="Q96" s="31"/>
    </row>
    <row r="97" spans="1:17" x14ac:dyDescent="0.3">
      <c r="A97" t="s">
        <v>61</v>
      </c>
      <c r="B97">
        <v>173</v>
      </c>
      <c r="C97">
        <v>0</v>
      </c>
      <c r="D97">
        <v>1</v>
      </c>
      <c r="E97">
        <v>0</v>
      </c>
      <c r="F97">
        <v>0</v>
      </c>
      <c r="G97">
        <v>173</v>
      </c>
      <c r="H97">
        <v>9</v>
      </c>
      <c r="I97">
        <v>10.147220000000001</v>
      </c>
      <c r="Q97" s="31"/>
    </row>
    <row r="98" spans="1:17" x14ac:dyDescent="0.3">
      <c r="A98" t="s">
        <v>32</v>
      </c>
      <c r="B98">
        <v>175</v>
      </c>
      <c r="C98">
        <v>0</v>
      </c>
      <c r="D98">
        <v>1</v>
      </c>
      <c r="E98">
        <v>0</v>
      </c>
      <c r="F98">
        <v>0</v>
      </c>
      <c r="G98">
        <v>175</v>
      </c>
      <c r="H98">
        <v>19</v>
      </c>
      <c r="I98">
        <v>32.213540000000002</v>
      </c>
      <c r="Q98" s="31"/>
    </row>
    <row r="99" spans="1:17" x14ac:dyDescent="0.3">
      <c r="A99" t="s">
        <v>32</v>
      </c>
      <c r="B99">
        <v>176</v>
      </c>
      <c r="C99">
        <v>0</v>
      </c>
      <c r="D99">
        <v>0</v>
      </c>
      <c r="E99">
        <v>0</v>
      </c>
      <c r="F99">
        <v>1</v>
      </c>
      <c r="G99">
        <v>176</v>
      </c>
      <c r="H99">
        <v>100</v>
      </c>
      <c r="I99">
        <v>119.81614</v>
      </c>
      <c r="Q99" s="31"/>
    </row>
    <row r="100" spans="1:17" x14ac:dyDescent="0.3">
      <c r="A100" t="s">
        <v>121</v>
      </c>
      <c r="B100">
        <v>179</v>
      </c>
      <c r="C100">
        <v>0</v>
      </c>
      <c r="D100">
        <v>0</v>
      </c>
      <c r="E100">
        <v>1</v>
      </c>
      <c r="F100">
        <v>0</v>
      </c>
      <c r="G100">
        <v>179</v>
      </c>
      <c r="H100">
        <v>7</v>
      </c>
      <c r="I100">
        <v>17.82413</v>
      </c>
      <c r="Q100" s="31"/>
    </row>
    <row r="101" spans="1:17" x14ac:dyDescent="0.3">
      <c r="A101" t="s">
        <v>121</v>
      </c>
      <c r="B101">
        <v>180</v>
      </c>
      <c r="C101">
        <v>0</v>
      </c>
      <c r="D101">
        <v>0</v>
      </c>
      <c r="E101">
        <v>0</v>
      </c>
      <c r="F101">
        <v>1</v>
      </c>
      <c r="G101">
        <v>180</v>
      </c>
      <c r="H101">
        <v>8</v>
      </c>
      <c r="I101">
        <v>14.966340000000001</v>
      </c>
      <c r="Q101" s="31"/>
    </row>
    <row r="102" spans="1:17" x14ac:dyDescent="0.3">
      <c r="A102" t="s">
        <v>121</v>
      </c>
      <c r="B102">
        <v>181</v>
      </c>
      <c r="C102">
        <v>0</v>
      </c>
      <c r="D102">
        <v>1</v>
      </c>
      <c r="E102">
        <v>0</v>
      </c>
      <c r="F102">
        <v>0</v>
      </c>
      <c r="G102">
        <v>181</v>
      </c>
      <c r="H102">
        <v>2</v>
      </c>
      <c r="I102">
        <v>12.77618</v>
      </c>
      <c r="Q102" s="31"/>
    </row>
    <row r="103" spans="1:17" x14ac:dyDescent="0.3">
      <c r="A103" t="s">
        <v>91</v>
      </c>
      <c r="B103">
        <v>182</v>
      </c>
      <c r="C103">
        <v>0</v>
      </c>
      <c r="D103">
        <v>0</v>
      </c>
      <c r="E103">
        <v>0</v>
      </c>
      <c r="F103">
        <v>1</v>
      </c>
      <c r="G103">
        <v>182</v>
      </c>
      <c r="H103">
        <v>61</v>
      </c>
      <c r="I103">
        <v>81.837829999999997</v>
      </c>
      <c r="Q103" s="31"/>
    </row>
    <row r="104" spans="1:17" x14ac:dyDescent="0.3">
      <c r="A104" t="s">
        <v>91</v>
      </c>
      <c r="B104">
        <v>183</v>
      </c>
      <c r="C104">
        <v>0</v>
      </c>
      <c r="D104">
        <v>0</v>
      </c>
      <c r="E104">
        <v>1</v>
      </c>
      <c r="F104">
        <v>0</v>
      </c>
      <c r="G104">
        <v>183</v>
      </c>
      <c r="H104">
        <v>76</v>
      </c>
      <c r="I104">
        <v>86.970680000000002</v>
      </c>
      <c r="Q104" s="31"/>
    </row>
    <row r="105" spans="1:17" x14ac:dyDescent="0.3">
      <c r="A105" t="s">
        <v>62</v>
      </c>
      <c r="B105">
        <v>186</v>
      </c>
      <c r="C105">
        <v>0</v>
      </c>
      <c r="D105">
        <v>1</v>
      </c>
      <c r="E105">
        <v>0</v>
      </c>
      <c r="F105">
        <v>0</v>
      </c>
      <c r="G105">
        <v>186</v>
      </c>
      <c r="H105">
        <v>1</v>
      </c>
      <c r="I105">
        <v>5.9409900000000002</v>
      </c>
      <c r="Q105" s="31"/>
    </row>
    <row r="106" spans="1:17" x14ac:dyDescent="0.3">
      <c r="A106" t="s">
        <v>62</v>
      </c>
      <c r="B106">
        <v>187</v>
      </c>
      <c r="C106">
        <v>0</v>
      </c>
      <c r="D106">
        <v>0</v>
      </c>
      <c r="E106">
        <v>0</v>
      </c>
      <c r="F106">
        <v>1</v>
      </c>
      <c r="G106">
        <v>187</v>
      </c>
      <c r="H106">
        <v>2</v>
      </c>
      <c r="I106">
        <v>7.12066</v>
      </c>
      <c r="Q106" s="31"/>
    </row>
    <row r="107" spans="1:17" x14ac:dyDescent="0.3">
      <c r="A107" t="s">
        <v>62</v>
      </c>
      <c r="B107">
        <v>188</v>
      </c>
      <c r="C107">
        <v>1</v>
      </c>
      <c r="D107">
        <v>0</v>
      </c>
      <c r="E107">
        <v>0</v>
      </c>
      <c r="F107">
        <v>0</v>
      </c>
      <c r="G107">
        <v>188</v>
      </c>
      <c r="H107">
        <v>7</v>
      </c>
      <c r="I107">
        <v>5.7321299999999997</v>
      </c>
      <c r="Q107" s="31"/>
    </row>
    <row r="108" spans="1:17" x14ac:dyDescent="0.3">
      <c r="A108" t="s">
        <v>33</v>
      </c>
      <c r="B108">
        <v>190</v>
      </c>
      <c r="C108">
        <v>0</v>
      </c>
      <c r="D108">
        <v>0</v>
      </c>
      <c r="E108">
        <v>1</v>
      </c>
      <c r="F108">
        <v>0</v>
      </c>
      <c r="G108">
        <v>190</v>
      </c>
      <c r="H108">
        <v>190</v>
      </c>
      <c r="I108">
        <v>198.62853999999999</v>
      </c>
      <c r="Q108" s="31"/>
    </row>
    <row r="109" spans="1:17" x14ac:dyDescent="0.3">
      <c r="A109" t="s">
        <v>33</v>
      </c>
      <c r="B109">
        <v>191</v>
      </c>
      <c r="C109">
        <v>0</v>
      </c>
      <c r="D109">
        <v>1</v>
      </c>
      <c r="E109">
        <v>0</v>
      </c>
      <c r="F109">
        <v>0</v>
      </c>
      <c r="G109">
        <v>191</v>
      </c>
      <c r="H109">
        <v>98</v>
      </c>
      <c r="I109">
        <v>97.616380000000007</v>
      </c>
      <c r="Q109" s="31"/>
    </row>
    <row r="110" spans="1:17" x14ac:dyDescent="0.3">
      <c r="A110" t="s">
        <v>122</v>
      </c>
      <c r="B110">
        <v>194</v>
      </c>
      <c r="C110">
        <v>0</v>
      </c>
      <c r="D110">
        <v>0</v>
      </c>
      <c r="E110">
        <v>1</v>
      </c>
      <c r="F110">
        <v>0</v>
      </c>
      <c r="G110">
        <v>194</v>
      </c>
      <c r="H110">
        <v>2</v>
      </c>
      <c r="I110">
        <v>0.27424999999999999</v>
      </c>
      <c r="Q110" s="31"/>
    </row>
    <row r="111" spans="1:17" x14ac:dyDescent="0.3">
      <c r="A111" t="s">
        <v>122</v>
      </c>
      <c r="B111">
        <v>195</v>
      </c>
      <c r="C111">
        <v>0</v>
      </c>
      <c r="D111">
        <v>0</v>
      </c>
      <c r="E111">
        <v>0</v>
      </c>
      <c r="F111">
        <v>1</v>
      </c>
      <c r="G111">
        <v>195</v>
      </c>
      <c r="H111">
        <v>3</v>
      </c>
      <c r="I111">
        <v>1.6738599999999999</v>
      </c>
      <c r="Q111" s="31"/>
    </row>
    <row r="112" spans="1:17" x14ac:dyDescent="0.3">
      <c r="A112" t="s">
        <v>92</v>
      </c>
      <c r="B112">
        <v>196</v>
      </c>
      <c r="C112">
        <v>0</v>
      </c>
      <c r="D112">
        <v>1</v>
      </c>
      <c r="E112">
        <v>0</v>
      </c>
      <c r="F112">
        <v>0</v>
      </c>
      <c r="G112">
        <v>196</v>
      </c>
      <c r="H112">
        <v>49</v>
      </c>
      <c r="I112">
        <v>54.834800000000001</v>
      </c>
      <c r="Q112" s="31"/>
    </row>
    <row r="113" spans="1:17" x14ac:dyDescent="0.3">
      <c r="A113" t="s">
        <v>92</v>
      </c>
      <c r="B113">
        <v>197</v>
      </c>
      <c r="C113">
        <v>0</v>
      </c>
      <c r="D113">
        <v>0</v>
      </c>
      <c r="E113">
        <v>1</v>
      </c>
      <c r="F113">
        <v>0</v>
      </c>
      <c r="G113">
        <v>197</v>
      </c>
      <c r="H113">
        <v>143</v>
      </c>
      <c r="I113">
        <v>150.31300999999999</v>
      </c>
      <c r="Q113" s="31"/>
    </row>
    <row r="114" spans="1:17" x14ac:dyDescent="0.3">
      <c r="A114" t="s">
        <v>63</v>
      </c>
      <c r="B114">
        <v>200</v>
      </c>
      <c r="C114">
        <v>0</v>
      </c>
      <c r="D114">
        <v>0</v>
      </c>
      <c r="E114">
        <v>0</v>
      </c>
      <c r="F114">
        <v>1</v>
      </c>
      <c r="G114">
        <v>200</v>
      </c>
      <c r="H114">
        <v>24</v>
      </c>
      <c r="I114">
        <v>10.55589</v>
      </c>
      <c r="Q114" s="31"/>
    </row>
    <row r="115" spans="1:17" x14ac:dyDescent="0.3">
      <c r="A115" t="s">
        <v>63</v>
      </c>
      <c r="B115">
        <v>201</v>
      </c>
      <c r="C115">
        <v>0</v>
      </c>
      <c r="D115">
        <v>0</v>
      </c>
      <c r="E115">
        <v>1</v>
      </c>
      <c r="F115">
        <v>0</v>
      </c>
      <c r="G115">
        <v>201</v>
      </c>
      <c r="H115">
        <v>23</v>
      </c>
      <c r="I115">
        <v>11.5749</v>
      </c>
      <c r="Q115" s="31"/>
    </row>
    <row r="116" spans="1:17" x14ac:dyDescent="0.3">
      <c r="A116" t="s">
        <v>63</v>
      </c>
      <c r="B116">
        <v>202</v>
      </c>
      <c r="C116">
        <v>1</v>
      </c>
      <c r="D116">
        <v>0</v>
      </c>
      <c r="E116">
        <v>0</v>
      </c>
      <c r="F116">
        <v>0</v>
      </c>
      <c r="G116">
        <v>202</v>
      </c>
      <c r="H116">
        <v>7</v>
      </c>
      <c r="I116">
        <v>7.6693800000000003</v>
      </c>
      <c r="Q116" s="31"/>
    </row>
    <row r="117" spans="1:17" x14ac:dyDescent="0.3">
      <c r="A117" t="s">
        <v>93</v>
      </c>
      <c r="B117">
        <v>205</v>
      </c>
      <c r="C117">
        <v>1</v>
      </c>
      <c r="D117">
        <v>0</v>
      </c>
      <c r="E117">
        <v>0</v>
      </c>
      <c r="F117">
        <v>0</v>
      </c>
      <c r="G117">
        <v>205</v>
      </c>
      <c r="H117">
        <v>67</v>
      </c>
      <c r="I117">
        <v>69.758039999999994</v>
      </c>
      <c r="Q117" s="31"/>
    </row>
    <row r="118" spans="1:17" x14ac:dyDescent="0.3">
      <c r="A118" t="s">
        <v>93</v>
      </c>
      <c r="B118">
        <v>206</v>
      </c>
      <c r="C118">
        <v>0</v>
      </c>
      <c r="D118">
        <v>0</v>
      </c>
      <c r="E118">
        <v>1</v>
      </c>
      <c r="F118">
        <v>0</v>
      </c>
      <c r="G118">
        <v>206</v>
      </c>
      <c r="H118">
        <v>212</v>
      </c>
      <c r="I118">
        <v>213.55681000000001</v>
      </c>
      <c r="Q118" s="31"/>
    </row>
    <row r="119" spans="1:17" x14ac:dyDescent="0.3">
      <c r="A119" t="s">
        <v>93</v>
      </c>
      <c r="B119">
        <v>207</v>
      </c>
      <c r="C119">
        <v>0</v>
      </c>
      <c r="D119">
        <v>0</v>
      </c>
      <c r="E119">
        <v>0</v>
      </c>
      <c r="F119">
        <v>1</v>
      </c>
      <c r="G119">
        <v>207</v>
      </c>
      <c r="H119">
        <v>207</v>
      </c>
      <c r="I119">
        <v>220.64918</v>
      </c>
      <c r="Q119" s="31"/>
    </row>
    <row r="120" spans="1:17" x14ac:dyDescent="0.3">
      <c r="A120" t="s">
        <v>93</v>
      </c>
      <c r="B120">
        <v>208</v>
      </c>
      <c r="C120">
        <v>0</v>
      </c>
      <c r="D120">
        <v>1</v>
      </c>
      <c r="E120">
        <v>0</v>
      </c>
      <c r="F120">
        <v>0</v>
      </c>
      <c r="G120">
        <v>208</v>
      </c>
      <c r="H120">
        <v>116</v>
      </c>
      <c r="I120">
        <v>110.57807</v>
      </c>
      <c r="Q120" s="31"/>
    </row>
    <row r="121" spans="1:17" x14ac:dyDescent="0.3">
      <c r="A121" t="s">
        <v>64</v>
      </c>
      <c r="B121">
        <v>209</v>
      </c>
      <c r="C121">
        <v>1</v>
      </c>
      <c r="D121">
        <v>0</v>
      </c>
      <c r="E121">
        <v>0</v>
      </c>
      <c r="F121">
        <v>0</v>
      </c>
      <c r="G121">
        <v>209</v>
      </c>
      <c r="H121">
        <v>28</v>
      </c>
      <c r="I121">
        <v>19.733989999999999</v>
      </c>
      <c r="Q121" s="31"/>
    </row>
    <row r="122" spans="1:17" x14ac:dyDescent="0.3">
      <c r="A122" t="s">
        <v>94</v>
      </c>
      <c r="B122">
        <v>214</v>
      </c>
      <c r="C122">
        <v>1</v>
      </c>
      <c r="D122">
        <v>0</v>
      </c>
      <c r="E122">
        <v>0</v>
      </c>
      <c r="F122">
        <v>0</v>
      </c>
      <c r="G122">
        <v>214</v>
      </c>
      <c r="H122">
        <v>10</v>
      </c>
      <c r="I122">
        <v>5.7478100000000003</v>
      </c>
      <c r="Q122" s="31"/>
    </row>
    <row r="123" spans="1:17" x14ac:dyDescent="0.3">
      <c r="A123" t="s">
        <v>94</v>
      </c>
      <c r="B123">
        <v>215</v>
      </c>
      <c r="C123">
        <v>0</v>
      </c>
      <c r="D123">
        <v>0</v>
      </c>
      <c r="E123">
        <v>0</v>
      </c>
      <c r="F123">
        <v>1</v>
      </c>
      <c r="G123">
        <v>215</v>
      </c>
      <c r="H123">
        <v>58</v>
      </c>
      <c r="I123">
        <v>80.709140000000005</v>
      </c>
      <c r="Q123" s="31"/>
    </row>
    <row r="124" spans="1:17" x14ac:dyDescent="0.3">
      <c r="A124" t="s">
        <v>94</v>
      </c>
      <c r="B124">
        <v>216</v>
      </c>
      <c r="C124">
        <v>0</v>
      </c>
      <c r="D124">
        <v>1</v>
      </c>
      <c r="E124">
        <v>0</v>
      </c>
      <c r="F124">
        <v>0</v>
      </c>
      <c r="G124">
        <v>216</v>
      </c>
      <c r="H124">
        <v>14</v>
      </c>
      <c r="I124">
        <v>22.58389</v>
      </c>
      <c r="Q124" s="31"/>
    </row>
    <row r="125" spans="1:17" x14ac:dyDescent="0.3">
      <c r="A125" t="s">
        <v>65</v>
      </c>
      <c r="B125">
        <v>218</v>
      </c>
      <c r="C125">
        <v>0</v>
      </c>
      <c r="D125">
        <v>1</v>
      </c>
      <c r="E125">
        <v>0</v>
      </c>
      <c r="F125">
        <v>0</v>
      </c>
      <c r="G125">
        <v>218</v>
      </c>
      <c r="H125">
        <v>28</v>
      </c>
      <c r="I125">
        <v>18.71715</v>
      </c>
      <c r="Q125" s="31"/>
    </row>
    <row r="126" spans="1:17" x14ac:dyDescent="0.3">
      <c r="A126" t="s">
        <v>65</v>
      </c>
      <c r="B126">
        <v>219</v>
      </c>
      <c r="C126">
        <v>0</v>
      </c>
      <c r="D126">
        <v>0</v>
      </c>
      <c r="E126">
        <v>0</v>
      </c>
      <c r="F126">
        <v>1</v>
      </c>
      <c r="G126">
        <v>219</v>
      </c>
      <c r="H126">
        <v>84</v>
      </c>
      <c r="I126">
        <v>89.222710000000006</v>
      </c>
      <c r="Q126" s="31"/>
    </row>
    <row r="127" spans="1:17" x14ac:dyDescent="0.3">
      <c r="A127" t="s">
        <v>65</v>
      </c>
      <c r="B127">
        <v>220</v>
      </c>
      <c r="C127">
        <v>0</v>
      </c>
      <c r="D127">
        <v>0</v>
      </c>
      <c r="E127">
        <v>1</v>
      </c>
      <c r="F127">
        <v>0</v>
      </c>
      <c r="G127">
        <v>220</v>
      </c>
      <c r="H127">
        <v>85</v>
      </c>
      <c r="I127">
        <v>79.937520000000006</v>
      </c>
      <c r="Q127" s="31"/>
    </row>
    <row r="128" spans="1:17" x14ac:dyDescent="0.3">
      <c r="A128" t="s">
        <v>65</v>
      </c>
      <c r="B128">
        <v>221</v>
      </c>
      <c r="C128">
        <v>1</v>
      </c>
      <c r="D128">
        <v>0</v>
      </c>
      <c r="E128">
        <v>0</v>
      </c>
      <c r="F128">
        <v>0</v>
      </c>
      <c r="G128">
        <v>221</v>
      </c>
      <c r="H128">
        <v>29</v>
      </c>
      <c r="I128">
        <v>31.98659</v>
      </c>
      <c r="Q128" s="31"/>
    </row>
    <row r="129" spans="1:17" x14ac:dyDescent="0.3">
      <c r="A129" t="s">
        <v>35</v>
      </c>
      <c r="B129">
        <v>222</v>
      </c>
      <c r="C129">
        <v>0</v>
      </c>
      <c r="D129">
        <v>0</v>
      </c>
      <c r="E129">
        <v>0</v>
      </c>
      <c r="F129">
        <v>1</v>
      </c>
      <c r="G129">
        <v>222</v>
      </c>
      <c r="H129">
        <v>20</v>
      </c>
      <c r="I129">
        <v>19.43507</v>
      </c>
      <c r="Q129" s="31"/>
    </row>
    <row r="130" spans="1:17" x14ac:dyDescent="0.3">
      <c r="A130" t="s">
        <v>35</v>
      </c>
      <c r="B130">
        <v>223</v>
      </c>
      <c r="C130">
        <v>1</v>
      </c>
      <c r="D130">
        <v>0</v>
      </c>
      <c r="E130">
        <v>0</v>
      </c>
      <c r="F130">
        <v>0</v>
      </c>
      <c r="G130">
        <v>223</v>
      </c>
      <c r="H130">
        <v>22</v>
      </c>
      <c r="I130">
        <v>19.99532</v>
      </c>
      <c r="Q130" s="31"/>
    </row>
    <row r="131" spans="1:17" x14ac:dyDescent="0.3">
      <c r="A131" t="s">
        <v>95</v>
      </c>
      <c r="B131">
        <v>226</v>
      </c>
      <c r="C131">
        <v>1</v>
      </c>
      <c r="D131">
        <v>0</v>
      </c>
      <c r="E131">
        <v>0</v>
      </c>
      <c r="F131">
        <v>0</v>
      </c>
      <c r="G131">
        <v>226</v>
      </c>
      <c r="H131">
        <v>1</v>
      </c>
      <c r="I131">
        <v>0.66057999999999995</v>
      </c>
      <c r="Q131" s="31"/>
    </row>
    <row r="132" spans="1:17" x14ac:dyDescent="0.3">
      <c r="A132" t="s">
        <v>95</v>
      </c>
      <c r="B132">
        <v>227</v>
      </c>
      <c r="C132">
        <v>0</v>
      </c>
      <c r="D132">
        <v>1</v>
      </c>
      <c r="E132">
        <v>0</v>
      </c>
      <c r="F132">
        <v>0</v>
      </c>
      <c r="G132">
        <v>227</v>
      </c>
      <c r="H132">
        <v>13</v>
      </c>
      <c r="I132">
        <v>15.27298</v>
      </c>
      <c r="Q132" s="31"/>
    </row>
    <row r="133" spans="1:17" x14ac:dyDescent="0.3">
      <c r="A133" t="s">
        <v>95</v>
      </c>
      <c r="B133">
        <v>228</v>
      </c>
      <c r="C133">
        <v>0</v>
      </c>
      <c r="D133">
        <v>0</v>
      </c>
      <c r="E133">
        <v>0</v>
      </c>
      <c r="F133">
        <v>1</v>
      </c>
      <c r="G133">
        <v>228</v>
      </c>
      <c r="H133">
        <v>50</v>
      </c>
      <c r="I133">
        <v>51.100560000000002</v>
      </c>
      <c r="Q133" s="31"/>
    </row>
    <row r="134" spans="1:17" x14ac:dyDescent="0.3">
      <c r="A134" t="s">
        <v>66</v>
      </c>
      <c r="B134">
        <v>230</v>
      </c>
      <c r="C134">
        <v>0</v>
      </c>
      <c r="D134">
        <v>0</v>
      </c>
      <c r="E134">
        <v>1</v>
      </c>
      <c r="F134">
        <v>0</v>
      </c>
      <c r="G134">
        <v>230</v>
      </c>
      <c r="H134">
        <v>51</v>
      </c>
      <c r="I134">
        <v>69.627529999999993</v>
      </c>
      <c r="Q134" s="31"/>
    </row>
    <row r="135" spans="1:17" x14ac:dyDescent="0.3">
      <c r="A135" t="s">
        <v>66</v>
      </c>
      <c r="B135">
        <v>231</v>
      </c>
      <c r="C135">
        <v>1</v>
      </c>
      <c r="D135">
        <v>0</v>
      </c>
      <c r="E135">
        <v>0</v>
      </c>
      <c r="F135">
        <v>0</v>
      </c>
      <c r="G135">
        <v>231</v>
      </c>
      <c r="H135">
        <v>30</v>
      </c>
      <c r="I135">
        <v>42.234960000000001</v>
      </c>
      <c r="Q135" s="31"/>
    </row>
    <row r="136" spans="1:17" x14ac:dyDescent="0.3">
      <c r="A136" t="s">
        <v>36</v>
      </c>
      <c r="B136">
        <v>234</v>
      </c>
      <c r="C136">
        <v>0</v>
      </c>
      <c r="D136">
        <v>0</v>
      </c>
      <c r="E136">
        <v>1</v>
      </c>
      <c r="F136">
        <v>0</v>
      </c>
      <c r="G136">
        <v>234</v>
      </c>
      <c r="H136">
        <v>17</v>
      </c>
      <c r="I136">
        <v>20.469390000000001</v>
      </c>
      <c r="Q136" s="31"/>
    </row>
    <row r="137" spans="1:17" x14ac:dyDescent="0.3">
      <c r="A137" t="s">
        <v>36</v>
      </c>
      <c r="B137">
        <v>235</v>
      </c>
      <c r="C137">
        <v>0</v>
      </c>
      <c r="D137">
        <v>0</v>
      </c>
      <c r="E137">
        <v>0</v>
      </c>
      <c r="F137">
        <v>1</v>
      </c>
      <c r="G137">
        <v>235</v>
      </c>
      <c r="H137">
        <v>17</v>
      </c>
      <c r="I137">
        <v>21.784279999999999</v>
      </c>
      <c r="Q137" s="31"/>
    </row>
    <row r="138" spans="1:17" x14ac:dyDescent="0.3">
      <c r="A138" t="s">
        <v>36</v>
      </c>
      <c r="B138">
        <v>236</v>
      </c>
      <c r="C138">
        <v>1</v>
      </c>
      <c r="D138">
        <v>0</v>
      </c>
      <c r="E138">
        <v>0</v>
      </c>
      <c r="F138">
        <v>0</v>
      </c>
      <c r="G138">
        <v>236</v>
      </c>
      <c r="H138">
        <v>9</v>
      </c>
      <c r="I138">
        <v>9.95641</v>
      </c>
      <c r="Q138" s="31"/>
    </row>
    <row r="139" spans="1:17" x14ac:dyDescent="0.3">
      <c r="A139" t="s">
        <v>96</v>
      </c>
      <c r="B139">
        <v>238</v>
      </c>
      <c r="C139">
        <v>1</v>
      </c>
      <c r="D139">
        <v>0</v>
      </c>
      <c r="E139">
        <v>0</v>
      </c>
      <c r="F139">
        <v>0</v>
      </c>
      <c r="G139">
        <v>238</v>
      </c>
      <c r="H139">
        <v>4</v>
      </c>
      <c r="I139">
        <v>1.5348599999999999</v>
      </c>
      <c r="Q139" s="31"/>
    </row>
    <row r="140" spans="1:17" x14ac:dyDescent="0.3">
      <c r="A140" t="s">
        <v>96</v>
      </c>
      <c r="B140">
        <v>239</v>
      </c>
      <c r="C140">
        <v>0</v>
      </c>
      <c r="D140">
        <v>0</v>
      </c>
      <c r="E140">
        <v>0</v>
      </c>
      <c r="F140">
        <v>1</v>
      </c>
      <c r="G140">
        <v>239</v>
      </c>
      <c r="H140">
        <v>44</v>
      </c>
      <c r="I140">
        <v>37.859459999999999</v>
      </c>
      <c r="Q140" s="31"/>
    </row>
    <row r="141" spans="1:17" x14ac:dyDescent="0.3">
      <c r="A141" t="s">
        <v>67</v>
      </c>
      <c r="B141">
        <v>242</v>
      </c>
      <c r="C141">
        <v>0</v>
      </c>
      <c r="D141">
        <v>0</v>
      </c>
      <c r="E141">
        <v>0</v>
      </c>
      <c r="F141">
        <v>1</v>
      </c>
      <c r="G141">
        <v>242</v>
      </c>
      <c r="H141">
        <v>206</v>
      </c>
      <c r="I141">
        <v>197.80257</v>
      </c>
      <c r="Q141" s="31"/>
    </row>
    <row r="142" spans="1:17" x14ac:dyDescent="0.3">
      <c r="A142" t="s">
        <v>67</v>
      </c>
      <c r="B142">
        <v>243</v>
      </c>
      <c r="C142">
        <v>0</v>
      </c>
      <c r="D142">
        <v>1</v>
      </c>
      <c r="E142">
        <v>0</v>
      </c>
      <c r="F142">
        <v>0</v>
      </c>
      <c r="G142">
        <v>243</v>
      </c>
      <c r="H142">
        <v>94</v>
      </c>
      <c r="I142">
        <v>98.154470000000003</v>
      </c>
      <c r="Q142" s="31"/>
    </row>
    <row r="143" spans="1:17" x14ac:dyDescent="0.3">
      <c r="A143" t="s">
        <v>37</v>
      </c>
      <c r="B143">
        <v>246</v>
      </c>
      <c r="C143">
        <v>0</v>
      </c>
      <c r="D143">
        <v>1</v>
      </c>
      <c r="E143">
        <v>0</v>
      </c>
      <c r="F143">
        <v>0</v>
      </c>
      <c r="G143">
        <v>246</v>
      </c>
      <c r="H143">
        <v>18</v>
      </c>
      <c r="I143">
        <v>17.399460000000001</v>
      </c>
      <c r="Q143" s="31"/>
    </row>
    <row r="144" spans="1:17" x14ac:dyDescent="0.3">
      <c r="A144" t="s">
        <v>37</v>
      </c>
      <c r="B144">
        <v>247</v>
      </c>
      <c r="C144">
        <v>1</v>
      </c>
      <c r="D144">
        <v>0</v>
      </c>
      <c r="E144">
        <v>0</v>
      </c>
      <c r="F144">
        <v>0</v>
      </c>
      <c r="G144">
        <v>247</v>
      </c>
      <c r="H144">
        <v>15</v>
      </c>
      <c r="I144">
        <v>17.335049999999999</v>
      </c>
      <c r="Q144" s="31"/>
    </row>
    <row r="145" spans="1:17" x14ac:dyDescent="0.3">
      <c r="A145" t="s">
        <v>97</v>
      </c>
      <c r="B145">
        <v>250</v>
      </c>
      <c r="C145">
        <v>0</v>
      </c>
      <c r="D145">
        <v>1</v>
      </c>
      <c r="E145">
        <v>0</v>
      </c>
      <c r="F145">
        <v>0</v>
      </c>
      <c r="G145">
        <v>250</v>
      </c>
      <c r="H145">
        <v>2</v>
      </c>
      <c r="I145">
        <v>10.84638</v>
      </c>
      <c r="Q145" s="31"/>
    </row>
    <row r="146" spans="1:17" x14ac:dyDescent="0.3">
      <c r="A146" t="s">
        <v>68</v>
      </c>
      <c r="B146">
        <v>254</v>
      </c>
      <c r="C146">
        <v>0</v>
      </c>
      <c r="D146">
        <v>0</v>
      </c>
      <c r="E146">
        <v>1</v>
      </c>
      <c r="F146">
        <v>0</v>
      </c>
      <c r="G146">
        <v>254</v>
      </c>
      <c r="H146">
        <v>55</v>
      </c>
      <c r="I146">
        <v>57.698210000000003</v>
      </c>
      <c r="Q146" s="31"/>
    </row>
    <row r="147" spans="1:17" x14ac:dyDescent="0.3">
      <c r="A147" t="s">
        <v>68</v>
      </c>
      <c r="B147">
        <v>255</v>
      </c>
      <c r="C147">
        <v>0</v>
      </c>
      <c r="D147">
        <v>0</v>
      </c>
      <c r="E147">
        <v>0</v>
      </c>
      <c r="F147">
        <v>1</v>
      </c>
      <c r="G147">
        <v>255</v>
      </c>
      <c r="H147">
        <v>50</v>
      </c>
      <c r="I147">
        <v>63.12679</v>
      </c>
      <c r="Q147" s="31"/>
    </row>
    <row r="148" spans="1:17" x14ac:dyDescent="0.3">
      <c r="A148" t="s">
        <v>68</v>
      </c>
      <c r="B148">
        <v>256</v>
      </c>
      <c r="C148">
        <v>0</v>
      </c>
      <c r="D148">
        <v>1</v>
      </c>
      <c r="E148">
        <v>0</v>
      </c>
      <c r="F148">
        <v>0</v>
      </c>
      <c r="G148">
        <v>256</v>
      </c>
      <c r="H148">
        <v>19</v>
      </c>
      <c r="I148">
        <v>18.056899999999999</v>
      </c>
      <c r="Q148" s="31"/>
    </row>
    <row r="149" spans="1:17" x14ac:dyDescent="0.3">
      <c r="A149" t="s">
        <v>38</v>
      </c>
      <c r="B149">
        <v>258</v>
      </c>
      <c r="C149">
        <v>0</v>
      </c>
      <c r="D149">
        <v>0</v>
      </c>
      <c r="E149">
        <v>0</v>
      </c>
      <c r="F149">
        <v>1</v>
      </c>
      <c r="G149">
        <v>258</v>
      </c>
      <c r="H149">
        <v>113</v>
      </c>
      <c r="I149">
        <v>124.69458</v>
      </c>
      <c r="Q149" s="31"/>
    </row>
    <row r="150" spans="1:17" x14ac:dyDescent="0.3">
      <c r="A150" t="s">
        <v>38</v>
      </c>
      <c r="B150">
        <v>259</v>
      </c>
      <c r="C150">
        <v>0</v>
      </c>
      <c r="D150">
        <v>0</v>
      </c>
      <c r="E150">
        <v>1</v>
      </c>
      <c r="F150">
        <v>0</v>
      </c>
      <c r="G150">
        <v>259</v>
      </c>
      <c r="H150">
        <v>115</v>
      </c>
      <c r="I150">
        <v>128.75769</v>
      </c>
      <c r="Q150" s="31"/>
    </row>
    <row r="151" spans="1:17" x14ac:dyDescent="0.3">
      <c r="A151" t="s">
        <v>69</v>
      </c>
      <c r="B151">
        <v>265</v>
      </c>
      <c r="C151">
        <v>0</v>
      </c>
      <c r="D151">
        <v>0</v>
      </c>
      <c r="E151">
        <v>0</v>
      </c>
      <c r="F151">
        <v>1</v>
      </c>
      <c r="G151">
        <v>265</v>
      </c>
      <c r="H151">
        <v>43</v>
      </c>
      <c r="I151">
        <v>28.824110000000001</v>
      </c>
      <c r="Q151" s="31"/>
    </row>
    <row r="152" spans="1:17" x14ac:dyDescent="0.3">
      <c r="A152" s="26" t="s">
        <v>199</v>
      </c>
      <c r="B152">
        <v>273</v>
      </c>
      <c r="C152">
        <v>0</v>
      </c>
      <c r="D152">
        <v>0</v>
      </c>
      <c r="E152">
        <v>0</v>
      </c>
      <c r="F152">
        <v>1</v>
      </c>
      <c r="G152">
        <v>273</v>
      </c>
      <c r="H152">
        <v>4</v>
      </c>
      <c r="I152">
        <v>9.96814</v>
      </c>
      <c r="Q152" s="31"/>
    </row>
    <row r="153" spans="1:17" x14ac:dyDescent="0.3">
      <c r="A153" t="s">
        <v>9</v>
      </c>
      <c r="B153">
        <v>274</v>
      </c>
      <c r="C153">
        <v>0</v>
      </c>
      <c r="D153">
        <v>1</v>
      </c>
      <c r="E153">
        <v>0</v>
      </c>
      <c r="F153">
        <v>0</v>
      </c>
      <c r="G153">
        <v>274</v>
      </c>
      <c r="H153">
        <v>3</v>
      </c>
      <c r="I153">
        <v>4.1412500000000003</v>
      </c>
      <c r="Q153" s="31"/>
    </row>
    <row r="154" spans="1:17" x14ac:dyDescent="0.3">
      <c r="A154" t="s">
        <v>9</v>
      </c>
      <c r="B154">
        <v>275</v>
      </c>
      <c r="C154">
        <v>0</v>
      </c>
      <c r="D154">
        <v>0</v>
      </c>
      <c r="E154">
        <v>1</v>
      </c>
      <c r="F154">
        <v>0</v>
      </c>
      <c r="G154">
        <v>275</v>
      </c>
      <c r="H154">
        <v>5</v>
      </c>
      <c r="I154">
        <v>9.5778599999999994</v>
      </c>
      <c r="Q154" s="31"/>
    </row>
    <row r="155" spans="1:17" x14ac:dyDescent="0.3">
      <c r="A155" t="s">
        <v>99</v>
      </c>
      <c r="B155">
        <v>277</v>
      </c>
      <c r="C155">
        <v>0</v>
      </c>
      <c r="D155">
        <v>0</v>
      </c>
      <c r="E155">
        <v>1</v>
      </c>
      <c r="F155">
        <v>0</v>
      </c>
      <c r="G155">
        <v>277</v>
      </c>
      <c r="H155">
        <v>139</v>
      </c>
      <c r="I155">
        <v>143.95186000000001</v>
      </c>
      <c r="Q155" s="31"/>
    </row>
    <row r="156" spans="1:17" x14ac:dyDescent="0.3">
      <c r="A156" t="s">
        <v>70</v>
      </c>
      <c r="B156">
        <v>280</v>
      </c>
      <c r="C156">
        <v>0</v>
      </c>
      <c r="D156">
        <v>1</v>
      </c>
      <c r="E156">
        <v>0</v>
      </c>
      <c r="F156">
        <v>0</v>
      </c>
      <c r="G156">
        <v>280</v>
      </c>
      <c r="H156">
        <v>23</v>
      </c>
      <c r="I156">
        <v>9.0162099999999992</v>
      </c>
      <c r="Q156" s="31"/>
    </row>
    <row r="157" spans="1:17" x14ac:dyDescent="0.3">
      <c r="A157" t="s">
        <v>40</v>
      </c>
      <c r="B157">
        <v>284</v>
      </c>
      <c r="C157">
        <v>1</v>
      </c>
      <c r="D157">
        <v>0</v>
      </c>
      <c r="E157">
        <v>0</v>
      </c>
      <c r="F157">
        <v>0</v>
      </c>
      <c r="G157">
        <v>284</v>
      </c>
      <c r="H157">
        <v>14</v>
      </c>
      <c r="I157">
        <v>24.154499999999999</v>
      </c>
      <c r="Q157" s="31"/>
    </row>
    <row r="158" spans="1:17" x14ac:dyDescent="0.3">
      <c r="A158" t="s">
        <v>40</v>
      </c>
      <c r="B158">
        <v>285</v>
      </c>
      <c r="C158">
        <v>0</v>
      </c>
      <c r="D158">
        <v>1</v>
      </c>
      <c r="E158">
        <v>0</v>
      </c>
      <c r="F158">
        <v>0</v>
      </c>
      <c r="G158">
        <v>285</v>
      </c>
      <c r="H158">
        <v>12</v>
      </c>
      <c r="I158">
        <v>18.835999999999999</v>
      </c>
      <c r="Q158" s="31"/>
    </row>
    <row r="159" spans="1:17" x14ac:dyDescent="0.3">
      <c r="A159" t="s">
        <v>10</v>
      </c>
      <c r="B159">
        <v>289</v>
      </c>
      <c r="C159">
        <v>0</v>
      </c>
      <c r="D159">
        <v>1</v>
      </c>
      <c r="E159">
        <v>0</v>
      </c>
      <c r="F159">
        <v>0</v>
      </c>
      <c r="G159">
        <v>289</v>
      </c>
      <c r="H159">
        <v>12</v>
      </c>
      <c r="I159">
        <v>16.07742</v>
      </c>
      <c r="Q159" s="31"/>
    </row>
    <row r="160" spans="1:17" x14ac:dyDescent="0.3">
      <c r="A160" t="s">
        <v>100</v>
      </c>
      <c r="B160">
        <v>292</v>
      </c>
      <c r="C160">
        <v>1</v>
      </c>
      <c r="D160">
        <v>0</v>
      </c>
      <c r="E160">
        <v>0</v>
      </c>
      <c r="F160">
        <v>0</v>
      </c>
      <c r="G160">
        <v>292</v>
      </c>
      <c r="H160">
        <v>1</v>
      </c>
      <c r="I160">
        <v>2.0578500000000002</v>
      </c>
      <c r="Q160" s="31"/>
    </row>
    <row r="161" spans="1:17" x14ac:dyDescent="0.3">
      <c r="A161" t="s">
        <v>100</v>
      </c>
      <c r="B161">
        <v>293</v>
      </c>
      <c r="C161">
        <v>0</v>
      </c>
      <c r="D161">
        <v>0</v>
      </c>
      <c r="E161">
        <v>1</v>
      </c>
      <c r="F161">
        <v>0</v>
      </c>
      <c r="G161">
        <v>293</v>
      </c>
      <c r="H161">
        <v>38</v>
      </c>
      <c r="I161">
        <v>39.156210000000002</v>
      </c>
      <c r="Q161" s="31"/>
    </row>
    <row r="162" spans="1:17" x14ac:dyDescent="0.3">
      <c r="A162" t="s">
        <v>71</v>
      </c>
      <c r="B162">
        <v>296</v>
      </c>
      <c r="C162">
        <v>0</v>
      </c>
      <c r="D162">
        <v>0</v>
      </c>
      <c r="E162">
        <v>1</v>
      </c>
      <c r="F162">
        <v>0</v>
      </c>
      <c r="G162">
        <v>296</v>
      </c>
      <c r="H162">
        <v>36</v>
      </c>
      <c r="I162">
        <v>21.7881</v>
      </c>
      <c r="Q162" s="31"/>
    </row>
    <row r="163" spans="1:17" x14ac:dyDescent="0.3">
      <c r="A163" t="s">
        <v>71</v>
      </c>
      <c r="B163">
        <v>297</v>
      </c>
      <c r="C163">
        <v>0</v>
      </c>
      <c r="D163">
        <v>0</v>
      </c>
      <c r="E163">
        <v>0</v>
      </c>
      <c r="F163">
        <v>1</v>
      </c>
      <c r="G163">
        <v>297</v>
      </c>
      <c r="H163">
        <v>40</v>
      </c>
      <c r="I163">
        <v>26.10934</v>
      </c>
      <c r="Q163" s="31"/>
    </row>
    <row r="164" spans="1:17" x14ac:dyDescent="0.3">
      <c r="A164" t="s">
        <v>41</v>
      </c>
      <c r="B164">
        <v>300</v>
      </c>
      <c r="C164">
        <v>1</v>
      </c>
      <c r="D164">
        <v>0</v>
      </c>
      <c r="E164">
        <v>0</v>
      </c>
      <c r="F164">
        <v>0</v>
      </c>
      <c r="G164">
        <v>300</v>
      </c>
      <c r="H164">
        <v>3</v>
      </c>
      <c r="I164">
        <v>11.35365</v>
      </c>
      <c r="Q164" s="31"/>
    </row>
    <row r="165" spans="1:17" x14ac:dyDescent="0.3">
      <c r="A165" t="s">
        <v>41</v>
      </c>
      <c r="B165">
        <v>301</v>
      </c>
      <c r="C165">
        <v>0</v>
      </c>
      <c r="D165">
        <v>0</v>
      </c>
      <c r="E165">
        <v>0</v>
      </c>
      <c r="F165">
        <v>1</v>
      </c>
      <c r="G165">
        <v>301</v>
      </c>
      <c r="H165">
        <v>6</v>
      </c>
      <c r="I165">
        <v>16.34065</v>
      </c>
      <c r="Q165" s="31"/>
    </row>
    <row r="166" spans="1:17" x14ac:dyDescent="0.3">
      <c r="A166" t="s">
        <v>11</v>
      </c>
      <c r="B166">
        <v>303</v>
      </c>
      <c r="C166">
        <v>1</v>
      </c>
      <c r="D166">
        <v>0</v>
      </c>
      <c r="E166">
        <v>0</v>
      </c>
      <c r="F166">
        <v>0</v>
      </c>
      <c r="G166">
        <v>303</v>
      </c>
      <c r="H166">
        <v>19</v>
      </c>
      <c r="I166">
        <v>40.312170000000002</v>
      </c>
      <c r="Q166" s="31"/>
    </row>
    <row r="167" spans="1:17" x14ac:dyDescent="0.3">
      <c r="A167" t="s">
        <v>11</v>
      </c>
      <c r="B167">
        <v>304</v>
      </c>
      <c r="C167">
        <v>0</v>
      </c>
      <c r="D167">
        <v>0</v>
      </c>
      <c r="E167">
        <v>0</v>
      </c>
      <c r="F167">
        <v>1</v>
      </c>
      <c r="G167">
        <v>304</v>
      </c>
      <c r="H167">
        <v>39</v>
      </c>
      <c r="I167">
        <v>45.283239999999999</v>
      </c>
      <c r="Q167" s="31"/>
    </row>
    <row r="168" spans="1:17" x14ac:dyDescent="0.3">
      <c r="A168" t="s">
        <v>101</v>
      </c>
      <c r="B168">
        <v>307</v>
      </c>
      <c r="C168">
        <v>0</v>
      </c>
      <c r="D168">
        <v>0</v>
      </c>
      <c r="E168">
        <v>1</v>
      </c>
      <c r="F168">
        <v>0</v>
      </c>
      <c r="G168">
        <v>307</v>
      </c>
      <c r="H168">
        <v>36</v>
      </c>
      <c r="I168">
        <v>44.907029999999999</v>
      </c>
      <c r="Q168" s="31"/>
    </row>
    <row r="169" spans="1:17" x14ac:dyDescent="0.3">
      <c r="A169" t="s">
        <v>101</v>
      </c>
      <c r="B169">
        <v>308</v>
      </c>
      <c r="C169">
        <v>0</v>
      </c>
      <c r="D169">
        <v>0</v>
      </c>
      <c r="E169">
        <v>0</v>
      </c>
      <c r="F169">
        <v>1</v>
      </c>
      <c r="G169">
        <v>308</v>
      </c>
      <c r="H169">
        <v>36</v>
      </c>
      <c r="I169">
        <v>40.09928</v>
      </c>
      <c r="Q169" s="31"/>
    </row>
    <row r="170" spans="1:17" x14ac:dyDescent="0.3">
      <c r="A170" t="s">
        <v>101</v>
      </c>
      <c r="B170">
        <v>309</v>
      </c>
      <c r="C170">
        <v>1</v>
      </c>
      <c r="D170">
        <v>0</v>
      </c>
      <c r="E170">
        <v>0</v>
      </c>
      <c r="F170">
        <v>0</v>
      </c>
      <c r="G170">
        <v>309</v>
      </c>
      <c r="H170">
        <v>4</v>
      </c>
      <c r="I170">
        <v>8.8463200000000004</v>
      </c>
      <c r="Q170" s="31"/>
    </row>
    <row r="171" spans="1:17" x14ac:dyDescent="0.3">
      <c r="A171" t="s">
        <v>42</v>
      </c>
      <c r="B171">
        <v>315</v>
      </c>
      <c r="C171">
        <v>0</v>
      </c>
      <c r="D171">
        <v>0</v>
      </c>
      <c r="E171">
        <v>0</v>
      </c>
      <c r="F171">
        <v>1</v>
      </c>
      <c r="G171">
        <v>315</v>
      </c>
      <c r="H171">
        <v>15</v>
      </c>
      <c r="I171">
        <v>25.645810000000001</v>
      </c>
      <c r="Q171" s="31"/>
    </row>
    <row r="172" spans="1:17" x14ac:dyDescent="0.3">
      <c r="A172" t="s">
        <v>12</v>
      </c>
      <c r="B172">
        <v>317</v>
      </c>
      <c r="C172">
        <v>1</v>
      </c>
      <c r="D172">
        <v>0</v>
      </c>
      <c r="E172">
        <v>0</v>
      </c>
      <c r="F172">
        <v>0</v>
      </c>
      <c r="G172">
        <v>317</v>
      </c>
      <c r="H172">
        <v>91</v>
      </c>
      <c r="I172">
        <v>77.791700000000006</v>
      </c>
      <c r="Q172" s="31"/>
    </row>
    <row r="173" spans="1:17" x14ac:dyDescent="0.3">
      <c r="A173" t="s">
        <v>12</v>
      </c>
      <c r="B173">
        <v>318</v>
      </c>
      <c r="C173">
        <v>0</v>
      </c>
      <c r="D173">
        <v>0</v>
      </c>
      <c r="E173">
        <v>1</v>
      </c>
      <c r="F173">
        <v>0</v>
      </c>
      <c r="G173">
        <v>318</v>
      </c>
      <c r="H173">
        <v>173</v>
      </c>
      <c r="I173">
        <v>169.97103000000001</v>
      </c>
      <c r="Q173" s="31"/>
    </row>
    <row r="174" spans="1:17" x14ac:dyDescent="0.3">
      <c r="A174" t="s">
        <v>12</v>
      </c>
      <c r="B174">
        <v>319</v>
      </c>
      <c r="C174">
        <v>0</v>
      </c>
      <c r="D174">
        <v>1</v>
      </c>
      <c r="E174">
        <v>0</v>
      </c>
      <c r="F174">
        <v>0</v>
      </c>
      <c r="G174">
        <v>319</v>
      </c>
      <c r="H174">
        <v>77</v>
      </c>
      <c r="I174">
        <v>75.339789999999994</v>
      </c>
      <c r="Q174" s="31"/>
    </row>
    <row r="175" spans="1:17" x14ac:dyDescent="0.3">
      <c r="A175" t="s">
        <v>102</v>
      </c>
      <c r="B175">
        <v>321</v>
      </c>
      <c r="C175">
        <v>0</v>
      </c>
      <c r="D175">
        <v>0</v>
      </c>
      <c r="E175">
        <v>0</v>
      </c>
      <c r="F175">
        <v>1</v>
      </c>
      <c r="G175">
        <v>321</v>
      </c>
      <c r="H175">
        <v>1</v>
      </c>
      <c r="I175">
        <v>3.2139700000000002</v>
      </c>
      <c r="Q175" s="31"/>
    </row>
    <row r="176" spans="1:17" x14ac:dyDescent="0.3">
      <c r="A176" t="s">
        <v>102</v>
      </c>
      <c r="B176">
        <v>322</v>
      </c>
      <c r="C176">
        <v>0</v>
      </c>
      <c r="D176">
        <v>0</v>
      </c>
      <c r="E176">
        <v>1</v>
      </c>
      <c r="F176">
        <v>0</v>
      </c>
      <c r="G176">
        <v>322</v>
      </c>
      <c r="H176">
        <v>2</v>
      </c>
      <c r="I176">
        <v>4.2115799999999997</v>
      </c>
      <c r="Q176" s="31"/>
    </row>
    <row r="177" spans="1:17" x14ac:dyDescent="0.3">
      <c r="A177" t="s">
        <v>73</v>
      </c>
      <c r="B177">
        <v>323</v>
      </c>
      <c r="C177">
        <v>0</v>
      </c>
      <c r="D177">
        <v>0</v>
      </c>
      <c r="E177">
        <v>1</v>
      </c>
      <c r="F177">
        <v>0</v>
      </c>
      <c r="G177">
        <v>323</v>
      </c>
      <c r="H177">
        <v>214</v>
      </c>
      <c r="I177">
        <v>158.54248000000001</v>
      </c>
      <c r="Q177" s="31"/>
    </row>
    <row r="178" spans="1:17" x14ac:dyDescent="0.3">
      <c r="A178" t="s">
        <v>73</v>
      </c>
      <c r="B178">
        <v>324</v>
      </c>
      <c r="C178">
        <v>1</v>
      </c>
      <c r="D178">
        <v>0</v>
      </c>
      <c r="E178">
        <v>0</v>
      </c>
      <c r="F178">
        <v>0</v>
      </c>
      <c r="G178">
        <v>324</v>
      </c>
      <c r="H178">
        <v>66</v>
      </c>
      <c r="I178">
        <v>43.57761</v>
      </c>
      <c r="Q178" s="31"/>
    </row>
    <row r="179" spans="1:17" x14ac:dyDescent="0.3">
      <c r="A179" t="s">
        <v>43</v>
      </c>
      <c r="B179">
        <v>327</v>
      </c>
      <c r="C179">
        <v>0</v>
      </c>
      <c r="D179">
        <v>1</v>
      </c>
      <c r="E179">
        <v>0</v>
      </c>
      <c r="F179">
        <v>0</v>
      </c>
      <c r="G179">
        <v>327</v>
      </c>
      <c r="H179">
        <v>19</v>
      </c>
      <c r="I179">
        <v>14.05386</v>
      </c>
      <c r="Q179" s="31"/>
    </row>
    <row r="180" spans="1:17" x14ac:dyDescent="0.3">
      <c r="A180" t="s">
        <v>43</v>
      </c>
      <c r="B180">
        <v>328</v>
      </c>
      <c r="C180">
        <v>0</v>
      </c>
      <c r="D180">
        <v>0</v>
      </c>
      <c r="E180">
        <v>0</v>
      </c>
      <c r="F180">
        <v>1</v>
      </c>
      <c r="G180">
        <v>328</v>
      </c>
      <c r="H180">
        <v>32</v>
      </c>
      <c r="I180">
        <v>48.030299999999997</v>
      </c>
      <c r="Q180" s="31"/>
    </row>
    <row r="181" spans="1:17" x14ac:dyDescent="0.3">
      <c r="A181" t="s">
        <v>13</v>
      </c>
      <c r="B181">
        <v>330</v>
      </c>
      <c r="C181">
        <v>1</v>
      </c>
      <c r="D181">
        <v>0</v>
      </c>
      <c r="E181">
        <v>0</v>
      </c>
      <c r="F181">
        <v>0</v>
      </c>
      <c r="G181">
        <v>330</v>
      </c>
      <c r="H181">
        <v>32</v>
      </c>
      <c r="I181">
        <v>27.044350000000001</v>
      </c>
      <c r="Q181" s="31"/>
    </row>
    <row r="182" spans="1:17" x14ac:dyDescent="0.3">
      <c r="A182" t="s">
        <v>13</v>
      </c>
      <c r="B182">
        <v>331</v>
      </c>
      <c r="C182">
        <v>0</v>
      </c>
      <c r="D182">
        <v>0</v>
      </c>
      <c r="E182">
        <v>0</v>
      </c>
      <c r="F182">
        <v>1</v>
      </c>
      <c r="G182">
        <v>331</v>
      </c>
      <c r="H182">
        <v>51</v>
      </c>
      <c r="I182">
        <v>47.463169999999998</v>
      </c>
      <c r="Q182" s="31"/>
    </row>
    <row r="183" spans="1:17" x14ac:dyDescent="0.3">
      <c r="A183" t="s">
        <v>13</v>
      </c>
      <c r="B183">
        <v>332</v>
      </c>
      <c r="C183">
        <v>0</v>
      </c>
      <c r="D183">
        <v>1</v>
      </c>
      <c r="E183">
        <v>0</v>
      </c>
      <c r="F183">
        <v>0</v>
      </c>
      <c r="G183">
        <v>332</v>
      </c>
      <c r="H183">
        <v>26</v>
      </c>
      <c r="I183">
        <v>23.652529999999999</v>
      </c>
      <c r="Q183" s="31"/>
    </row>
    <row r="184" spans="1:17" x14ac:dyDescent="0.3">
      <c r="A184" t="s">
        <v>103</v>
      </c>
      <c r="B184">
        <v>334</v>
      </c>
      <c r="C184">
        <v>0</v>
      </c>
      <c r="D184">
        <v>0</v>
      </c>
      <c r="E184">
        <v>0</v>
      </c>
      <c r="F184">
        <v>1</v>
      </c>
      <c r="G184">
        <v>334</v>
      </c>
      <c r="H184">
        <v>24</v>
      </c>
      <c r="I184">
        <v>24.050850000000001</v>
      </c>
      <c r="Q184" s="31"/>
    </row>
    <row r="185" spans="1:17" x14ac:dyDescent="0.3">
      <c r="A185" t="s">
        <v>103</v>
      </c>
      <c r="B185">
        <v>335</v>
      </c>
      <c r="C185">
        <v>0</v>
      </c>
      <c r="D185">
        <v>0</v>
      </c>
      <c r="E185">
        <v>1</v>
      </c>
      <c r="F185">
        <v>0</v>
      </c>
      <c r="G185">
        <v>335</v>
      </c>
      <c r="H185">
        <v>25</v>
      </c>
      <c r="I185">
        <v>24.815560000000001</v>
      </c>
      <c r="Q185" s="31"/>
    </row>
    <row r="186" spans="1:17" x14ac:dyDescent="0.3">
      <c r="A186" t="s">
        <v>74</v>
      </c>
      <c r="B186">
        <v>336</v>
      </c>
      <c r="C186">
        <v>0</v>
      </c>
      <c r="D186">
        <v>0</v>
      </c>
      <c r="E186">
        <v>0</v>
      </c>
      <c r="F186">
        <v>1</v>
      </c>
      <c r="G186">
        <v>336</v>
      </c>
      <c r="H186">
        <v>72</v>
      </c>
      <c r="I186">
        <v>66.134559999999993</v>
      </c>
      <c r="Q186" s="31"/>
    </row>
    <row r="187" spans="1:17" x14ac:dyDescent="0.3">
      <c r="A187" t="s">
        <v>74</v>
      </c>
      <c r="B187">
        <v>337</v>
      </c>
      <c r="C187">
        <v>0</v>
      </c>
      <c r="D187">
        <v>1</v>
      </c>
      <c r="E187">
        <v>0</v>
      </c>
      <c r="F187">
        <v>0</v>
      </c>
      <c r="G187">
        <v>337</v>
      </c>
      <c r="H187">
        <v>42</v>
      </c>
      <c r="I187">
        <v>31.264230000000001</v>
      </c>
      <c r="Q187" s="31"/>
    </row>
    <row r="188" spans="1:17" x14ac:dyDescent="0.3">
      <c r="A188" t="s">
        <v>44</v>
      </c>
      <c r="B188">
        <v>340</v>
      </c>
      <c r="C188">
        <v>1</v>
      </c>
      <c r="D188">
        <v>0</v>
      </c>
      <c r="E188">
        <v>0</v>
      </c>
      <c r="F188">
        <v>0</v>
      </c>
      <c r="G188">
        <v>340</v>
      </c>
      <c r="H188">
        <v>23</v>
      </c>
      <c r="I188">
        <v>19.280169999999998</v>
      </c>
      <c r="Q188" s="31"/>
    </row>
    <row r="189" spans="1:17" x14ac:dyDescent="0.3">
      <c r="A189" t="s">
        <v>44</v>
      </c>
      <c r="B189">
        <v>341</v>
      </c>
      <c r="C189">
        <v>0</v>
      </c>
      <c r="D189">
        <v>1</v>
      </c>
      <c r="E189">
        <v>0</v>
      </c>
      <c r="F189">
        <v>0</v>
      </c>
      <c r="G189">
        <v>341</v>
      </c>
      <c r="H189">
        <v>21</v>
      </c>
      <c r="I189">
        <v>9.7690800000000007</v>
      </c>
      <c r="Q189" s="31"/>
    </row>
    <row r="190" spans="1:17" x14ac:dyDescent="0.3">
      <c r="A190" t="s">
        <v>44</v>
      </c>
      <c r="B190">
        <v>342</v>
      </c>
      <c r="C190">
        <v>0</v>
      </c>
      <c r="D190">
        <v>0</v>
      </c>
      <c r="E190">
        <v>0</v>
      </c>
      <c r="F190">
        <v>1</v>
      </c>
      <c r="G190">
        <v>342</v>
      </c>
      <c r="H190">
        <v>43</v>
      </c>
      <c r="I190">
        <v>35.334180000000003</v>
      </c>
      <c r="Q190" s="31"/>
    </row>
    <row r="191" spans="1:17" x14ac:dyDescent="0.3">
      <c r="A191" t="s">
        <v>44</v>
      </c>
      <c r="B191">
        <v>343</v>
      </c>
      <c r="C191">
        <v>0</v>
      </c>
      <c r="D191">
        <v>0</v>
      </c>
      <c r="E191">
        <v>1</v>
      </c>
      <c r="F191">
        <v>0</v>
      </c>
      <c r="G191">
        <v>343</v>
      </c>
      <c r="H191">
        <v>48</v>
      </c>
      <c r="I191">
        <v>31.839099999999998</v>
      </c>
      <c r="Q191" s="31"/>
    </row>
    <row r="192" spans="1:17" x14ac:dyDescent="0.3">
      <c r="A192" t="s">
        <v>14</v>
      </c>
      <c r="B192">
        <v>344</v>
      </c>
      <c r="C192">
        <v>0</v>
      </c>
      <c r="D192">
        <v>1</v>
      </c>
      <c r="E192">
        <v>0</v>
      </c>
      <c r="F192">
        <v>0</v>
      </c>
      <c r="G192">
        <v>344</v>
      </c>
      <c r="H192">
        <v>6</v>
      </c>
      <c r="I192">
        <v>7.2227300000000003</v>
      </c>
      <c r="Q192" s="31"/>
    </row>
    <row r="193" spans="1:17" x14ac:dyDescent="0.3">
      <c r="A193" t="s">
        <v>14</v>
      </c>
      <c r="B193">
        <v>345</v>
      </c>
      <c r="C193">
        <v>0</v>
      </c>
      <c r="D193">
        <v>0</v>
      </c>
      <c r="E193">
        <v>0</v>
      </c>
      <c r="F193">
        <v>1</v>
      </c>
      <c r="G193">
        <v>345</v>
      </c>
      <c r="H193">
        <v>13</v>
      </c>
      <c r="I193">
        <v>9.9756400000000003</v>
      </c>
      <c r="Q193" s="31"/>
    </row>
    <row r="194" spans="1:17" x14ac:dyDescent="0.3">
      <c r="A194" t="s">
        <v>14</v>
      </c>
      <c r="B194">
        <v>346</v>
      </c>
      <c r="C194">
        <v>1</v>
      </c>
      <c r="D194">
        <v>0</v>
      </c>
      <c r="E194">
        <v>0</v>
      </c>
      <c r="F194">
        <v>0</v>
      </c>
      <c r="G194">
        <v>346</v>
      </c>
      <c r="H194">
        <v>5</v>
      </c>
      <c r="I194">
        <v>7.9171899999999997</v>
      </c>
      <c r="Q194" s="31"/>
    </row>
    <row r="195" spans="1:17" x14ac:dyDescent="0.3">
      <c r="A195" t="s">
        <v>104</v>
      </c>
      <c r="B195">
        <v>348</v>
      </c>
      <c r="C195">
        <v>1</v>
      </c>
      <c r="D195">
        <v>0</v>
      </c>
      <c r="E195">
        <v>0</v>
      </c>
      <c r="F195">
        <v>0</v>
      </c>
      <c r="G195">
        <v>348</v>
      </c>
      <c r="H195">
        <v>5</v>
      </c>
      <c r="I195">
        <v>1.41554</v>
      </c>
      <c r="Q195" s="31"/>
    </row>
    <row r="196" spans="1:17" x14ac:dyDescent="0.3">
      <c r="A196" t="s">
        <v>75</v>
      </c>
      <c r="B196">
        <v>352</v>
      </c>
      <c r="C196">
        <v>0</v>
      </c>
      <c r="D196">
        <v>1</v>
      </c>
      <c r="E196">
        <v>0</v>
      </c>
      <c r="F196">
        <v>0</v>
      </c>
      <c r="G196">
        <v>352</v>
      </c>
      <c r="H196">
        <v>3</v>
      </c>
      <c r="I196">
        <v>10.252610000000001</v>
      </c>
      <c r="Q196" s="31"/>
    </row>
    <row r="197" spans="1:17" x14ac:dyDescent="0.3">
      <c r="A197" t="s">
        <v>45</v>
      </c>
      <c r="B197">
        <v>356</v>
      </c>
      <c r="C197">
        <v>0</v>
      </c>
      <c r="D197">
        <v>1</v>
      </c>
      <c r="E197">
        <v>0</v>
      </c>
      <c r="F197">
        <v>0</v>
      </c>
      <c r="G197">
        <v>356</v>
      </c>
      <c r="H197">
        <v>36</v>
      </c>
      <c r="I197">
        <v>38.013010000000001</v>
      </c>
      <c r="Q197" s="31"/>
    </row>
    <row r="198" spans="1:17" x14ac:dyDescent="0.3">
      <c r="A198" t="s">
        <v>45</v>
      </c>
      <c r="B198">
        <v>357</v>
      </c>
      <c r="C198">
        <v>0</v>
      </c>
      <c r="D198">
        <v>0</v>
      </c>
      <c r="E198">
        <v>0</v>
      </c>
      <c r="F198">
        <v>1</v>
      </c>
      <c r="G198">
        <v>357</v>
      </c>
      <c r="H198">
        <v>87</v>
      </c>
      <c r="I198">
        <v>81.528570000000002</v>
      </c>
      <c r="Q198" s="31"/>
    </row>
    <row r="199" spans="1:17" x14ac:dyDescent="0.3">
      <c r="A199" t="s">
        <v>45</v>
      </c>
      <c r="B199">
        <v>358</v>
      </c>
      <c r="C199">
        <v>1</v>
      </c>
      <c r="D199">
        <v>0</v>
      </c>
      <c r="E199">
        <v>0</v>
      </c>
      <c r="F199">
        <v>0</v>
      </c>
      <c r="G199">
        <v>358</v>
      </c>
      <c r="H199">
        <v>32</v>
      </c>
      <c r="I199">
        <v>25.92182</v>
      </c>
      <c r="Q199" s="31"/>
    </row>
    <row r="200" spans="1:17" x14ac:dyDescent="0.3">
      <c r="A200" t="s">
        <v>15</v>
      </c>
      <c r="B200">
        <v>360</v>
      </c>
      <c r="C200">
        <v>0</v>
      </c>
      <c r="D200">
        <v>1</v>
      </c>
      <c r="E200">
        <v>0</v>
      </c>
      <c r="F200">
        <v>0</v>
      </c>
      <c r="G200">
        <v>360</v>
      </c>
      <c r="H200">
        <v>3</v>
      </c>
      <c r="I200">
        <v>10.57207</v>
      </c>
      <c r="Q200" s="31"/>
    </row>
    <row r="201" spans="1:17" x14ac:dyDescent="0.3">
      <c r="A201" t="s">
        <v>15</v>
      </c>
      <c r="B201">
        <v>361</v>
      </c>
      <c r="C201">
        <v>1</v>
      </c>
      <c r="D201">
        <v>0</v>
      </c>
      <c r="E201">
        <v>0</v>
      </c>
      <c r="F201">
        <v>0</v>
      </c>
      <c r="G201">
        <v>361</v>
      </c>
      <c r="H201">
        <v>9</v>
      </c>
      <c r="I201">
        <v>10.72856</v>
      </c>
      <c r="Q201" s="31"/>
    </row>
    <row r="202" spans="1:17" x14ac:dyDescent="0.3">
      <c r="A202" t="s">
        <v>15</v>
      </c>
      <c r="B202">
        <v>362</v>
      </c>
      <c r="C202">
        <v>0</v>
      </c>
      <c r="D202">
        <v>0</v>
      </c>
      <c r="E202">
        <v>1</v>
      </c>
      <c r="F202">
        <v>0</v>
      </c>
      <c r="G202">
        <v>362</v>
      </c>
      <c r="H202">
        <v>15</v>
      </c>
      <c r="I202">
        <v>24.79044</v>
      </c>
      <c r="Q202" s="31"/>
    </row>
    <row r="203" spans="1:17" x14ac:dyDescent="0.3">
      <c r="A203" t="s">
        <v>105</v>
      </c>
      <c r="B203">
        <v>364</v>
      </c>
      <c r="C203">
        <v>0</v>
      </c>
      <c r="D203">
        <v>1</v>
      </c>
      <c r="E203">
        <v>0</v>
      </c>
      <c r="F203">
        <v>0</v>
      </c>
      <c r="G203">
        <v>364</v>
      </c>
      <c r="H203">
        <v>16</v>
      </c>
      <c r="I203">
        <v>11.402659999999999</v>
      </c>
      <c r="Q203" s="31"/>
    </row>
    <row r="204" spans="1:17" x14ac:dyDescent="0.3">
      <c r="A204" t="s">
        <v>105</v>
      </c>
      <c r="B204">
        <v>365</v>
      </c>
      <c r="C204">
        <v>0</v>
      </c>
      <c r="D204">
        <v>0</v>
      </c>
      <c r="E204">
        <v>1</v>
      </c>
      <c r="F204">
        <v>0</v>
      </c>
      <c r="G204">
        <v>365</v>
      </c>
      <c r="H204">
        <v>62</v>
      </c>
      <c r="I204">
        <v>84.579300000000003</v>
      </c>
      <c r="Q204" s="31"/>
    </row>
    <row r="205" spans="1:17" x14ac:dyDescent="0.3">
      <c r="A205" t="s">
        <v>76</v>
      </c>
      <c r="B205">
        <v>368</v>
      </c>
      <c r="C205">
        <v>0</v>
      </c>
      <c r="D205">
        <v>0</v>
      </c>
      <c r="E205">
        <v>1</v>
      </c>
      <c r="F205">
        <v>0</v>
      </c>
      <c r="G205">
        <v>368</v>
      </c>
      <c r="H205">
        <v>30</v>
      </c>
      <c r="I205">
        <v>29.682580000000002</v>
      </c>
      <c r="Q205" s="31"/>
    </row>
    <row r="206" spans="1:17" x14ac:dyDescent="0.3">
      <c r="A206" t="s">
        <v>46</v>
      </c>
      <c r="B206">
        <v>372</v>
      </c>
      <c r="C206">
        <v>0</v>
      </c>
      <c r="D206">
        <v>1</v>
      </c>
      <c r="E206">
        <v>0</v>
      </c>
      <c r="F206">
        <v>0</v>
      </c>
      <c r="G206">
        <v>372</v>
      </c>
      <c r="H206">
        <v>14</v>
      </c>
      <c r="I206">
        <v>7.2043299999999997</v>
      </c>
      <c r="Q206" s="31"/>
    </row>
    <row r="207" spans="1:17" x14ac:dyDescent="0.3">
      <c r="A207" t="s">
        <v>16</v>
      </c>
      <c r="B207">
        <v>375</v>
      </c>
      <c r="C207">
        <v>1</v>
      </c>
      <c r="D207">
        <v>0</v>
      </c>
      <c r="E207">
        <v>0</v>
      </c>
      <c r="F207">
        <v>0</v>
      </c>
      <c r="G207">
        <v>375</v>
      </c>
      <c r="H207">
        <v>4</v>
      </c>
      <c r="I207">
        <v>10.44997</v>
      </c>
      <c r="Q207" s="31"/>
    </row>
    <row r="208" spans="1:17" x14ac:dyDescent="0.3">
      <c r="A208" t="s">
        <v>16</v>
      </c>
      <c r="B208">
        <v>376</v>
      </c>
      <c r="C208">
        <v>0</v>
      </c>
      <c r="D208">
        <v>1</v>
      </c>
      <c r="E208">
        <v>0</v>
      </c>
      <c r="F208">
        <v>0</v>
      </c>
      <c r="G208">
        <v>376</v>
      </c>
      <c r="H208">
        <v>3</v>
      </c>
      <c r="I208">
        <v>14.20373</v>
      </c>
      <c r="Q208" s="31"/>
    </row>
    <row r="209" spans="1:17" x14ac:dyDescent="0.3">
      <c r="A209" t="s">
        <v>16</v>
      </c>
      <c r="B209">
        <v>377</v>
      </c>
      <c r="C209">
        <v>0</v>
      </c>
      <c r="D209">
        <v>0</v>
      </c>
      <c r="E209">
        <v>0</v>
      </c>
      <c r="F209">
        <v>1</v>
      </c>
      <c r="G209">
        <v>377</v>
      </c>
      <c r="H209">
        <v>10</v>
      </c>
      <c r="I209">
        <v>22.26473</v>
      </c>
      <c r="Q209" s="31"/>
    </row>
    <row r="210" spans="1:17" x14ac:dyDescent="0.3">
      <c r="A210" t="s">
        <v>106</v>
      </c>
      <c r="B210">
        <v>379</v>
      </c>
      <c r="C210">
        <v>0</v>
      </c>
      <c r="D210">
        <v>1</v>
      </c>
      <c r="E210">
        <v>0</v>
      </c>
      <c r="F210">
        <v>0</v>
      </c>
      <c r="G210">
        <v>379</v>
      </c>
      <c r="H210">
        <v>72</v>
      </c>
      <c r="I210">
        <v>48.880760000000002</v>
      </c>
      <c r="Q210" s="31"/>
    </row>
    <row r="211" spans="1:17" x14ac:dyDescent="0.3">
      <c r="A211" t="s">
        <v>106</v>
      </c>
      <c r="B211">
        <v>380</v>
      </c>
      <c r="C211">
        <v>0</v>
      </c>
      <c r="D211">
        <v>0</v>
      </c>
      <c r="E211">
        <v>0</v>
      </c>
      <c r="F211">
        <v>1</v>
      </c>
      <c r="G211">
        <v>380</v>
      </c>
      <c r="H211">
        <v>143</v>
      </c>
      <c r="I211">
        <v>143.24457000000001</v>
      </c>
      <c r="Q211" s="31"/>
    </row>
    <row r="212" spans="1:17" x14ac:dyDescent="0.3">
      <c r="A212" t="s">
        <v>77</v>
      </c>
      <c r="B212">
        <v>382</v>
      </c>
      <c r="C212">
        <v>0</v>
      </c>
      <c r="D212">
        <v>0</v>
      </c>
      <c r="E212">
        <v>0</v>
      </c>
      <c r="F212">
        <v>1</v>
      </c>
      <c r="G212">
        <v>382</v>
      </c>
      <c r="H212">
        <v>84</v>
      </c>
      <c r="I212">
        <v>42.120899999999999</v>
      </c>
      <c r="Q212" s="31"/>
    </row>
    <row r="213" spans="1:17" x14ac:dyDescent="0.3">
      <c r="A213" t="s">
        <v>77</v>
      </c>
      <c r="B213">
        <v>383</v>
      </c>
      <c r="C213">
        <v>1</v>
      </c>
      <c r="D213">
        <v>0</v>
      </c>
      <c r="E213">
        <v>0</v>
      </c>
      <c r="F213">
        <v>0</v>
      </c>
      <c r="G213">
        <v>383</v>
      </c>
      <c r="H213">
        <v>32</v>
      </c>
      <c r="I213">
        <v>32.384720000000002</v>
      </c>
      <c r="Q213" s="31"/>
    </row>
    <row r="214" spans="1:17" x14ac:dyDescent="0.3">
      <c r="A214" t="s">
        <v>17</v>
      </c>
      <c r="B214">
        <v>389</v>
      </c>
      <c r="C214">
        <v>0</v>
      </c>
      <c r="D214">
        <v>1</v>
      </c>
      <c r="E214">
        <v>0</v>
      </c>
      <c r="F214">
        <v>0</v>
      </c>
      <c r="G214">
        <v>389</v>
      </c>
      <c r="H214">
        <v>24</v>
      </c>
      <c r="I214">
        <v>30.38786</v>
      </c>
      <c r="Q214" s="31"/>
    </row>
    <row r="215" spans="1:17" x14ac:dyDescent="0.3">
      <c r="A215" t="s">
        <v>17</v>
      </c>
      <c r="B215">
        <v>390</v>
      </c>
      <c r="C215">
        <v>0</v>
      </c>
      <c r="D215">
        <v>0</v>
      </c>
      <c r="E215">
        <v>0</v>
      </c>
      <c r="F215">
        <v>1</v>
      </c>
      <c r="G215">
        <v>390</v>
      </c>
      <c r="H215">
        <v>69</v>
      </c>
      <c r="I215">
        <v>59.569629999999997</v>
      </c>
      <c r="Q215" s="31"/>
    </row>
    <row r="216" spans="1:17" x14ac:dyDescent="0.3">
      <c r="A216" t="s">
        <v>17</v>
      </c>
      <c r="B216">
        <v>391</v>
      </c>
      <c r="C216">
        <v>0</v>
      </c>
      <c r="D216">
        <v>0</v>
      </c>
      <c r="E216">
        <v>1</v>
      </c>
      <c r="F216">
        <v>0</v>
      </c>
      <c r="G216">
        <v>391</v>
      </c>
      <c r="H216">
        <v>72</v>
      </c>
      <c r="I216">
        <v>60.405419999999999</v>
      </c>
      <c r="Q216" s="31"/>
    </row>
    <row r="217" spans="1:17" x14ac:dyDescent="0.3">
      <c r="A217" t="s">
        <v>17</v>
      </c>
      <c r="B217">
        <v>392</v>
      </c>
      <c r="C217">
        <v>1</v>
      </c>
      <c r="D217">
        <v>0</v>
      </c>
      <c r="E217">
        <v>0</v>
      </c>
      <c r="F217">
        <v>0</v>
      </c>
      <c r="G217">
        <v>392</v>
      </c>
      <c r="H217">
        <v>24</v>
      </c>
      <c r="I217">
        <v>23.00404</v>
      </c>
      <c r="Q217" s="31"/>
    </row>
    <row r="218" spans="1:17" x14ac:dyDescent="0.3">
      <c r="A218" t="s">
        <v>78</v>
      </c>
      <c r="B218">
        <v>396</v>
      </c>
      <c r="C218">
        <v>0</v>
      </c>
      <c r="D218">
        <v>1</v>
      </c>
      <c r="E218">
        <v>0</v>
      </c>
      <c r="F218">
        <v>0</v>
      </c>
      <c r="G218">
        <v>396</v>
      </c>
      <c r="H218">
        <v>3</v>
      </c>
      <c r="I218">
        <v>5.5334599999999998</v>
      </c>
      <c r="Q218" s="31"/>
    </row>
    <row r="219" spans="1:17" x14ac:dyDescent="0.3">
      <c r="A219" t="s">
        <v>48</v>
      </c>
      <c r="B219">
        <v>399</v>
      </c>
      <c r="C219">
        <v>0</v>
      </c>
      <c r="D219">
        <v>0</v>
      </c>
      <c r="E219">
        <v>1</v>
      </c>
      <c r="F219">
        <v>0</v>
      </c>
      <c r="G219">
        <v>399</v>
      </c>
      <c r="H219">
        <v>14</v>
      </c>
      <c r="I219">
        <v>10.582890000000001</v>
      </c>
      <c r="Q219" s="31"/>
    </row>
    <row r="220" spans="1:17" x14ac:dyDescent="0.3">
      <c r="A220" t="s">
        <v>48</v>
      </c>
      <c r="B220">
        <v>400</v>
      </c>
      <c r="C220">
        <v>1</v>
      </c>
      <c r="D220">
        <v>0</v>
      </c>
      <c r="E220">
        <v>0</v>
      </c>
      <c r="F220">
        <v>0</v>
      </c>
      <c r="G220">
        <v>400</v>
      </c>
      <c r="H220">
        <v>9</v>
      </c>
      <c r="I220">
        <v>6.3163</v>
      </c>
      <c r="Q220" s="31"/>
    </row>
    <row r="221" spans="1:17" x14ac:dyDescent="0.3">
      <c r="A221" t="s">
        <v>18</v>
      </c>
      <c r="B221">
        <v>403</v>
      </c>
      <c r="C221">
        <v>0</v>
      </c>
      <c r="D221">
        <v>1</v>
      </c>
      <c r="E221">
        <v>0</v>
      </c>
      <c r="F221">
        <v>0</v>
      </c>
      <c r="G221">
        <v>403</v>
      </c>
      <c r="H221">
        <v>41</v>
      </c>
      <c r="I221">
        <v>47.635910000000003</v>
      </c>
      <c r="Q221" s="31"/>
    </row>
    <row r="222" spans="1:17" x14ac:dyDescent="0.3">
      <c r="A222" t="s">
        <v>108</v>
      </c>
      <c r="B222">
        <v>407</v>
      </c>
      <c r="C222">
        <v>0</v>
      </c>
      <c r="D222">
        <v>0</v>
      </c>
      <c r="E222">
        <v>1</v>
      </c>
      <c r="F222">
        <v>0</v>
      </c>
      <c r="G222">
        <v>407</v>
      </c>
      <c r="H222">
        <v>42</v>
      </c>
      <c r="I222">
        <v>46.430509999999998</v>
      </c>
      <c r="Q222" s="31"/>
    </row>
    <row r="223" spans="1:17" x14ac:dyDescent="0.3">
      <c r="A223" t="s">
        <v>108</v>
      </c>
      <c r="B223">
        <v>408</v>
      </c>
      <c r="C223">
        <v>0</v>
      </c>
      <c r="D223">
        <v>1</v>
      </c>
      <c r="E223">
        <v>0</v>
      </c>
      <c r="F223">
        <v>0</v>
      </c>
      <c r="G223">
        <v>408</v>
      </c>
      <c r="H223">
        <v>15</v>
      </c>
      <c r="I223">
        <v>13.889659999999999</v>
      </c>
      <c r="Q223" s="31"/>
    </row>
    <row r="224" spans="1:17" x14ac:dyDescent="0.3">
      <c r="A224" t="s">
        <v>79</v>
      </c>
      <c r="B224">
        <v>410</v>
      </c>
      <c r="C224">
        <v>0</v>
      </c>
      <c r="D224">
        <v>1</v>
      </c>
      <c r="E224">
        <v>0</v>
      </c>
      <c r="F224">
        <v>0</v>
      </c>
      <c r="G224">
        <v>410</v>
      </c>
      <c r="H224">
        <v>36</v>
      </c>
      <c r="I224">
        <v>28.101030000000002</v>
      </c>
      <c r="Q224" s="31"/>
    </row>
    <row r="225" spans="1:17" x14ac:dyDescent="0.3">
      <c r="A225" t="s">
        <v>19</v>
      </c>
      <c r="B225">
        <v>413</v>
      </c>
      <c r="C225">
        <v>1</v>
      </c>
      <c r="D225">
        <v>0</v>
      </c>
      <c r="E225">
        <v>0</v>
      </c>
      <c r="F225">
        <v>0</v>
      </c>
      <c r="G225">
        <v>413</v>
      </c>
      <c r="H225">
        <v>7</v>
      </c>
      <c r="I225">
        <v>1.9704299999999999</v>
      </c>
      <c r="Q225" s="31"/>
    </row>
    <row r="226" spans="1:17" x14ac:dyDescent="0.3">
      <c r="A226" t="s">
        <v>19</v>
      </c>
      <c r="B226">
        <v>414</v>
      </c>
      <c r="C226">
        <v>0</v>
      </c>
      <c r="D226">
        <v>0</v>
      </c>
      <c r="E226">
        <v>1</v>
      </c>
      <c r="F226">
        <v>0</v>
      </c>
      <c r="G226">
        <v>414</v>
      </c>
      <c r="H226">
        <v>17</v>
      </c>
      <c r="I226">
        <v>17.558979999999998</v>
      </c>
      <c r="Q226" s="31"/>
    </row>
    <row r="227" spans="1:17" x14ac:dyDescent="0.3">
      <c r="A227" t="s">
        <v>80</v>
      </c>
      <c r="B227">
        <v>3</v>
      </c>
      <c r="C227">
        <v>0</v>
      </c>
      <c r="D227">
        <v>1</v>
      </c>
      <c r="E227">
        <v>0</v>
      </c>
      <c r="F227">
        <v>0</v>
      </c>
      <c r="G227">
        <v>3</v>
      </c>
      <c r="H227">
        <v>78</v>
      </c>
      <c r="I227">
        <v>58.493229999999997</v>
      </c>
      <c r="Q227" s="31"/>
    </row>
    <row r="228" spans="1:17" x14ac:dyDescent="0.3">
      <c r="A228" t="s">
        <v>49</v>
      </c>
      <c r="B228">
        <v>5</v>
      </c>
      <c r="C228">
        <v>0</v>
      </c>
      <c r="D228">
        <v>0</v>
      </c>
      <c r="E228">
        <v>0</v>
      </c>
      <c r="F228">
        <v>1</v>
      </c>
      <c r="G228">
        <v>5</v>
      </c>
      <c r="H228">
        <v>5</v>
      </c>
      <c r="I228">
        <v>8.1133500000000005</v>
      </c>
      <c r="Q228" s="31"/>
    </row>
    <row r="229" spans="1:17" x14ac:dyDescent="0.3">
      <c r="A229" t="s">
        <v>49</v>
      </c>
      <c r="B229">
        <v>6</v>
      </c>
      <c r="C229">
        <v>0</v>
      </c>
      <c r="D229">
        <v>0</v>
      </c>
      <c r="E229">
        <v>1</v>
      </c>
      <c r="F229">
        <v>0</v>
      </c>
      <c r="G229">
        <v>6</v>
      </c>
      <c r="H229">
        <v>5</v>
      </c>
      <c r="I229">
        <v>8.0620499999999993</v>
      </c>
      <c r="Q229" s="31"/>
    </row>
    <row r="230" spans="1:17" x14ac:dyDescent="0.3">
      <c r="A230" t="s">
        <v>109</v>
      </c>
      <c r="B230">
        <v>13</v>
      </c>
      <c r="C230">
        <v>0</v>
      </c>
      <c r="D230">
        <v>0</v>
      </c>
      <c r="E230">
        <v>0</v>
      </c>
      <c r="F230">
        <v>1</v>
      </c>
      <c r="G230">
        <v>13</v>
      </c>
      <c r="H230">
        <v>47</v>
      </c>
      <c r="I230">
        <v>44.269170000000003</v>
      </c>
      <c r="Q230" s="31"/>
    </row>
    <row r="231" spans="1:17" x14ac:dyDescent="0.3">
      <c r="A231" t="s">
        <v>81</v>
      </c>
      <c r="B231">
        <v>16</v>
      </c>
      <c r="C231">
        <v>0</v>
      </c>
      <c r="D231">
        <v>1</v>
      </c>
      <c r="E231">
        <v>0</v>
      </c>
      <c r="F231">
        <v>0</v>
      </c>
      <c r="G231">
        <v>16</v>
      </c>
      <c r="H231">
        <v>71</v>
      </c>
      <c r="I231">
        <v>58.119529999999997</v>
      </c>
      <c r="Q231" s="31"/>
    </row>
    <row r="232" spans="1:17" x14ac:dyDescent="0.3">
      <c r="A232" t="s">
        <v>50</v>
      </c>
      <c r="B232">
        <v>20</v>
      </c>
      <c r="C232">
        <v>0</v>
      </c>
      <c r="D232">
        <v>0</v>
      </c>
      <c r="E232">
        <v>0</v>
      </c>
      <c r="F232">
        <v>1</v>
      </c>
      <c r="G232">
        <v>20</v>
      </c>
      <c r="H232">
        <v>39</v>
      </c>
      <c r="I232">
        <v>33.959220000000002</v>
      </c>
      <c r="Q232" s="31"/>
    </row>
    <row r="233" spans="1:17" x14ac:dyDescent="0.3">
      <c r="A233" t="s">
        <v>110</v>
      </c>
      <c r="B233">
        <v>25</v>
      </c>
      <c r="C233">
        <v>0</v>
      </c>
      <c r="D233">
        <v>0</v>
      </c>
      <c r="E233">
        <v>0</v>
      </c>
      <c r="F233">
        <v>1</v>
      </c>
      <c r="G233">
        <v>25</v>
      </c>
      <c r="H233">
        <v>43</v>
      </c>
      <c r="I233">
        <v>48.487810000000003</v>
      </c>
      <c r="Q233" s="31"/>
    </row>
    <row r="234" spans="1:17" x14ac:dyDescent="0.3">
      <c r="A234" t="s">
        <v>82</v>
      </c>
      <c r="B234">
        <v>27</v>
      </c>
      <c r="C234">
        <v>1</v>
      </c>
      <c r="D234">
        <v>0</v>
      </c>
      <c r="E234">
        <v>0</v>
      </c>
      <c r="F234">
        <v>0</v>
      </c>
      <c r="G234">
        <v>27</v>
      </c>
      <c r="H234">
        <v>15</v>
      </c>
      <c r="I234">
        <v>12.91168</v>
      </c>
      <c r="Q234" s="31"/>
    </row>
    <row r="235" spans="1:17" x14ac:dyDescent="0.3">
      <c r="A235" t="s">
        <v>51</v>
      </c>
      <c r="B235">
        <v>30</v>
      </c>
      <c r="C235">
        <v>0</v>
      </c>
      <c r="D235">
        <v>1</v>
      </c>
      <c r="E235">
        <v>0</v>
      </c>
      <c r="F235">
        <v>0</v>
      </c>
      <c r="G235">
        <v>30</v>
      </c>
      <c r="H235">
        <v>46</v>
      </c>
      <c r="I235">
        <v>16.072949999999999</v>
      </c>
      <c r="Q235" s="31"/>
    </row>
    <row r="236" spans="1:17" x14ac:dyDescent="0.3">
      <c r="A236" t="s">
        <v>51</v>
      </c>
      <c r="B236">
        <v>31</v>
      </c>
      <c r="C236">
        <v>1</v>
      </c>
      <c r="D236">
        <v>0</v>
      </c>
      <c r="E236">
        <v>0</v>
      </c>
      <c r="F236">
        <v>0</v>
      </c>
      <c r="G236">
        <v>31</v>
      </c>
      <c r="H236">
        <v>59</v>
      </c>
      <c r="I236">
        <v>16.321100000000001</v>
      </c>
      <c r="Q236" s="31"/>
    </row>
    <row r="237" spans="1:17" x14ac:dyDescent="0.3">
      <c r="A237" t="s">
        <v>22</v>
      </c>
      <c r="B237">
        <v>36</v>
      </c>
      <c r="C237">
        <v>0</v>
      </c>
      <c r="D237">
        <v>0</v>
      </c>
      <c r="E237">
        <v>0</v>
      </c>
      <c r="F237">
        <v>1</v>
      </c>
      <c r="G237">
        <v>36</v>
      </c>
      <c r="H237">
        <v>8</v>
      </c>
      <c r="I237">
        <v>0.72080999999999995</v>
      </c>
      <c r="Q237" s="31"/>
    </row>
    <row r="238" spans="1:17" x14ac:dyDescent="0.3">
      <c r="A238" t="s">
        <v>23</v>
      </c>
      <c r="B238">
        <v>51</v>
      </c>
      <c r="C238">
        <v>1</v>
      </c>
      <c r="D238">
        <v>0</v>
      </c>
      <c r="E238">
        <v>0</v>
      </c>
      <c r="F238">
        <v>0</v>
      </c>
      <c r="G238">
        <v>51</v>
      </c>
      <c r="H238">
        <v>6</v>
      </c>
      <c r="I238">
        <v>7.2789900000000003</v>
      </c>
      <c r="Q238" s="31"/>
    </row>
    <row r="239" spans="1:17" x14ac:dyDescent="0.3">
      <c r="A239" t="s">
        <v>53</v>
      </c>
      <c r="B239">
        <v>61</v>
      </c>
      <c r="C239">
        <v>0</v>
      </c>
      <c r="D239">
        <v>0</v>
      </c>
      <c r="E239">
        <v>0</v>
      </c>
      <c r="F239">
        <v>1</v>
      </c>
      <c r="G239">
        <v>61</v>
      </c>
      <c r="H239">
        <v>235</v>
      </c>
      <c r="I239">
        <v>233.12248</v>
      </c>
      <c r="Q239" s="31"/>
    </row>
    <row r="240" spans="1:17" x14ac:dyDescent="0.3">
      <c r="A240" t="s">
        <v>84</v>
      </c>
      <c r="B240">
        <v>71</v>
      </c>
      <c r="C240">
        <v>0</v>
      </c>
      <c r="D240">
        <v>0</v>
      </c>
      <c r="E240">
        <v>0</v>
      </c>
      <c r="F240">
        <v>1</v>
      </c>
      <c r="G240">
        <v>71</v>
      </c>
      <c r="H240">
        <v>42</v>
      </c>
      <c r="I240">
        <v>51.437530000000002</v>
      </c>
      <c r="Q240" s="31"/>
    </row>
    <row r="241" spans="1:17" x14ac:dyDescent="0.3">
      <c r="A241" t="s">
        <v>84</v>
      </c>
      <c r="B241">
        <v>72</v>
      </c>
      <c r="C241">
        <v>1</v>
      </c>
      <c r="D241">
        <v>0</v>
      </c>
      <c r="E241">
        <v>0</v>
      </c>
      <c r="F241">
        <v>0</v>
      </c>
      <c r="G241">
        <v>72</v>
      </c>
      <c r="H241">
        <v>16</v>
      </c>
      <c r="I241">
        <v>7.8568499999999997</v>
      </c>
      <c r="Q241" s="31"/>
    </row>
    <row r="242" spans="1:17" x14ac:dyDescent="0.3">
      <c r="A242" t="s">
        <v>54</v>
      </c>
      <c r="B242">
        <v>75</v>
      </c>
      <c r="C242">
        <v>0</v>
      </c>
      <c r="D242">
        <v>0</v>
      </c>
      <c r="E242">
        <v>0</v>
      </c>
      <c r="F242">
        <v>1</v>
      </c>
      <c r="G242">
        <v>75</v>
      </c>
      <c r="H242">
        <v>66</v>
      </c>
      <c r="I242">
        <v>54.837319999999998</v>
      </c>
      <c r="Q242" s="31"/>
    </row>
    <row r="243" spans="1:17" x14ac:dyDescent="0.3">
      <c r="A243" t="s">
        <v>25</v>
      </c>
      <c r="B243">
        <v>80</v>
      </c>
      <c r="C243">
        <v>0</v>
      </c>
      <c r="D243">
        <v>0</v>
      </c>
      <c r="E243">
        <v>0</v>
      </c>
      <c r="F243">
        <v>1</v>
      </c>
      <c r="G243">
        <v>80</v>
      </c>
      <c r="H243">
        <v>49</v>
      </c>
      <c r="I243">
        <v>50.06953</v>
      </c>
      <c r="Q243" s="31"/>
    </row>
    <row r="244" spans="1:17" x14ac:dyDescent="0.3">
      <c r="A244" t="s">
        <v>85</v>
      </c>
      <c r="B244">
        <v>87</v>
      </c>
      <c r="C244">
        <v>0</v>
      </c>
      <c r="D244">
        <v>1</v>
      </c>
      <c r="E244">
        <v>0</v>
      </c>
      <c r="F244">
        <v>0</v>
      </c>
      <c r="G244">
        <v>87</v>
      </c>
      <c r="H244">
        <v>14</v>
      </c>
      <c r="I244">
        <v>21.728719999999999</v>
      </c>
      <c r="Q244" s="31"/>
    </row>
    <row r="245" spans="1:17" x14ac:dyDescent="0.3">
      <c r="A245" t="s">
        <v>85</v>
      </c>
      <c r="B245">
        <v>88</v>
      </c>
      <c r="C245">
        <v>0</v>
      </c>
      <c r="D245">
        <v>0</v>
      </c>
      <c r="E245">
        <v>1</v>
      </c>
      <c r="F245">
        <v>0</v>
      </c>
      <c r="G245">
        <v>88</v>
      </c>
      <c r="H245">
        <v>76</v>
      </c>
      <c r="I245">
        <v>75.513300000000001</v>
      </c>
      <c r="Q245" s="31"/>
    </row>
    <row r="246" spans="1:17" x14ac:dyDescent="0.3">
      <c r="A246" t="s">
        <v>115</v>
      </c>
      <c r="B246">
        <v>99</v>
      </c>
      <c r="C246">
        <v>0</v>
      </c>
      <c r="D246">
        <v>1</v>
      </c>
      <c r="E246">
        <v>0</v>
      </c>
      <c r="F246">
        <v>0</v>
      </c>
      <c r="G246">
        <v>99</v>
      </c>
      <c r="H246">
        <v>75</v>
      </c>
      <c r="I246">
        <v>71.135810000000006</v>
      </c>
      <c r="Q246" s="31"/>
    </row>
    <row r="247" spans="1:17" x14ac:dyDescent="0.3">
      <c r="A247" t="s">
        <v>86</v>
      </c>
      <c r="B247">
        <v>102</v>
      </c>
      <c r="C247">
        <v>0</v>
      </c>
      <c r="D247">
        <v>0</v>
      </c>
      <c r="E247">
        <v>0</v>
      </c>
      <c r="F247">
        <v>1</v>
      </c>
      <c r="G247">
        <v>102</v>
      </c>
      <c r="H247">
        <v>170</v>
      </c>
      <c r="I247">
        <v>185.48508000000001</v>
      </c>
      <c r="Q247" s="31"/>
    </row>
    <row r="248" spans="1:17" x14ac:dyDescent="0.3">
      <c r="A248" t="s">
        <v>56</v>
      </c>
      <c r="B248">
        <v>104</v>
      </c>
      <c r="C248">
        <v>0</v>
      </c>
      <c r="D248">
        <v>1</v>
      </c>
      <c r="E248">
        <v>0</v>
      </c>
      <c r="F248">
        <v>0</v>
      </c>
      <c r="G248">
        <v>104</v>
      </c>
      <c r="H248">
        <v>4</v>
      </c>
      <c r="I248">
        <v>11.60347</v>
      </c>
      <c r="Q248" s="31"/>
    </row>
    <row r="249" spans="1:17" x14ac:dyDescent="0.3">
      <c r="A249" t="s">
        <v>56</v>
      </c>
      <c r="B249">
        <v>105</v>
      </c>
      <c r="C249">
        <v>1</v>
      </c>
      <c r="D249">
        <v>0</v>
      </c>
      <c r="E249">
        <v>0</v>
      </c>
      <c r="F249">
        <v>0</v>
      </c>
      <c r="G249">
        <v>105</v>
      </c>
      <c r="H249">
        <v>1</v>
      </c>
      <c r="I249">
        <v>2.0682100000000001</v>
      </c>
      <c r="Q249" s="31"/>
    </row>
    <row r="250" spans="1:17" x14ac:dyDescent="0.3">
      <c r="A250" t="s">
        <v>27</v>
      </c>
      <c r="B250">
        <v>109</v>
      </c>
      <c r="C250">
        <v>0</v>
      </c>
      <c r="D250">
        <v>0</v>
      </c>
      <c r="E250">
        <v>1</v>
      </c>
      <c r="F250">
        <v>0</v>
      </c>
      <c r="G250">
        <v>109</v>
      </c>
      <c r="H250">
        <v>1</v>
      </c>
      <c r="I250">
        <v>1.62625</v>
      </c>
      <c r="Q250" s="31"/>
    </row>
    <row r="251" spans="1:17" x14ac:dyDescent="0.3">
      <c r="A251" t="s">
        <v>87</v>
      </c>
      <c r="B251">
        <v>116</v>
      </c>
      <c r="C251">
        <v>0</v>
      </c>
      <c r="D251">
        <v>0</v>
      </c>
      <c r="E251">
        <v>1</v>
      </c>
      <c r="F251">
        <v>0</v>
      </c>
      <c r="G251">
        <v>116</v>
      </c>
      <c r="H251">
        <v>185</v>
      </c>
      <c r="I251">
        <v>181.52251999999999</v>
      </c>
      <c r="Q251" s="31"/>
    </row>
    <row r="252" spans="1:17" x14ac:dyDescent="0.3">
      <c r="A252" t="s">
        <v>57</v>
      </c>
      <c r="B252">
        <v>120</v>
      </c>
      <c r="C252">
        <v>0</v>
      </c>
      <c r="D252">
        <v>0</v>
      </c>
      <c r="E252">
        <v>1</v>
      </c>
      <c r="F252">
        <v>0</v>
      </c>
      <c r="G252">
        <v>120</v>
      </c>
      <c r="H252">
        <v>37</v>
      </c>
      <c r="I252">
        <v>36.364780000000003</v>
      </c>
      <c r="Q252" s="31"/>
    </row>
    <row r="253" spans="1:17" x14ac:dyDescent="0.3">
      <c r="A253" t="s">
        <v>28</v>
      </c>
      <c r="B253">
        <v>124</v>
      </c>
      <c r="C253">
        <v>0</v>
      </c>
      <c r="D253">
        <v>0</v>
      </c>
      <c r="E253">
        <v>0</v>
      </c>
      <c r="F253">
        <v>1</v>
      </c>
      <c r="G253">
        <v>124</v>
      </c>
      <c r="H253">
        <v>12</v>
      </c>
      <c r="I253">
        <v>10.9428</v>
      </c>
      <c r="Q253" s="31"/>
    </row>
    <row r="254" spans="1:17" x14ac:dyDescent="0.3">
      <c r="A254" t="s">
        <v>88</v>
      </c>
      <c r="B254">
        <v>130</v>
      </c>
      <c r="C254">
        <v>0</v>
      </c>
      <c r="D254">
        <v>1</v>
      </c>
      <c r="E254">
        <v>0</v>
      </c>
      <c r="F254">
        <v>0</v>
      </c>
      <c r="G254">
        <v>130</v>
      </c>
      <c r="H254">
        <v>15</v>
      </c>
      <c r="I254">
        <v>10.98462</v>
      </c>
      <c r="Q254" s="31"/>
    </row>
    <row r="255" spans="1:17" x14ac:dyDescent="0.3">
      <c r="A255" t="s">
        <v>58</v>
      </c>
      <c r="B255">
        <v>133</v>
      </c>
      <c r="C255">
        <v>0</v>
      </c>
      <c r="D255">
        <v>0</v>
      </c>
      <c r="E255">
        <v>0</v>
      </c>
      <c r="F255">
        <v>1</v>
      </c>
      <c r="G255">
        <v>133</v>
      </c>
      <c r="H255">
        <v>82</v>
      </c>
      <c r="I255">
        <v>72.898449999999997</v>
      </c>
      <c r="Q255" s="31"/>
    </row>
    <row r="256" spans="1:17" x14ac:dyDescent="0.3">
      <c r="A256" t="s">
        <v>58</v>
      </c>
      <c r="B256">
        <v>134</v>
      </c>
      <c r="C256">
        <v>0</v>
      </c>
      <c r="D256">
        <v>0</v>
      </c>
      <c r="E256">
        <v>1</v>
      </c>
      <c r="F256">
        <v>0</v>
      </c>
      <c r="G256">
        <v>134</v>
      </c>
      <c r="H256">
        <v>83</v>
      </c>
      <c r="I256">
        <v>65.245959999999997</v>
      </c>
      <c r="Q256" s="31"/>
    </row>
    <row r="257" spans="1:17" x14ac:dyDescent="0.3">
      <c r="A257" t="s">
        <v>29</v>
      </c>
      <c r="B257">
        <v>138</v>
      </c>
      <c r="C257">
        <v>1</v>
      </c>
      <c r="D257">
        <v>0</v>
      </c>
      <c r="E257">
        <v>0</v>
      </c>
      <c r="F257">
        <v>0</v>
      </c>
      <c r="G257">
        <v>138</v>
      </c>
      <c r="H257">
        <v>30</v>
      </c>
      <c r="I257">
        <v>15.25287</v>
      </c>
      <c r="Q257" s="31"/>
    </row>
    <row r="258" spans="1:17" x14ac:dyDescent="0.3">
      <c r="A258" t="s">
        <v>125</v>
      </c>
      <c r="B258">
        <v>143</v>
      </c>
      <c r="C258">
        <v>1</v>
      </c>
      <c r="D258">
        <v>0</v>
      </c>
      <c r="E258">
        <v>0</v>
      </c>
      <c r="F258">
        <v>0</v>
      </c>
      <c r="G258">
        <v>143</v>
      </c>
      <c r="H258">
        <v>1</v>
      </c>
      <c r="I258">
        <v>0.42155999999999999</v>
      </c>
      <c r="Q258" s="31"/>
    </row>
    <row r="259" spans="1:17" x14ac:dyDescent="0.3">
      <c r="A259" t="s">
        <v>59</v>
      </c>
      <c r="B259">
        <v>146</v>
      </c>
      <c r="C259">
        <v>0</v>
      </c>
      <c r="D259">
        <v>0</v>
      </c>
      <c r="E259">
        <v>1</v>
      </c>
      <c r="F259">
        <v>0</v>
      </c>
      <c r="G259">
        <v>146</v>
      </c>
      <c r="H259">
        <v>161</v>
      </c>
      <c r="I259">
        <v>142.3047</v>
      </c>
      <c r="Q259" s="31"/>
    </row>
    <row r="260" spans="1:17" x14ac:dyDescent="0.3">
      <c r="A260" t="s">
        <v>59</v>
      </c>
      <c r="B260">
        <v>147</v>
      </c>
      <c r="C260">
        <v>1</v>
      </c>
      <c r="D260">
        <v>0</v>
      </c>
      <c r="E260">
        <v>0</v>
      </c>
      <c r="F260">
        <v>0</v>
      </c>
      <c r="G260">
        <v>147</v>
      </c>
      <c r="H260">
        <v>59</v>
      </c>
      <c r="I260">
        <v>60.957380000000001</v>
      </c>
      <c r="Q260" s="31"/>
    </row>
    <row r="261" spans="1:17" x14ac:dyDescent="0.3">
      <c r="A261" t="s">
        <v>119</v>
      </c>
      <c r="B261">
        <v>154</v>
      </c>
      <c r="C261">
        <v>0</v>
      </c>
      <c r="D261">
        <v>1</v>
      </c>
      <c r="E261">
        <v>0</v>
      </c>
      <c r="F261">
        <v>0</v>
      </c>
      <c r="G261">
        <v>154</v>
      </c>
      <c r="H261">
        <v>11</v>
      </c>
      <c r="I261">
        <v>9.6514399999999991</v>
      </c>
      <c r="Q261" s="31"/>
    </row>
    <row r="262" spans="1:17" x14ac:dyDescent="0.3">
      <c r="A262" t="s">
        <v>60</v>
      </c>
      <c r="B262">
        <v>157</v>
      </c>
      <c r="C262">
        <v>1</v>
      </c>
      <c r="D262">
        <v>0</v>
      </c>
      <c r="E262">
        <v>0</v>
      </c>
      <c r="F262">
        <v>0</v>
      </c>
      <c r="G262">
        <v>157</v>
      </c>
      <c r="H262">
        <v>79</v>
      </c>
      <c r="I262">
        <v>70.181839999999994</v>
      </c>
      <c r="Q262" s="31"/>
    </row>
    <row r="263" spans="1:17" x14ac:dyDescent="0.3">
      <c r="A263" t="s">
        <v>60</v>
      </c>
      <c r="B263">
        <v>158</v>
      </c>
      <c r="C263">
        <v>0</v>
      </c>
      <c r="D263">
        <v>0</v>
      </c>
      <c r="E263">
        <v>1</v>
      </c>
      <c r="F263">
        <v>0</v>
      </c>
      <c r="G263">
        <v>158</v>
      </c>
      <c r="H263">
        <v>226</v>
      </c>
      <c r="I263">
        <v>208.43884</v>
      </c>
      <c r="Q263" s="31"/>
    </row>
    <row r="264" spans="1:17" x14ac:dyDescent="0.3">
      <c r="A264" t="s">
        <v>60</v>
      </c>
      <c r="B264">
        <v>159</v>
      </c>
      <c r="C264">
        <v>0</v>
      </c>
      <c r="D264">
        <v>1</v>
      </c>
      <c r="E264">
        <v>0</v>
      </c>
      <c r="F264">
        <v>0</v>
      </c>
      <c r="G264">
        <v>159</v>
      </c>
      <c r="H264">
        <v>93</v>
      </c>
      <c r="I264">
        <v>79.585790000000003</v>
      </c>
      <c r="Q264" s="31"/>
    </row>
    <row r="265" spans="1:17" x14ac:dyDescent="0.3">
      <c r="A265" t="s">
        <v>31</v>
      </c>
      <c r="B265">
        <v>162</v>
      </c>
      <c r="C265">
        <v>0</v>
      </c>
      <c r="D265">
        <v>1</v>
      </c>
      <c r="E265">
        <v>0</v>
      </c>
      <c r="F265">
        <v>0</v>
      </c>
      <c r="G265">
        <v>162</v>
      </c>
      <c r="H265">
        <v>17</v>
      </c>
      <c r="I265">
        <v>16.024069999999998</v>
      </c>
      <c r="Q265" s="31"/>
    </row>
    <row r="266" spans="1:17" x14ac:dyDescent="0.3">
      <c r="A266" t="s">
        <v>120</v>
      </c>
      <c r="B266">
        <v>166</v>
      </c>
      <c r="C266">
        <v>0</v>
      </c>
      <c r="D266">
        <v>0</v>
      </c>
      <c r="E266">
        <v>1</v>
      </c>
      <c r="F266">
        <v>0</v>
      </c>
      <c r="G266">
        <v>166</v>
      </c>
      <c r="H266">
        <v>83</v>
      </c>
      <c r="I266">
        <v>113.00617</v>
      </c>
      <c r="Q266" s="31"/>
    </row>
    <row r="267" spans="1:17" x14ac:dyDescent="0.3">
      <c r="A267" t="s">
        <v>32</v>
      </c>
      <c r="B267">
        <v>177</v>
      </c>
      <c r="C267">
        <v>1</v>
      </c>
      <c r="D267">
        <v>0</v>
      </c>
      <c r="E267">
        <v>0</v>
      </c>
      <c r="F267">
        <v>0</v>
      </c>
      <c r="G267">
        <v>177</v>
      </c>
      <c r="H267">
        <v>56</v>
      </c>
      <c r="I267">
        <v>43.657290000000003</v>
      </c>
      <c r="Q267" s="31"/>
    </row>
    <row r="268" spans="1:17" x14ac:dyDescent="0.3">
      <c r="A268" t="s">
        <v>91</v>
      </c>
      <c r="B268">
        <v>184</v>
      </c>
      <c r="C268">
        <v>1</v>
      </c>
      <c r="D268">
        <v>0</v>
      </c>
      <c r="E268">
        <v>0</v>
      </c>
      <c r="F268">
        <v>0</v>
      </c>
      <c r="G268">
        <v>184</v>
      </c>
      <c r="H268">
        <v>10</v>
      </c>
      <c r="I268">
        <v>16.6907</v>
      </c>
      <c r="Q268" s="31"/>
    </row>
    <row r="269" spans="1:17" x14ac:dyDescent="0.3">
      <c r="A269" t="s">
        <v>33</v>
      </c>
      <c r="B269">
        <v>192</v>
      </c>
      <c r="C269">
        <v>0</v>
      </c>
      <c r="D269">
        <v>0</v>
      </c>
      <c r="E269">
        <v>0</v>
      </c>
      <c r="F269">
        <v>1</v>
      </c>
      <c r="G269">
        <v>192</v>
      </c>
      <c r="H269">
        <v>201</v>
      </c>
      <c r="I269">
        <v>202.87324000000001</v>
      </c>
      <c r="Q269" s="31"/>
    </row>
    <row r="270" spans="1:17" x14ac:dyDescent="0.3">
      <c r="A270" t="s">
        <v>124</v>
      </c>
      <c r="B270">
        <v>204</v>
      </c>
      <c r="C270">
        <v>1</v>
      </c>
      <c r="D270">
        <v>0</v>
      </c>
      <c r="E270">
        <v>0</v>
      </c>
      <c r="F270">
        <v>0</v>
      </c>
      <c r="G270">
        <v>204</v>
      </c>
      <c r="H270">
        <v>2</v>
      </c>
      <c r="I270">
        <v>1.1499299999999999</v>
      </c>
      <c r="Q270" s="31"/>
    </row>
    <row r="271" spans="1:17" x14ac:dyDescent="0.3">
      <c r="A271" t="s">
        <v>64</v>
      </c>
      <c r="B271">
        <v>210</v>
      </c>
      <c r="C271">
        <v>0</v>
      </c>
      <c r="D271">
        <v>1</v>
      </c>
      <c r="E271">
        <v>0</v>
      </c>
      <c r="F271">
        <v>0</v>
      </c>
      <c r="G271">
        <v>210</v>
      </c>
      <c r="H271">
        <v>13</v>
      </c>
      <c r="I271">
        <v>5.7588999999999997</v>
      </c>
      <c r="Q271" s="31"/>
    </row>
    <row r="272" spans="1:17" x14ac:dyDescent="0.3">
      <c r="A272" t="s">
        <v>34</v>
      </c>
      <c r="B272">
        <v>213</v>
      </c>
      <c r="C272">
        <v>1</v>
      </c>
      <c r="D272">
        <v>0</v>
      </c>
      <c r="E272">
        <v>0</v>
      </c>
      <c r="F272">
        <v>0</v>
      </c>
      <c r="G272">
        <v>213</v>
      </c>
      <c r="H272">
        <v>2</v>
      </c>
      <c r="I272">
        <v>6.0965299999999996</v>
      </c>
      <c r="Q272" s="31"/>
    </row>
    <row r="273" spans="1:17" x14ac:dyDescent="0.3">
      <c r="A273" t="s">
        <v>35</v>
      </c>
      <c r="B273">
        <v>224</v>
      </c>
      <c r="C273">
        <v>0</v>
      </c>
      <c r="D273">
        <v>1</v>
      </c>
      <c r="E273">
        <v>0</v>
      </c>
      <c r="F273">
        <v>0</v>
      </c>
      <c r="G273">
        <v>224</v>
      </c>
      <c r="H273">
        <v>14</v>
      </c>
      <c r="I273">
        <v>6.1504599999999998</v>
      </c>
      <c r="Q273" s="31"/>
    </row>
    <row r="274" spans="1:17" x14ac:dyDescent="0.3">
      <c r="A274" t="s">
        <v>95</v>
      </c>
      <c r="B274">
        <v>229</v>
      </c>
      <c r="C274">
        <v>0</v>
      </c>
      <c r="D274">
        <v>0</v>
      </c>
      <c r="E274">
        <v>1</v>
      </c>
      <c r="F274">
        <v>0</v>
      </c>
      <c r="G274">
        <v>229</v>
      </c>
      <c r="H274">
        <v>54</v>
      </c>
      <c r="I274">
        <v>48.921779999999998</v>
      </c>
      <c r="Q274" s="31"/>
    </row>
    <row r="275" spans="1:17" x14ac:dyDescent="0.3">
      <c r="A275" t="s">
        <v>66</v>
      </c>
      <c r="B275">
        <v>232</v>
      </c>
      <c r="C275">
        <v>0</v>
      </c>
      <c r="D275">
        <v>0</v>
      </c>
      <c r="E275">
        <v>0</v>
      </c>
      <c r="F275">
        <v>1</v>
      </c>
      <c r="G275">
        <v>232</v>
      </c>
      <c r="H275">
        <v>53</v>
      </c>
      <c r="I275">
        <v>64.282790000000006</v>
      </c>
      <c r="Q275" s="31"/>
    </row>
    <row r="276" spans="1:17" x14ac:dyDescent="0.3">
      <c r="A276" t="s">
        <v>36</v>
      </c>
      <c r="B276">
        <v>237</v>
      </c>
      <c r="C276">
        <v>0</v>
      </c>
      <c r="D276">
        <v>1</v>
      </c>
      <c r="E276">
        <v>0</v>
      </c>
      <c r="F276">
        <v>0</v>
      </c>
      <c r="G276">
        <v>237</v>
      </c>
      <c r="H276">
        <v>6</v>
      </c>
      <c r="I276">
        <v>8.0851799999999994</v>
      </c>
      <c r="Q276" s="31"/>
    </row>
    <row r="277" spans="1:17" x14ac:dyDescent="0.3">
      <c r="A277" t="s">
        <v>96</v>
      </c>
      <c r="B277">
        <v>240</v>
      </c>
      <c r="C277">
        <v>0</v>
      </c>
      <c r="D277">
        <v>0</v>
      </c>
      <c r="E277">
        <v>1</v>
      </c>
      <c r="F277">
        <v>0</v>
      </c>
      <c r="G277">
        <v>240</v>
      </c>
      <c r="H277">
        <v>43</v>
      </c>
      <c r="I277">
        <v>39.00864</v>
      </c>
      <c r="Q277" s="31"/>
    </row>
    <row r="278" spans="1:17" x14ac:dyDescent="0.3">
      <c r="A278" t="s">
        <v>67</v>
      </c>
      <c r="B278">
        <v>244</v>
      </c>
      <c r="C278">
        <v>1</v>
      </c>
      <c r="D278">
        <v>0</v>
      </c>
      <c r="E278">
        <v>0</v>
      </c>
      <c r="F278">
        <v>0</v>
      </c>
      <c r="G278">
        <v>244</v>
      </c>
      <c r="H278">
        <v>76</v>
      </c>
      <c r="I278">
        <v>82.220190000000002</v>
      </c>
      <c r="Q278" s="31"/>
    </row>
    <row r="279" spans="1:17" x14ac:dyDescent="0.3">
      <c r="A279" t="s">
        <v>67</v>
      </c>
      <c r="B279">
        <v>245</v>
      </c>
      <c r="C279">
        <v>0</v>
      </c>
      <c r="D279">
        <v>0</v>
      </c>
      <c r="E279">
        <v>1</v>
      </c>
      <c r="F279">
        <v>0</v>
      </c>
      <c r="G279">
        <v>245</v>
      </c>
      <c r="H279">
        <v>205</v>
      </c>
      <c r="I279">
        <v>198.87253999999999</v>
      </c>
      <c r="Q279" s="31"/>
    </row>
    <row r="280" spans="1:17" x14ac:dyDescent="0.3">
      <c r="A280" t="s">
        <v>37</v>
      </c>
      <c r="B280">
        <v>248</v>
      </c>
      <c r="C280">
        <v>0</v>
      </c>
      <c r="D280">
        <v>0</v>
      </c>
      <c r="E280">
        <v>0</v>
      </c>
      <c r="F280">
        <v>1</v>
      </c>
      <c r="G280">
        <v>248</v>
      </c>
      <c r="H280">
        <v>74</v>
      </c>
      <c r="I280">
        <v>68.174520000000001</v>
      </c>
      <c r="Q280" s="31"/>
    </row>
    <row r="281" spans="1:17" x14ac:dyDescent="0.3">
      <c r="A281" t="s">
        <v>97</v>
      </c>
      <c r="B281">
        <v>251</v>
      </c>
      <c r="C281">
        <v>0</v>
      </c>
      <c r="D281">
        <v>0</v>
      </c>
      <c r="E281">
        <v>0</v>
      </c>
      <c r="F281">
        <v>1</v>
      </c>
      <c r="G281">
        <v>251</v>
      </c>
      <c r="H281">
        <v>24</v>
      </c>
      <c r="I281">
        <v>26.815020000000001</v>
      </c>
      <c r="Q281" s="31"/>
    </row>
    <row r="282" spans="1:17" x14ac:dyDescent="0.3">
      <c r="A282" t="s">
        <v>38</v>
      </c>
      <c r="B282">
        <v>260</v>
      </c>
      <c r="C282">
        <v>0</v>
      </c>
      <c r="D282">
        <v>1</v>
      </c>
      <c r="E282">
        <v>0</v>
      </c>
      <c r="F282">
        <v>0</v>
      </c>
      <c r="G282">
        <v>260</v>
      </c>
      <c r="H282">
        <v>39</v>
      </c>
      <c r="I282">
        <v>34.942160000000001</v>
      </c>
      <c r="Q282" s="31"/>
    </row>
    <row r="283" spans="1:17" x14ac:dyDescent="0.3">
      <c r="A283" t="s">
        <v>38</v>
      </c>
      <c r="B283">
        <v>261</v>
      </c>
      <c r="C283">
        <v>1</v>
      </c>
      <c r="D283">
        <v>0</v>
      </c>
      <c r="E283">
        <v>0</v>
      </c>
      <c r="F283">
        <v>0</v>
      </c>
      <c r="G283">
        <v>261</v>
      </c>
      <c r="H283">
        <v>30</v>
      </c>
      <c r="I283">
        <v>53.311390000000003</v>
      </c>
      <c r="Q283" s="31"/>
    </row>
    <row r="284" spans="1:17" x14ac:dyDescent="0.3">
      <c r="A284" t="s">
        <v>98</v>
      </c>
      <c r="B284">
        <v>262</v>
      </c>
      <c r="C284">
        <v>0</v>
      </c>
      <c r="D284">
        <v>0</v>
      </c>
      <c r="E284">
        <v>0</v>
      </c>
      <c r="F284">
        <v>1</v>
      </c>
      <c r="G284">
        <v>262</v>
      </c>
      <c r="H284">
        <v>14</v>
      </c>
      <c r="I284">
        <v>18.745290000000001</v>
      </c>
      <c r="Q284" s="31"/>
    </row>
    <row r="285" spans="1:17" x14ac:dyDescent="0.3">
      <c r="A285" t="s">
        <v>98</v>
      </c>
      <c r="B285">
        <v>263</v>
      </c>
      <c r="C285">
        <v>0</v>
      </c>
      <c r="D285">
        <v>0</v>
      </c>
      <c r="E285">
        <v>1</v>
      </c>
      <c r="F285">
        <v>0</v>
      </c>
      <c r="G285">
        <v>263</v>
      </c>
      <c r="H285">
        <v>18</v>
      </c>
      <c r="I285">
        <v>22.524170000000002</v>
      </c>
      <c r="Q285" s="31"/>
    </row>
    <row r="286" spans="1:17" x14ac:dyDescent="0.3">
      <c r="A286" t="s">
        <v>69</v>
      </c>
      <c r="B286">
        <v>266</v>
      </c>
      <c r="C286">
        <v>0</v>
      </c>
      <c r="D286">
        <v>1</v>
      </c>
      <c r="E286">
        <v>0</v>
      </c>
      <c r="F286">
        <v>0</v>
      </c>
      <c r="G286">
        <v>266</v>
      </c>
      <c r="H286">
        <v>18</v>
      </c>
      <c r="I286">
        <v>12.70195</v>
      </c>
      <c r="Q286" s="31"/>
    </row>
    <row r="287" spans="1:17" x14ac:dyDescent="0.3">
      <c r="A287" t="s">
        <v>69</v>
      </c>
      <c r="B287">
        <v>267</v>
      </c>
      <c r="C287">
        <v>0</v>
      </c>
      <c r="D287">
        <v>0</v>
      </c>
      <c r="E287">
        <v>1</v>
      </c>
      <c r="F287">
        <v>0</v>
      </c>
      <c r="G287">
        <v>267</v>
      </c>
      <c r="H287">
        <v>42</v>
      </c>
      <c r="I287">
        <v>28.269459999999999</v>
      </c>
      <c r="Q287" s="31"/>
    </row>
    <row r="288" spans="1:17" x14ac:dyDescent="0.3">
      <c r="A288" t="s">
        <v>69</v>
      </c>
      <c r="B288">
        <v>268</v>
      </c>
      <c r="C288">
        <v>1</v>
      </c>
      <c r="D288">
        <v>0</v>
      </c>
      <c r="E288">
        <v>0</v>
      </c>
      <c r="F288">
        <v>0</v>
      </c>
      <c r="G288">
        <v>268</v>
      </c>
      <c r="H288">
        <v>20</v>
      </c>
      <c r="I288">
        <v>11.08</v>
      </c>
      <c r="Q288" s="31"/>
    </row>
    <row r="289" spans="1:17" x14ac:dyDescent="0.3">
      <c r="A289" t="s">
        <v>39</v>
      </c>
      <c r="B289">
        <v>269</v>
      </c>
      <c r="C289">
        <v>0</v>
      </c>
      <c r="D289">
        <v>1</v>
      </c>
      <c r="E289">
        <v>0</v>
      </c>
      <c r="F289">
        <v>0</v>
      </c>
      <c r="G289">
        <v>269</v>
      </c>
      <c r="H289">
        <v>6</v>
      </c>
      <c r="I289">
        <v>7.3357700000000001</v>
      </c>
      <c r="Q289" s="31"/>
    </row>
    <row r="290" spans="1:17" x14ac:dyDescent="0.3">
      <c r="A290" t="s">
        <v>99</v>
      </c>
      <c r="B290">
        <v>278</v>
      </c>
      <c r="C290">
        <v>0</v>
      </c>
      <c r="D290">
        <v>1</v>
      </c>
      <c r="E290">
        <v>0</v>
      </c>
      <c r="F290">
        <v>0</v>
      </c>
      <c r="G290">
        <v>278</v>
      </c>
      <c r="H290">
        <v>31</v>
      </c>
      <c r="I290">
        <v>24.148630000000001</v>
      </c>
      <c r="Q290" s="31"/>
    </row>
    <row r="291" spans="1:17" x14ac:dyDescent="0.3">
      <c r="A291" t="s">
        <v>40</v>
      </c>
      <c r="B291">
        <v>286</v>
      </c>
      <c r="C291">
        <v>0</v>
      </c>
      <c r="D291">
        <v>0</v>
      </c>
      <c r="E291">
        <v>1</v>
      </c>
      <c r="F291">
        <v>0</v>
      </c>
      <c r="G291">
        <v>286</v>
      </c>
      <c r="H291">
        <v>45</v>
      </c>
      <c r="I291">
        <v>47.266309999999997</v>
      </c>
      <c r="Q291" s="31"/>
    </row>
    <row r="292" spans="1:17" x14ac:dyDescent="0.3">
      <c r="A292" s="26" t="s">
        <v>200</v>
      </c>
      <c r="B292">
        <v>288</v>
      </c>
      <c r="C292">
        <v>0</v>
      </c>
      <c r="D292">
        <v>0</v>
      </c>
      <c r="E292">
        <v>0</v>
      </c>
      <c r="F292">
        <v>1</v>
      </c>
      <c r="G292">
        <v>288</v>
      </c>
      <c r="H292">
        <v>21</v>
      </c>
      <c r="I292">
        <v>33.896630000000002</v>
      </c>
      <c r="Q292" s="31"/>
    </row>
    <row r="293" spans="1:17" x14ac:dyDescent="0.3">
      <c r="A293" t="s">
        <v>10</v>
      </c>
      <c r="B293">
        <v>290</v>
      </c>
      <c r="C293">
        <v>0</v>
      </c>
      <c r="D293">
        <v>0</v>
      </c>
      <c r="E293">
        <v>1</v>
      </c>
      <c r="F293">
        <v>0</v>
      </c>
      <c r="G293">
        <v>290</v>
      </c>
      <c r="H293">
        <v>23</v>
      </c>
      <c r="I293">
        <v>33.362969999999997</v>
      </c>
      <c r="Q293" s="31"/>
    </row>
    <row r="294" spans="1:17" x14ac:dyDescent="0.3">
      <c r="A294" t="s">
        <v>100</v>
      </c>
      <c r="B294">
        <v>294</v>
      </c>
      <c r="C294">
        <v>0</v>
      </c>
      <c r="D294">
        <v>0</v>
      </c>
      <c r="E294">
        <v>0</v>
      </c>
      <c r="F294">
        <v>1</v>
      </c>
      <c r="G294">
        <v>294</v>
      </c>
      <c r="H294">
        <v>35</v>
      </c>
      <c r="I294">
        <v>36.28125</v>
      </c>
      <c r="Q294" s="31"/>
    </row>
    <row r="295" spans="1:17" x14ac:dyDescent="0.3">
      <c r="A295" t="s">
        <v>71</v>
      </c>
      <c r="B295">
        <v>298</v>
      </c>
      <c r="C295">
        <v>0</v>
      </c>
      <c r="D295">
        <v>1</v>
      </c>
      <c r="E295">
        <v>0</v>
      </c>
      <c r="F295">
        <v>0</v>
      </c>
      <c r="G295">
        <v>298</v>
      </c>
      <c r="H295">
        <v>22</v>
      </c>
      <c r="I295">
        <v>12.539870000000001</v>
      </c>
      <c r="Q295" s="31"/>
    </row>
    <row r="296" spans="1:17" x14ac:dyDescent="0.3">
      <c r="A296" t="s">
        <v>41</v>
      </c>
      <c r="B296">
        <v>302</v>
      </c>
      <c r="C296">
        <v>0</v>
      </c>
      <c r="D296">
        <v>0</v>
      </c>
      <c r="E296">
        <v>1</v>
      </c>
      <c r="F296">
        <v>0</v>
      </c>
      <c r="G296">
        <v>302</v>
      </c>
      <c r="H296">
        <v>5</v>
      </c>
      <c r="I296">
        <v>17.353729999999999</v>
      </c>
      <c r="Q296" s="31"/>
    </row>
    <row r="297" spans="1:17" x14ac:dyDescent="0.3">
      <c r="A297" t="s">
        <v>11</v>
      </c>
      <c r="B297">
        <v>305</v>
      </c>
      <c r="C297">
        <v>0</v>
      </c>
      <c r="D297">
        <v>1</v>
      </c>
      <c r="E297">
        <v>0</v>
      </c>
      <c r="F297">
        <v>0</v>
      </c>
      <c r="G297">
        <v>305</v>
      </c>
      <c r="H297">
        <v>7</v>
      </c>
      <c r="I297">
        <v>2.3458899999999998</v>
      </c>
      <c r="Q297" s="31"/>
    </row>
    <row r="298" spans="1:17" x14ac:dyDescent="0.3">
      <c r="A298" t="s">
        <v>11</v>
      </c>
      <c r="B298">
        <v>306</v>
      </c>
      <c r="C298">
        <v>0</v>
      </c>
      <c r="D298">
        <v>0</v>
      </c>
      <c r="E298">
        <v>1</v>
      </c>
      <c r="F298">
        <v>0</v>
      </c>
      <c r="G298">
        <v>306</v>
      </c>
      <c r="H298">
        <v>39</v>
      </c>
      <c r="I298">
        <v>33.106870000000001</v>
      </c>
      <c r="Q298" s="31"/>
    </row>
    <row r="299" spans="1:17" x14ac:dyDescent="0.3">
      <c r="A299" t="s">
        <v>72</v>
      </c>
      <c r="B299">
        <v>311</v>
      </c>
      <c r="C299">
        <v>0</v>
      </c>
      <c r="D299">
        <v>0</v>
      </c>
      <c r="E299">
        <v>0</v>
      </c>
      <c r="F299">
        <v>1</v>
      </c>
      <c r="G299">
        <v>311</v>
      </c>
      <c r="H299">
        <v>56</v>
      </c>
      <c r="I299">
        <v>71.909080000000003</v>
      </c>
      <c r="Q299" s="31"/>
    </row>
    <row r="300" spans="1:17" x14ac:dyDescent="0.3">
      <c r="A300" t="s">
        <v>72</v>
      </c>
      <c r="B300">
        <v>312</v>
      </c>
      <c r="C300">
        <v>0</v>
      </c>
      <c r="D300">
        <v>0</v>
      </c>
      <c r="E300">
        <v>1</v>
      </c>
      <c r="F300">
        <v>0</v>
      </c>
      <c r="G300">
        <v>312</v>
      </c>
      <c r="H300">
        <v>56</v>
      </c>
      <c r="I300">
        <v>61.22748</v>
      </c>
      <c r="Q300" s="31"/>
    </row>
    <row r="301" spans="1:17" x14ac:dyDescent="0.3">
      <c r="A301" t="s">
        <v>73</v>
      </c>
      <c r="B301">
        <v>325</v>
      </c>
      <c r="C301">
        <v>0</v>
      </c>
      <c r="D301">
        <v>1</v>
      </c>
      <c r="E301">
        <v>0</v>
      </c>
      <c r="F301">
        <v>0</v>
      </c>
      <c r="G301">
        <v>325</v>
      </c>
      <c r="H301">
        <v>56</v>
      </c>
      <c r="I301">
        <v>65.730009999999993</v>
      </c>
      <c r="Q301" s="31"/>
    </row>
    <row r="302" spans="1:17" x14ac:dyDescent="0.3">
      <c r="A302" t="s">
        <v>13</v>
      </c>
      <c r="B302">
        <v>333</v>
      </c>
      <c r="C302">
        <v>0</v>
      </c>
      <c r="D302">
        <v>0</v>
      </c>
      <c r="E302">
        <v>1</v>
      </c>
      <c r="F302">
        <v>0</v>
      </c>
      <c r="G302">
        <v>333</v>
      </c>
      <c r="H302">
        <v>50</v>
      </c>
      <c r="I302">
        <v>43.850389999999997</v>
      </c>
      <c r="Q302" s="31"/>
    </row>
    <row r="303" spans="1:17" x14ac:dyDescent="0.3">
      <c r="A303" t="s">
        <v>104</v>
      </c>
      <c r="B303">
        <v>349</v>
      </c>
      <c r="C303">
        <v>0</v>
      </c>
      <c r="D303">
        <v>0</v>
      </c>
      <c r="E303">
        <v>1</v>
      </c>
      <c r="F303">
        <v>0</v>
      </c>
      <c r="G303">
        <v>349</v>
      </c>
      <c r="H303">
        <v>26</v>
      </c>
      <c r="I303">
        <v>31.775580000000001</v>
      </c>
      <c r="Q303" s="31"/>
    </row>
    <row r="304" spans="1:17" x14ac:dyDescent="0.3">
      <c r="A304" t="s">
        <v>75</v>
      </c>
      <c r="B304">
        <v>353</v>
      </c>
      <c r="C304">
        <v>1</v>
      </c>
      <c r="D304">
        <v>0</v>
      </c>
      <c r="E304">
        <v>0</v>
      </c>
      <c r="F304">
        <v>0</v>
      </c>
      <c r="G304">
        <v>353</v>
      </c>
      <c r="H304">
        <v>9</v>
      </c>
      <c r="I304">
        <v>11.56043</v>
      </c>
      <c r="Q304" s="31"/>
    </row>
    <row r="305" spans="1:17" x14ac:dyDescent="0.3">
      <c r="A305" t="s">
        <v>75</v>
      </c>
      <c r="B305">
        <v>354</v>
      </c>
      <c r="C305">
        <v>0</v>
      </c>
      <c r="D305">
        <v>0</v>
      </c>
      <c r="E305">
        <v>1</v>
      </c>
      <c r="F305">
        <v>0</v>
      </c>
      <c r="G305">
        <v>354</v>
      </c>
      <c r="H305">
        <v>13</v>
      </c>
      <c r="I305">
        <v>18.945820000000001</v>
      </c>
      <c r="Q305" s="31"/>
    </row>
    <row r="306" spans="1:17" x14ac:dyDescent="0.3">
      <c r="A306" t="s">
        <v>105</v>
      </c>
      <c r="B306">
        <v>366</v>
      </c>
      <c r="C306">
        <v>1</v>
      </c>
      <c r="D306">
        <v>0</v>
      </c>
      <c r="E306">
        <v>0</v>
      </c>
      <c r="F306">
        <v>0</v>
      </c>
      <c r="G306">
        <v>366</v>
      </c>
      <c r="H306">
        <v>23</v>
      </c>
      <c r="I306">
        <v>19.78876</v>
      </c>
      <c r="Q306" s="31"/>
    </row>
    <row r="307" spans="1:17" x14ac:dyDescent="0.3">
      <c r="A307" t="s">
        <v>46</v>
      </c>
      <c r="B307">
        <v>373</v>
      </c>
      <c r="C307">
        <v>0</v>
      </c>
      <c r="D307">
        <v>0</v>
      </c>
      <c r="E307">
        <v>1</v>
      </c>
      <c r="F307">
        <v>0</v>
      </c>
      <c r="G307">
        <v>373</v>
      </c>
      <c r="H307">
        <v>12</v>
      </c>
      <c r="I307">
        <v>4.2987000000000002</v>
      </c>
      <c r="Q307" s="31"/>
    </row>
    <row r="308" spans="1:17" x14ac:dyDescent="0.3">
      <c r="A308" t="s">
        <v>46</v>
      </c>
      <c r="B308">
        <v>374</v>
      </c>
      <c r="C308">
        <v>0</v>
      </c>
      <c r="D308">
        <v>0</v>
      </c>
      <c r="E308">
        <v>0</v>
      </c>
      <c r="F308">
        <v>1</v>
      </c>
      <c r="G308">
        <v>374</v>
      </c>
      <c r="H308">
        <v>13</v>
      </c>
      <c r="I308">
        <v>5.0530400000000002</v>
      </c>
      <c r="Q308" s="31"/>
    </row>
    <row r="309" spans="1:17" x14ac:dyDescent="0.3">
      <c r="A309" t="s">
        <v>16</v>
      </c>
      <c r="B309">
        <v>378</v>
      </c>
      <c r="C309">
        <v>0</v>
      </c>
      <c r="D309">
        <v>0</v>
      </c>
      <c r="E309">
        <v>1</v>
      </c>
      <c r="F309">
        <v>0</v>
      </c>
      <c r="G309">
        <v>378</v>
      </c>
      <c r="H309">
        <v>9</v>
      </c>
      <c r="I309">
        <v>27.97317</v>
      </c>
      <c r="Q309" s="31"/>
    </row>
    <row r="310" spans="1:17" x14ac:dyDescent="0.3">
      <c r="A310" t="s">
        <v>77</v>
      </c>
      <c r="B310">
        <v>384</v>
      </c>
      <c r="C310">
        <v>0</v>
      </c>
      <c r="D310">
        <v>1</v>
      </c>
      <c r="E310">
        <v>0</v>
      </c>
      <c r="F310">
        <v>0</v>
      </c>
      <c r="G310">
        <v>384</v>
      </c>
      <c r="H310">
        <v>24</v>
      </c>
      <c r="I310">
        <v>15.836539999999999</v>
      </c>
      <c r="Q310" s="31"/>
    </row>
    <row r="311" spans="1:17" x14ac:dyDescent="0.3">
      <c r="A311" t="s">
        <v>77</v>
      </c>
      <c r="B311">
        <v>385</v>
      </c>
      <c r="C311">
        <v>0</v>
      </c>
      <c r="D311">
        <v>0</v>
      </c>
      <c r="E311">
        <v>1</v>
      </c>
      <c r="F311">
        <v>0</v>
      </c>
      <c r="G311">
        <v>385</v>
      </c>
      <c r="H311">
        <v>87</v>
      </c>
      <c r="I311">
        <v>41.421959999999999</v>
      </c>
      <c r="Q311" s="31"/>
    </row>
    <row r="312" spans="1:17" x14ac:dyDescent="0.3">
      <c r="A312" t="s">
        <v>47</v>
      </c>
      <c r="B312">
        <v>386</v>
      </c>
      <c r="C312">
        <v>0</v>
      </c>
      <c r="D312">
        <v>0</v>
      </c>
      <c r="E312">
        <v>0</v>
      </c>
      <c r="F312">
        <v>1</v>
      </c>
      <c r="G312">
        <v>386</v>
      </c>
      <c r="H312">
        <v>10</v>
      </c>
      <c r="I312">
        <v>0.12972</v>
      </c>
      <c r="Q312" s="31"/>
    </row>
    <row r="313" spans="1:17" x14ac:dyDescent="0.3">
      <c r="A313" t="s">
        <v>47</v>
      </c>
      <c r="B313">
        <v>387</v>
      </c>
      <c r="C313">
        <v>0</v>
      </c>
      <c r="D313">
        <v>1</v>
      </c>
      <c r="E313">
        <v>0</v>
      </c>
      <c r="F313">
        <v>0</v>
      </c>
      <c r="G313">
        <v>387</v>
      </c>
      <c r="H313">
        <v>2</v>
      </c>
      <c r="I313">
        <v>1.24655</v>
      </c>
      <c r="Q313" s="31"/>
    </row>
    <row r="314" spans="1:17" x14ac:dyDescent="0.3">
      <c r="A314" t="s">
        <v>107</v>
      </c>
      <c r="B314">
        <v>393</v>
      </c>
      <c r="C314">
        <v>0</v>
      </c>
      <c r="D314">
        <v>1</v>
      </c>
      <c r="E314">
        <v>0</v>
      </c>
      <c r="F314">
        <v>0</v>
      </c>
      <c r="G314">
        <v>393</v>
      </c>
      <c r="H314">
        <v>53</v>
      </c>
      <c r="I314">
        <v>78.213740000000001</v>
      </c>
      <c r="Q314" s="31"/>
    </row>
    <row r="315" spans="1:17" x14ac:dyDescent="0.3">
      <c r="A315" t="s">
        <v>78</v>
      </c>
      <c r="B315">
        <v>397</v>
      </c>
      <c r="C315">
        <v>0</v>
      </c>
      <c r="D315">
        <v>0</v>
      </c>
      <c r="E315">
        <v>1</v>
      </c>
      <c r="F315">
        <v>0</v>
      </c>
      <c r="G315">
        <v>397</v>
      </c>
      <c r="H315">
        <v>12</v>
      </c>
      <c r="I315">
        <v>9.4425100000000004</v>
      </c>
      <c r="Q315" s="31"/>
    </row>
    <row r="316" spans="1:17" x14ac:dyDescent="0.3">
      <c r="A316" t="s">
        <v>78</v>
      </c>
      <c r="B316">
        <v>398</v>
      </c>
      <c r="C316">
        <v>0</v>
      </c>
      <c r="D316">
        <v>0</v>
      </c>
      <c r="E316">
        <v>0</v>
      </c>
      <c r="F316">
        <v>1</v>
      </c>
      <c r="G316">
        <v>398</v>
      </c>
      <c r="H316">
        <v>12</v>
      </c>
      <c r="I316">
        <v>9.1126400000000007</v>
      </c>
      <c r="Q316" s="31"/>
    </row>
    <row r="317" spans="1:17" x14ac:dyDescent="0.3">
      <c r="A317" t="s">
        <v>48</v>
      </c>
      <c r="B317">
        <v>401</v>
      </c>
      <c r="C317">
        <v>0</v>
      </c>
      <c r="D317">
        <v>1</v>
      </c>
      <c r="E317">
        <v>0</v>
      </c>
      <c r="F317">
        <v>0</v>
      </c>
      <c r="G317">
        <v>401</v>
      </c>
      <c r="H317">
        <v>4</v>
      </c>
      <c r="I317">
        <v>1.9314800000000001</v>
      </c>
      <c r="Q317" s="31"/>
    </row>
    <row r="318" spans="1:17" x14ac:dyDescent="0.3">
      <c r="A318" t="s">
        <v>48</v>
      </c>
      <c r="B318">
        <v>402</v>
      </c>
      <c r="C318">
        <v>0</v>
      </c>
      <c r="D318">
        <v>0</v>
      </c>
      <c r="E318">
        <v>0</v>
      </c>
      <c r="F318">
        <v>1</v>
      </c>
      <c r="G318">
        <v>402</v>
      </c>
      <c r="H318">
        <v>14</v>
      </c>
      <c r="I318">
        <v>17.944739999999999</v>
      </c>
      <c r="Q318" s="31"/>
    </row>
    <row r="319" spans="1:17" x14ac:dyDescent="0.3">
      <c r="A319" t="s">
        <v>18</v>
      </c>
      <c r="B319">
        <v>404</v>
      </c>
      <c r="C319">
        <v>0</v>
      </c>
      <c r="D319">
        <v>0</v>
      </c>
      <c r="E319">
        <v>0</v>
      </c>
      <c r="F319">
        <v>1</v>
      </c>
      <c r="G319">
        <v>404</v>
      </c>
      <c r="H319">
        <v>142</v>
      </c>
      <c r="I319">
        <v>133.40396000000001</v>
      </c>
      <c r="Q319" s="31"/>
    </row>
    <row r="320" spans="1:17" x14ac:dyDescent="0.3">
      <c r="A320" t="s">
        <v>18</v>
      </c>
      <c r="B320">
        <v>405</v>
      </c>
      <c r="C320">
        <v>0</v>
      </c>
      <c r="D320">
        <v>0</v>
      </c>
      <c r="E320">
        <v>1</v>
      </c>
      <c r="F320">
        <v>0</v>
      </c>
      <c r="G320">
        <v>405</v>
      </c>
      <c r="H320">
        <v>141</v>
      </c>
      <c r="I320">
        <v>141.0515</v>
      </c>
      <c r="Q320" s="31"/>
    </row>
    <row r="321" spans="1:17" x14ac:dyDescent="0.3">
      <c r="A321" t="s">
        <v>108</v>
      </c>
      <c r="B321">
        <v>409</v>
      </c>
      <c r="C321">
        <v>0</v>
      </c>
      <c r="D321">
        <v>0</v>
      </c>
      <c r="E321">
        <v>0</v>
      </c>
      <c r="F321">
        <v>1</v>
      </c>
      <c r="G321">
        <v>409</v>
      </c>
      <c r="H321">
        <v>45</v>
      </c>
      <c r="I321">
        <v>46.797220000000003</v>
      </c>
      <c r="Q321" s="31"/>
    </row>
    <row r="322" spans="1:17" x14ac:dyDescent="0.3">
      <c r="A322" t="s">
        <v>19</v>
      </c>
      <c r="B322">
        <v>415</v>
      </c>
      <c r="C322">
        <v>0</v>
      </c>
      <c r="D322">
        <v>0</v>
      </c>
      <c r="E322">
        <v>0</v>
      </c>
      <c r="F322">
        <v>1</v>
      </c>
      <c r="G322">
        <v>415</v>
      </c>
      <c r="H322">
        <v>17</v>
      </c>
      <c r="I322">
        <v>15.638590000000001</v>
      </c>
      <c r="Q322" s="31"/>
    </row>
    <row r="323" spans="1:17" x14ac:dyDescent="0.3">
      <c r="A323" t="s">
        <v>80</v>
      </c>
      <c r="B323">
        <v>4</v>
      </c>
      <c r="C323">
        <v>0</v>
      </c>
      <c r="D323">
        <v>0</v>
      </c>
      <c r="E323">
        <v>0</v>
      </c>
      <c r="F323">
        <v>1</v>
      </c>
      <c r="G323">
        <v>4</v>
      </c>
      <c r="H323">
        <v>162</v>
      </c>
      <c r="I323">
        <v>139.74109999999999</v>
      </c>
      <c r="Q323" s="31"/>
    </row>
    <row r="324" spans="1:17" x14ac:dyDescent="0.3">
      <c r="A324" t="s">
        <v>49</v>
      </c>
      <c r="B324">
        <v>7</v>
      </c>
      <c r="C324">
        <v>1</v>
      </c>
      <c r="D324">
        <v>0</v>
      </c>
      <c r="E324">
        <v>0</v>
      </c>
      <c r="F324">
        <v>0</v>
      </c>
      <c r="G324">
        <v>7</v>
      </c>
      <c r="H324">
        <v>2</v>
      </c>
      <c r="I324">
        <v>4.1460800000000004</v>
      </c>
      <c r="Q324" s="31"/>
    </row>
    <row r="325" spans="1:17" x14ac:dyDescent="0.3">
      <c r="A325" t="s">
        <v>81</v>
      </c>
      <c r="B325">
        <v>17</v>
      </c>
      <c r="C325">
        <v>0</v>
      </c>
      <c r="D325">
        <v>0</v>
      </c>
      <c r="E325">
        <v>0</v>
      </c>
      <c r="F325">
        <v>1</v>
      </c>
      <c r="G325">
        <v>17</v>
      </c>
      <c r="H325">
        <v>181</v>
      </c>
      <c r="I325">
        <v>175.48741000000001</v>
      </c>
      <c r="Q325" s="31"/>
    </row>
    <row r="326" spans="1:17" x14ac:dyDescent="0.3">
      <c r="A326" t="s">
        <v>21</v>
      </c>
      <c r="B326">
        <v>22</v>
      </c>
      <c r="C326">
        <v>0</v>
      </c>
      <c r="D326">
        <v>0</v>
      </c>
      <c r="E326">
        <v>1</v>
      </c>
      <c r="F326">
        <v>0</v>
      </c>
      <c r="G326">
        <v>22</v>
      </c>
      <c r="H326">
        <v>6</v>
      </c>
      <c r="I326">
        <v>8.8200000000000001E-2</v>
      </c>
      <c r="Q326" s="31"/>
    </row>
    <row r="327" spans="1:17" x14ac:dyDescent="0.3">
      <c r="A327" t="s">
        <v>82</v>
      </c>
      <c r="B327">
        <v>28</v>
      </c>
      <c r="C327">
        <v>0</v>
      </c>
      <c r="D327">
        <v>0</v>
      </c>
      <c r="E327">
        <v>0</v>
      </c>
      <c r="F327">
        <v>1</v>
      </c>
      <c r="G327">
        <v>28</v>
      </c>
      <c r="H327">
        <v>57</v>
      </c>
      <c r="I327">
        <v>42.954889999999999</v>
      </c>
      <c r="Q327" s="31"/>
    </row>
    <row r="328" spans="1:17" x14ac:dyDescent="0.3">
      <c r="A328" t="s">
        <v>82</v>
      </c>
      <c r="B328">
        <v>29</v>
      </c>
      <c r="C328">
        <v>0</v>
      </c>
      <c r="D328">
        <v>1</v>
      </c>
      <c r="E328">
        <v>0</v>
      </c>
      <c r="F328">
        <v>0</v>
      </c>
      <c r="G328">
        <v>29</v>
      </c>
      <c r="H328">
        <v>12</v>
      </c>
      <c r="I328">
        <v>10.104279999999999</v>
      </c>
      <c r="Q328" s="31"/>
    </row>
    <row r="329" spans="1:17" x14ac:dyDescent="0.3">
      <c r="A329" t="s">
        <v>51</v>
      </c>
      <c r="B329">
        <v>32</v>
      </c>
      <c r="C329">
        <v>0</v>
      </c>
      <c r="D329">
        <v>0</v>
      </c>
      <c r="E329">
        <v>0</v>
      </c>
      <c r="F329">
        <v>1</v>
      </c>
      <c r="G329">
        <v>32</v>
      </c>
      <c r="H329">
        <v>147</v>
      </c>
      <c r="I329">
        <v>101.34945999999999</v>
      </c>
      <c r="Q329" s="31"/>
    </row>
    <row r="330" spans="1:17" x14ac:dyDescent="0.3">
      <c r="A330" t="s">
        <v>51</v>
      </c>
      <c r="B330">
        <v>33</v>
      </c>
      <c r="C330">
        <v>0</v>
      </c>
      <c r="D330">
        <v>0</v>
      </c>
      <c r="E330">
        <v>1</v>
      </c>
      <c r="F330">
        <v>0</v>
      </c>
      <c r="G330">
        <v>33</v>
      </c>
      <c r="H330">
        <v>152</v>
      </c>
      <c r="I330">
        <v>99.688990000000004</v>
      </c>
      <c r="Q330" s="31"/>
    </row>
    <row r="331" spans="1:17" x14ac:dyDescent="0.3">
      <c r="A331" t="s">
        <v>52</v>
      </c>
      <c r="B331">
        <v>46</v>
      </c>
      <c r="C331">
        <v>0</v>
      </c>
      <c r="D331">
        <v>0</v>
      </c>
      <c r="E331">
        <v>0</v>
      </c>
      <c r="F331">
        <v>1</v>
      </c>
      <c r="G331">
        <v>46</v>
      </c>
      <c r="H331">
        <v>34</v>
      </c>
      <c r="I331">
        <v>26.29354</v>
      </c>
      <c r="Q331" s="31"/>
    </row>
    <row r="332" spans="1:17" x14ac:dyDescent="0.3">
      <c r="A332" t="s">
        <v>52</v>
      </c>
      <c r="B332">
        <v>47</v>
      </c>
      <c r="C332">
        <v>1</v>
      </c>
      <c r="D332">
        <v>0</v>
      </c>
      <c r="E332">
        <v>0</v>
      </c>
      <c r="F332">
        <v>0</v>
      </c>
      <c r="G332">
        <v>47</v>
      </c>
      <c r="H332">
        <v>12</v>
      </c>
      <c r="I332">
        <v>8.8099100000000004</v>
      </c>
      <c r="Q332" s="31"/>
    </row>
    <row r="333" spans="1:17" x14ac:dyDescent="0.3">
      <c r="A333" t="s">
        <v>112</v>
      </c>
      <c r="B333">
        <v>54</v>
      </c>
      <c r="C333">
        <v>0</v>
      </c>
      <c r="D333">
        <v>0</v>
      </c>
      <c r="E333">
        <v>1</v>
      </c>
      <c r="F333">
        <v>0</v>
      </c>
      <c r="G333">
        <v>54</v>
      </c>
      <c r="H333">
        <v>41</v>
      </c>
      <c r="I333">
        <v>69.426990000000004</v>
      </c>
      <c r="Q333" s="31"/>
    </row>
    <row r="334" spans="1:17" x14ac:dyDescent="0.3">
      <c r="A334" t="s">
        <v>53</v>
      </c>
      <c r="B334">
        <v>62</v>
      </c>
      <c r="C334">
        <v>0</v>
      </c>
      <c r="D334">
        <v>1</v>
      </c>
      <c r="E334">
        <v>0</v>
      </c>
      <c r="F334">
        <v>0</v>
      </c>
      <c r="G334">
        <v>62</v>
      </c>
      <c r="H334">
        <v>107</v>
      </c>
      <c r="I334">
        <v>91.315470000000005</v>
      </c>
      <c r="Q334" s="31"/>
    </row>
    <row r="335" spans="1:17" x14ac:dyDescent="0.3">
      <c r="A335" t="s">
        <v>24</v>
      </c>
      <c r="B335">
        <v>66</v>
      </c>
      <c r="C335">
        <v>0</v>
      </c>
      <c r="D335">
        <v>1</v>
      </c>
      <c r="E335">
        <v>0</v>
      </c>
      <c r="F335">
        <v>0</v>
      </c>
      <c r="G335">
        <v>66</v>
      </c>
      <c r="H335">
        <v>15</v>
      </c>
      <c r="I335">
        <v>13.570550000000001</v>
      </c>
      <c r="Q335" s="31"/>
    </row>
    <row r="336" spans="1:17" x14ac:dyDescent="0.3">
      <c r="A336" t="s">
        <v>113</v>
      </c>
      <c r="B336">
        <v>68</v>
      </c>
      <c r="C336">
        <v>0</v>
      </c>
      <c r="D336">
        <v>1</v>
      </c>
      <c r="E336">
        <v>0</v>
      </c>
      <c r="F336">
        <v>0</v>
      </c>
      <c r="G336">
        <v>68</v>
      </c>
      <c r="H336">
        <v>67</v>
      </c>
      <c r="I336">
        <v>49.598230000000001</v>
      </c>
      <c r="Q336" s="31"/>
    </row>
    <row r="337" spans="1:17" x14ac:dyDescent="0.3">
      <c r="A337" t="s">
        <v>113</v>
      </c>
      <c r="B337">
        <v>69</v>
      </c>
      <c r="C337">
        <v>0</v>
      </c>
      <c r="D337">
        <v>0</v>
      </c>
      <c r="E337">
        <v>1</v>
      </c>
      <c r="F337">
        <v>0</v>
      </c>
      <c r="G337">
        <v>69</v>
      </c>
      <c r="H337">
        <v>191</v>
      </c>
      <c r="I337">
        <v>196.22749999999999</v>
      </c>
      <c r="Q337" s="31"/>
    </row>
    <row r="338" spans="1:17" x14ac:dyDescent="0.3">
      <c r="A338" t="s">
        <v>84</v>
      </c>
      <c r="B338">
        <v>73</v>
      </c>
      <c r="C338">
        <v>0</v>
      </c>
      <c r="D338">
        <v>1</v>
      </c>
      <c r="E338">
        <v>0</v>
      </c>
      <c r="F338">
        <v>0</v>
      </c>
      <c r="G338">
        <v>73</v>
      </c>
      <c r="H338">
        <v>16</v>
      </c>
      <c r="I338">
        <v>18.77881</v>
      </c>
      <c r="Q338" s="31"/>
    </row>
    <row r="339" spans="1:17" x14ac:dyDescent="0.3">
      <c r="A339" t="s">
        <v>54</v>
      </c>
      <c r="B339">
        <v>76</v>
      </c>
      <c r="C339">
        <v>1</v>
      </c>
      <c r="D339">
        <v>0</v>
      </c>
      <c r="E339">
        <v>0</v>
      </c>
      <c r="F339">
        <v>0</v>
      </c>
      <c r="G339">
        <v>76</v>
      </c>
      <c r="H339">
        <v>22</v>
      </c>
      <c r="I339">
        <v>28.921140000000001</v>
      </c>
      <c r="Q339" s="31"/>
    </row>
    <row r="340" spans="1:17" x14ac:dyDescent="0.3">
      <c r="A340" t="s">
        <v>54</v>
      </c>
      <c r="B340">
        <v>77</v>
      </c>
      <c r="C340">
        <v>0</v>
      </c>
      <c r="D340">
        <v>1</v>
      </c>
      <c r="E340">
        <v>0</v>
      </c>
      <c r="F340">
        <v>0</v>
      </c>
      <c r="G340">
        <v>77</v>
      </c>
      <c r="H340">
        <v>22</v>
      </c>
      <c r="I340">
        <v>16.823399999999999</v>
      </c>
      <c r="Q340" s="31"/>
    </row>
    <row r="341" spans="1:17" x14ac:dyDescent="0.3">
      <c r="A341" t="s">
        <v>25</v>
      </c>
      <c r="B341">
        <v>81</v>
      </c>
      <c r="C341">
        <v>0</v>
      </c>
      <c r="D341">
        <v>1</v>
      </c>
      <c r="E341">
        <v>0</v>
      </c>
      <c r="F341">
        <v>0</v>
      </c>
      <c r="G341">
        <v>81</v>
      </c>
      <c r="H341">
        <v>16</v>
      </c>
      <c r="I341">
        <v>17.139109999999999</v>
      </c>
      <c r="Q341" s="31"/>
    </row>
    <row r="342" spans="1:17" x14ac:dyDescent="0.3">
      <c r="A342" t="s">
        <v>55</v>
      </c>
      <c r="B342">
        <v>90</v>
      </c>
      <c r="C342">
        <v>0</v>
      </c>
      <c r="D342">
        <v>1</v>
      </c>
      <c r="E342">
        <v>0</v>
      </c>
      <c r="F342">
        <v>0</v>
      </c>
      <c r="G342">
        <v>90</v>
      </c>
      <c r="H342">
        <v>6</v>
      </c>
      <c r="I342">
        <v>9.3576300000000003</v>
      </c>
      <c r="Q342" s="31"/>
    </row>
    <row r="343" spans="1:17" x14ac:dyDescent="0.3">
      <c r="A343" t="s">
        <v>55</v>
      </c>
      <c r="B343">
        <v>91</v>
      </c>
      <c r="C343">
        <v>0</v>
      </c>
      <c r="D343">
        <v>0</v>
      </c>
      <c r="E343">
        <v>0</v>
      </c>
      <c r="F343">
        <v>1</v>
      </c>
      <c r="G343">
        <v>91</v>
      </c>
      <c r="H343">
        <v>10</v>
      </c>
      <c r="I343">
        <v>9.2216299999999993</v>
      </c>
      <c r="Q343" s="31"/>
    </row>
    <row r="344" spans="1:17" x14ac:dyDescent="0.3">
      <c r="A344" t="s">
        <v>55</v>
      </c>
      <c r="B344">
        <v>92</v>
      </c>
      <c r="C344">
        <v>1</v>
      </c>
      <c r="D344">
        <v>0</v>
      </c>
      <c r="E344">
        <v>0</v>
      </c>
      <c r="F344">
        <v>0</v>
      </c>
      <c r="G344">
        <v>92</v>
      </c>
      <c r="H344">
        <v>5</v>
      </c>
      <c r="I344">
        <v>5.26518</v>
      </c>
      <c r="Q344" s="31"/>
    </row>
    <row r="345" spans="1:17" x14ac:dyDescent="0.3">
      <c r="A345" t="s">
        <v>26</v>
      </c>
      <c r="B345">
        <v>96</v>
      </c>
      <c r="C345">
        <v>0</v>
      </c>
      <c r="D345">
        <v>0</v>
      </c>
      <c r="E345">
        <v>1</v>
      </c>
      <c r="F345">
        <v>0</v>
      </c>
      <c r="G345">
        <v>96</v>
      </c>
      <c r="H345">
        <v>139</v>
      </c>
      <c r="I345">
        <v>126.21356</v>
      </c>
      <c r="Q345" s="31"/>
    </row>
    <row r="346" spans="1:17" x14ac:dyDescent="0.3">
      <c r="A346" t="s">
        <v>86</v>
      </c>
      <c r="B346">
        <v>103</v>
      </c>
      <c r="C346">
        <v>0</v>
      </c>
      <c r="D346">
        <v>1</v>
      </c>
      <c r="E346">
        <v>0</v>
      </c>
      <c r="F346">
        <v>0</v>
      </c>
      <c r="G346">
        <v>103</v>
      </c>
      <c r="H346">
        <v>41</v>
      </c>
      <c r="I346">
        <v>36.808689999999999</v>
      </c>
      <c r="Q346" s="31"/>
    </row>
    <row r="347" spans="1:17" x14ac:dyDescent="0.3">
      <c r="A347" t="s">
        <v>56</v>
      </c>
      <c r="B347">
        <v>106</v>
      </c>
      <c r="C347">
        <v>0</v>
      </c>
      <c r="D347">
        <v>0</v>
      </c>
      <c r="E347">
        <v>0</v>
      </c>
      <c r="F347">
        <v>1</v>
      </c>
      <c r="G347">
        <v>106</v>
      </c>
      <c r="H347">
        <v>23</v>
      </c>
      <c r="I347">
        <v>22.51923</v>
      </c>
      <c r="Q347" s="31"/>
    </row>
    <row r="348" spans="1:17" x14ac:dyDescent="0.3">
      <c r="A348" t="s">
        <v>56</v>
      </c>
      <c r="B348">
        <v>107</v>
      </c>
      <c r="C348">
        <v>0</v>
      </c>
      <c r="D348">
        <v>0</v>
      </c>
      <c r="E348">
        <v>1</v>
      </c>
      <c r="F348">
        <v>0</v>
      </c>
      <c r="G348">
        <v>107</v>
      </c>
      <c r="H348">
        <v>21</v>
      </c>
      <c r="I348">
        <v>25.97823</v>
      </c>
      <c r="Q348" s="31"/>
    </row>
    <row r="349" spans="1:17" x14ac:dyDescent="0.3">
      <c r="A349" t="s">
        <v>27</v>
      </c>
      <c r="B349">
        <v>110</v>
      </c>
      <c r="C349">
        <v>1</v>
      </c>
      <c r="D349">
        <v>0</v>
      </c>
      <c r="E349">
        <v>0</v>
      </c>
      <c r="F349">
        <v>0</v>
      </c>
      <c r="G349">
        <v>110</v>
      </c>
      <c r="H349">
        <v>7</v>
      </c>
      <c r="I349">
        <v>11.571709999999999</v>
      </c>
      <c r="Q349" s="31"/>
    </row>
    <row r="350" spans="1:17" x14ac:dyDescent="0.3">
      <c r="A350" t="s">
        <v>116</v>
      </c>
      <c r="B350">
        <v>113</v>
      </c>
      <c r="C350">
        <v>0</v>
      </c>
      <c r="D350">
        <v>0</v>
      </c>
      <c r="E350">
        <v>0</v>
      </c>
      <c r="F350">
        <v>1</v>
      </c>
      <c r="G350">
        <v>113</v>
      </c>
      <c r="H350">
        <v>36</v>
      </c>
      <c r="I350">
        <v>28.52788</v>
      </c>
      <c r="Q350" s="31"/>
    </row>
    <row r="351" spans="1:17" x14ac:dyDescent="0.3">
      <c r="A351" t="s">
        <v>87</v>
      </c>
      <c r="B351">
        <v>117</v>
      </c>
      <c r="C351">
        <v>0</v>
      </c>
      <c r="D351">
        <v>1</v>
      </c>
      <c r="E351">
        <v>0</v>
      </c>
      <c r="F351">
        <v>0</v>
      </c>
      <c r="G351">
        <v>117</v>
      </c>
      <c r="H351">
        <v>73</v>
      </c>
      <c r="I351">
        <v>67.149540000000002</v>
      </c>
      <c r="Q351" s="31"/>
    </row>
    <row r="352" spans="1:17" x14ac:dyDescent="0.3">
      <c r="A352" t="s">
        <v>57</v>
      </c>
      <c r="B352">
        <v>121</v>
      </c>
      <c r="C352">
        <v>0</v>
      </c>
      <c r="D352">
        <v>0</v>
      </c>
      <c r="E352">
        <v>0</v>
      </c>
      <c r="F352">
        <v>1</v>
      </c>
      <c r="G352">
        <v>121</v>
      </c>
      <c r="H352">
        <v>37</v>
      </c>
      <c r="I352">
        <v>35.812980000000003</v>
      </c>
      <c r="Q352" s="31"/>
    </row>
    <row r="353" spans="1:17" x14ac:dyDescent="0.3">
      <c r="A353" t="s">
        <v>88</v>
      </c>
      <c r="B353">
        <v>131</v>
      </c>
      <c r="C353">
        <v>0</v>
      </c>
      <c r="D353">
        <v>0</v>
      </c>
      <c r="E353">
        <v>1</v>
      </c>
      <c r="F353">
        <v>0</v>
      </c>
      <c r="G353">
        <v>131</v>
      </c>
      <c r="H353">
        <v>42</v>
      </c>
      <c r="I353">
        <v>34.866579999999999</v>
      </c>
      <c r="Q353" s="31"/>
    </row>
    <row r="354" spans="1:17" x14ac:dyDescent="0.3">
      <c r="A354" t="s">
        <v>58</v>
      </c>
      <c r="B354">
        <v>135</v>
      </c>
      <c r="C354">
        <v>1</v>
      </c>
      <c r="D354">
        <v>0</v>
      </c>
      <c r="E354">
        <v>0</v>
      </c>
      <c r="F354">
        <v>0</v>
      </c>
      <c r="G354">
        <v>135</v>
      </c>
      <c r="H354">
        <v>37</v>
      </c>
      <c r="I354">
        <v>29.580880000000001</v>
      </c>
      <c r="Q354" s="31"/>
    </row>
    <row r="355" spans="1:17" x14ac:dyDescent="0.3">
      <c r="A355" t="s">
        <v>29</v>
      </c>
      <c r="B355">
        <v>139</v>
      </c>
      <c r="C355">
        <v>0</v>
      </c>
      <c r="D355">
        <v>0</v>
      </c>
      <c r="E355">
        <v>0</v>
      </c>
      <c r="F355">
        <v>1</v>
      </c>
      <c r="G355">
        <v>139</v>
      </c>
      <c r="H355">
        <v>29</v>
      </c>
      <c r="I355">
        <v>29.273250000000001</v>
      </c>
      <c r="Q355" s="31"/>
    </row>
    <row r="356" spans="1:17" x14ac:dyDescent="0.3">
      <c r="A356" t="s">
        <v>118</v>
      </c>
      <c r="B356">
        <v>141</v>
      </c>
      <c r="C356">
        <v>0</v>
      </c>
      <c r="D356">
        <v>1</v>
      </c>
      <c r="E356">
        <v>0</v>
      </c>
      <c r="F356">
        <v>0</v>
      </c>
      <c r="G356">
        <v>141</v>
      </c>
      <c r="H356">
        <v>5</v>
      </c>
      <c r="I356">
        <v>11.210940000000001</v>
      </c>
      <c r="Q356" s="31"/>
    </row>
    <row r="357" spans="1:17" x14ac:dyDescent="0.3">
      <c r="A357" t="s">
        <v>118</v>
      </c>
      <c r="B357">
        <v>142</v>
      </c>
      <c r="C357">
        <v>0</v>
      </c>
      <c r="D357">
        <v>0</v>
      </c>
      <c r="E357">
        <v>1</v>
      </c>
      <c r="F357">
        <v>0</v>
      </c>
      <c r="G357">
        <v>142</v>
      </c>
      <c r="H357">
        <v>5</v>
      </c>
      <c r="I357">
        <v>14.35272</v>
      </c>
      <c r="Q357" s="31"/>
    </row>
    <row r="358" spans="1:17" x14ac:dyDescent="0.3">
      <c r="A358" t="s">
        <v>31</v>
      </c>
      <c r="B358">
        <v>163</v>
      </c>
      <c r="C358">
        <v>0</v>
      </c>
      <c r="D358">
        <v>0</v>
      </c>
      <c r="E358">
        <v>0</v>
      </c>
      <c r="F358">
        <v>1</v>
      </c>
      <c r="G358">
        <v>163</v>
      </c>
      <c r="H358">
        <v>39</v>
      </c>
      <c r="I358">
        <v>45.32114</v>
      </c>
      <c r="Q358" s="31"/>
    </row>
    <row r="359" spans="1:17" x14ac:dyDescent="0.3">
      <c r="A359" t="s">
        <v>90</v>
      </c>
      <c r="B359">
        <v>170</v>
      </c>
      <c r="C359">
        <v>1</v>
      </c>
      <c r="D359">
        <v>0</v>
      </c>
      <c r="E359">
        <v>0</v>
      </c>
      <c r="F359">
        <v>0</v>
      </c>
      <c r="G359">
        <v>170</v>
      </c>
      <c r="H359">
        <v>13</v>
      </c>
      <c r="I359">
        <v>1.01067</v>
      </c>
      <c r="Q359" s="31"/>
    </row>
    <row r="360" spans="1:17" x14ac:dyDescent="0.3">
      <c r="A360" t="s">
        <v>61</v>
      </c>
      <c r="B360">
        <v>174</v>
      </c>
      <c r="C360">
        <v>0</v>
      </c>
      <c r="D360">
        <v>0</v>
      </c>
      <c r="E360">
        <v>0</v>
      </c>
      <c r="F360">
        <v>1</v>
      </c>
      <c r="G360">
        <v>174</v>
      </c>
      <c r="H360">
        <v>23</v>
      </c>
      <c r="I360">
        <v>47.037649999999999</v>
      </c>
      <c r="Q360" s="31"/>
    </row>
    <row r="361" spans="1:17" x14ac:dyDescent="0.3">
      <c r="A361" t="s">
        <v>32</v>
      </c>
      <c r="B361">
        <v>178</v>
      </c>
      <c r="C361">
        <v>0</v>
      </c>
      <c r="D361">
        <v>0</v>
      </c>
      <c r="E361">
        <v>1</v>
      </c>
      <c r="F361">
        <v>0</v>
      </c>
      <c r="G361">
        <v>178</v>
      </c>
      <c r="H361">
        <v>97</v>
      </c>
      <c r="I361">
        <v>112.56026</v>
      </c>
      <c r="Q361" s="31"/>
    </row>
    <row r="362" spans="1:17" x14ac:dyDescent="0.3">
      <c r="A362" t="s">
        <v>91</v>
      </c>
      <c r="B362">
        <v>185</v>
      </c>
      <c r="C362">
        <v>0</v>
      </c>
      <c r="D362">
        <v>1</v>
      </c>
      <c r="E362">
        <v>0</v>
      </c>
      <c r="F362">
        <v>0</v>
      </c>
      <c r="G362">
        <v>185</v>
      </c>
      <c r="H362">
        <v>21</v>
      </c>
      <c r="I362">
        <v>20.924689999999998</v>
      </c>
      <c r="Q362" s="31"/>
    </row>
    <row r="363" spans="1:17" x14ac:dyDescent="0.3">
      <c r="A363" t="s">
        <v>62</v>
      </c>
      <c r="B363">
        <v>189</v>
      </c>
      <c r="C363">
        <v>0</v>
      </c>
      <c r="D363">
        <v>0</v>
      </c>
      <c r="E363">
        <v>1</v>
      </c>
      <c r="F363">
        <v>0</v>
      </c>
      <c r="G363">
        <v>189</v>
      </c>
      <c r="H363">
        <v>2</v>
      </c>
      <c r="I363">
        <v>9.0441800000000008</v>
      </c>
      <c r="Q363" s="31"/>
    </row>
    <row r="364" spans="1:17" x14ac:dyDescent="0.3">
      <c r="A364" t="s">
        <v>33</v>
      </c>
      <c r="B364">
        <v>193</v>
      </c>
      <c r="C364">
        <v>1</v>
      </c>
      <c r="D364">
        <v>0</v>
      </c>
      <c r="E364">
        <v>0</v>
      </c>
      <c r="F364">
        <v>0</v>
      </c>
      <c r="G364">
        <v>193</v>
      </c>
      <c r="H364">
        <v>50</v>
      </c>
      <c r="I364">
        <v>59.599829999999997</v>
      </c>
      <c r="Q364" s="31"/>
    </row>
    <row r="365" spans="1:17" x14ac:dyDescent="0.3">
      <c r="A365" t="s">
        <v>92</v>
      </c>
      <c r="B365">
        <v>198</v>
      </c>
      <c r="C365">
        <v>0</v>
      </c>
      <c r="D365">
        <v>0</v>
      </c>
      <c r="E365">
        <v>0</v>
      </c>
      <c r="F365">
        <v>1</v>
      </c>
      <c r="G365">
        <v>198</v>
      </c>
      <c r="H365">
        <v>100</v>
      </c>
      <c r="I365">
        <v>139.38991999999999</v>
      </c>
      <c r="Q365" s="31"/>
    </row>
    <row r="366" spans="1:17" x14ac:dyDescent="0.3">
      <c r="A366" t="s">
        <v>92</v>
      </c>
      <c r="B366">
        <v>199</v>
      </c>
      <c r="C366">
        <v>1</v>
      </c>
      <c r="D366">
        <v>0</v>
      </c>
      <c r="E366">
        <v>0</v>
      </c>
      <c r="F366">
        <v>0</v>
      </c>
      <c r="G366">
        <v>199</v>
      </c>
      <c r="H366">
        <v>40</v>
      </c>
      <c r="I366">
        <v>49.859110000000001</v>
      </c>
      <c r="Q366" s="31"/>
    </row>
    <row r="367" spans="1:17" x14ac:dyDescent="0.3">
      <c r="A367" t="s">
        <v>63</v>
      </c>
      <c r="B367">
        <v>203</v>
      </c>
      <c r="C367">
        <v>0</v>
      </c>
      <c r="D367">
        <v>1</v>
      </c>
      <c r="E367">
        <v>0</v>
      </c>
      <c r="F367">
        <v>0</v>
      </c>
      <c r="G367">
        <v>203</v>
      </c>
      <c r="H367">
        <v>3</v>
      </c>
      <c r="I367">
        <v>6.7861099999999999</v>
      </c>
      <c r="Q367" s="31"/>
    </row>
    <row r="368" spans="1:17" x14ac:dyDescent="0.3">
      <c r="A368" t="s">
        <v>64</v>
      </c>
      <c r="B368">
        <v>211</v>
      </c>
      <c r="C368">
        <v>0</v>
      </c>
      <c r="D368">
        <v>0</v>
      </c>
      <c r="E368">
        <v>1</v>
      </c>
      <c r="F368">
        <v>0</v>
      </c>
      <c r="G368">
        <v>211</v>
      </c>
      <c r="H368">
        <v>51</v>
      </c>
      <c r="I368">
        <v>54.402610000000003</v>
      </c>
      <c r="Q368" s="31"/>
    </row>
    <row r="369" spans="1:17" x14ac:dyDescent="0.3">
      <c r="A369" t="s">
        <v>64</v>
      </c>
      <c r="B369">
        <v>212</v>
      </c>
      <c r="C369">
        <v>0</v>
      </c>
      <c r="D369">
        <v>0</v>
      </c>
      <c r="E369">
        <v>0</v>
      </c>
      <c r="F369">
        <v>1</v>
      </c>
      <c r="G369">
        <v>212</v>
      </c>
      <c r="H369">
        <v>52</v>
      </c>
      <c r="I369">
        <v>63.516109999999998</v>
      </c>
      <c r="Q369" s="31"/>
    </row>
    <row r="370" spans="1:17" x14ac:dyDescent="0.3">
      <c r="A370" t="s">
        <v>94</v>
      </c>
      <c r="B370">
        <v>217</v>
      </c>
      <c r="C370">
        <v>0</v>
      </c>
      <c r="D370">
        <v>0</v>
      </c>
      <c r="E370">
        <v>1</v>
      </c>
      <c r="F370">
        <v>0</v>
      </c>
      <c r="G370">
        <v>217</v>
      </c>
      <c r="H370">
        <v>65</v>
      </c>
      <c r="I370">
        <v>73.009379999999993</v>
      </c>
      <c r="Q370" s="31"/>
    </row>
    <row r="371" spans="1:17" x14ac:dyDescent="0.3">
      <c r="A371" t="s">
        <v>35</v>
      </c>
      <c r="B371">
        <v>225</v>
      </c>
      <c r="C371">
        <v>0</v>
      </c>
      <c r="D371">
        <v>0</v>
      </c>
      <c r="E371">
        <v>1</v>
      </c>
      <c r="F371">
        <v>0</v>
      </c>
      <c r="G371">
        <v>225</v>
      </c>
      <c r="H371">
        <v>20</v>
      </c>
      <c r="I371">
        <v>14.004630000000001</v>
      </c>
      <c r="Q371" s="31"/>
    </row>
    <row r="372" spans="1:17" x14ac:dyDescent="0.3">
      <c r="A372" t="s">
        <v>66</v>
      </c>
      <c r="B372">
        <v>233</v>
      </c>
      <c r="C372">
        <v>0</v>
      </c>
      <c r="D372">
        <v>1</v>
      </c>
      <c r="E372">
        <v>0</v>
      </c>
      <c r="F372">
        <v>0</v>
      </c>
      <c r="G372">
        <v>233</v>
      </c>
      <c r="H372">
        <v>18</v>
      </c>
      <c r="I372">
        <v>29.31363</v>
      </c>
      <c r="Q372" s="31"/>
    </row>
    <row r="373" spans="1:17" x14ac:dyDescent="0.3">
      <c r="A373" t="s">
        <v>96</v>
      </c>
      <c r="B373">
        <v>241</v>
      </c>
      <c r="C373">
        <v>0</v>
      </c>
      <c r="D373">
        <v>1</v>
      </c>
      <c r="E373">
        <v>0</v>
      </c>
      <c r="F373">
        <v>0</v>
      </c>
      <c r="G373">
        <v>241</v>
      </c>
      <c r="H373">
        <v>19</v>
      </c>
      <c r="I373">
        <v>11.1532</v>
      </c>
      <c r="Q373" s="31"/>
    </row>
    <row r="374" spans="1:17" x14ac:dyDescent="0.3">
      <c r="A374" t="s">
        <v>37</v>
      </c>
      <c r="B374">
        <v>249</v>
      </c>
      <c r="C374">
        <v>0</v>
      </c>
      <c r="D374">
        <v>0</v>
      </c>
      <c r="E374">
        <v>1</v>
      </c>
      <c r="F374">
        <v>0</v>
      </c>
      <c r="G374">
        <v>249</v>
      </c>
      <c r="H374">
        <v>75</v>
      </c>
      <c r="I374">
        <v>64.465400000000002</v>
      </c>
      <c r="Q374" s="31"/>
    </row>
    <row r="375" spans="1:17" x14ac:dyDescent="0.3">
      <c r="A375" t="s">
        <v>97</v>
      </c>
      <c r="B375">
        <v>252</v>
      </c>
      <c r="C375">
        <v>0</v>
      </c>
      <c r="D375">
        <v>0</v>
      </c>
      <c r="E375">
        <v>1</v>
      </c>
      <c r="F375">
        <v>0</v>
      </c>
      <c r="G375">
        <v>252</v>
      </c>
      <c r="H375">
        <v>21</v>
      </c>
      <c r="I375">
        <v>28.301629999999999</v>
      </c>
      <c r="Q375" s="31"/>
    </row>
    <row r="376" spans="1:17" x14ac:dyDescent="0.3">
      <c r="A376" t="s">
        <v>97</v>
      </c>
      <c r="B376">
        <v>253</v>
      </c>
      <c r="C376">
        <v>1</v>
      </c>
      <c r="D376">
        <v>0</v>
      </c>
      <c r="E376">
        <v>0</v>
      </c>
      <c r="F376">
        <v>0</v>
      </c>
      <c r="G376">
        <v>253</v>
      </c>
      <c r="H376">
        <v>1</v>
      </c>
      <c r="I376">
        <v>2.6959599999999999</v>
      </c>
      <c r="Q376" s="31"/>
    </row>
    <row r="377" spans="1:17" x14ac:dyDescent="0.3">
      <c r="A377" t="s">
        <v>68</v>
      </c>
      <c r="B377">
        <v>257</v>
      </c>
      <c r="C377">
        <v>1</v>
      </c>
      <c r="D377">
        <v>0</v>
      </c>
      <c r="E377">
        <v>0</v>
      </c>
      <c r="F377">
        <v>0</v>
      </c>
      <c r="G377">
        <v>257</v>
      </c>
      <c r="H377">
        <v>24</v>
      </c>
      <c r="I377">
        <v>33.37865</v>
      </c>
      <c r="Q377" s="31"/>
    </row>
    <row r="378" spans="1:17" x14ac:dyDescent="0.3">
      <c r="A378" t="s">
        <v>98</v>
      </c>
      <c r="B378">
        <v>264</v>
      </c>
      <c r="C378">
        <v>0</v>
      </c>
      <c r="D378">
        <v>1</v>
      </c>
      <c r="E378">
        <v>0</v>
      </c>
      <c r="F378">
        <v>0</v>
      </c>
      <c r="G378">
        <v>264</v>
      </c>
      <c r="H378">
        <v>4</v>
      </c>
      <c r="I378">
        <v>3.8438300000000001</v>
      </c>
      <c r="Q378" s="31"/>
    </row>
    <row r="379" spans="1:17" x14ac:dyDescent="0.3">
      <c r="A379" t="s">
        <v>39</v>
      </c>
      <c r="B379">
        <v>270</v>
      </c>
      <c r="C379">
        <v>1</v>
      </c>
      <c r="D379">
        <v>0</v>
      </c>
      <c r="E379">
        <v>0</v>
      </c>
      <c r="F379">
        <v>0</v>
      </c>
      <c r="G379">
        <v>270</v>
      </c>
      <c r="H379">
        <v>10</v>
      </c>
      <c r="I379">
        <v>15.453010000000001</v>
      </c>
      <c r="Q379" s="31"/>
    </row>
    <row r="380" spans="1:17" x14ac:dyDescent="0.3">
      <c r="A380" t="s">
        <v>39</v>
      </c>
      <c r="B380">
        <v>271</v>
      </c>
      <c r="C380">
        <v>0</v>
      </c>
      <c r="D380">
        <v>0</v>
      </c>
      <c r="E380">
        <v>1</v>
      </c>
      <c r="F380">
        <v>0</v>
      </c>
      <c r="G380">
        <v>271</v>
      </c>
      <c r="H380">
        <v>34</v>
      </c>
      <c r="I380">
        <v>44.816659999999999</v>
      </c>
      <c r="Q380" s="31"/>
    </row>
    <row r="381" spans="1:17" x14ac:dyDescent="0.3">
      <c r="A381" t="s">
        <v>39</v>
      </c>
      <c r="B381">
        <v>272</v>
      </c>
      <c r="C381">
        <v>0</v>
      </c>
      <c r="D381">
        <v>0</v>
      </c>
      <c r="E381">
        <v>0</v>
      </c>
      <c r="F381">
        <v>1</v>
      </c>
      <c r="G381">
        <v>272</v>
      </c>
      <c r="H381">
        <v>36</v>
      </c>
      <c r="I381">
        <v>30.253959999999999</v>
      </c>
      <c r="Q381" s="31"/>
    </row>
    <row r="382" spans="1:17" x14ac:dyDescent="0.3">
      <c r="A382" t="s">
        <v>9</v>
      </c>
      <c r="B382">
        <v>276</v>
      </c>
      <c r="C382">
        <v>1</v>
      </c>
      <c r="D382">
        <v>0</v>
      </c>
      <c r="E382">
        <v>0</v>
      </c>
      <c r="F382">
        <v>0</v>
      </c>
      <c r="G382">
        <v>276</v>
      </c>
      <c r="H382">
        <v>2</v>
      </c>
      <c r="I382">
        <v>9.2879100000000001</v>
      </c>
      <c r="Q382" s="31"/>
    </row>
    <row r="383" spans="1:17" x14ac:dyDescent="0.3">
      <c r="A383" t="s">
        <v>99</v>
      </c>
      <c r="B383">
        <v>279</v>
      </c>
      <c r="C383">
        <v>0</v>
      </c>
      <c r="D383">
        <v>0</v>
      </c>
      <c r="E383">
        <v>0</v>
      </c>
      <c r="F383">
        <v>1</v>
      </c>
      <c r="G383">
        <v>279</v>
      </c>
      <c r="H383">
        <v>133</v>
      </c>
      <c r="I383">
        <v>152.22583</v>
      </c>
      <c r="Q383" s="31"/>
    </row>
    <row r="384" spans="1:17" x14ac:dyDescent="0.3">
      <c r="A384" t="s">
        <v>70</v>
      </c>
      <c r="B384">
        <v>281</v>
      </c>
      <c r="C384">
        <v>0</v>
      </c>
      <c r="D384">
        <v>0</v>
      </c>
      <c r="E384">
        <v>0</v>
      </c>
      <c r="F384">
        <v>1</v>
      </c>
      <c r="G384">
        <v>281</v>
      </c>
      <c r="H384">
        <v>44</v>
      </c>
      <c r="I384">
        <v>19.916229999999999</v>
      </c>
      <c r="Q384" s="31"/>
    </row>
    <row r="385" spans="1:17" x14ac:dyDescent="0.3">
      <c r="A385" t="s">
        <v>70</v>
      </c>
      <c r="B385">
        <v>282</v>
      </c>
      <c r="C385">
        <v>0</v>
      </c>
      <c r="D385">
        <v>0</v>
      </c>
      <c r="E385">
        <v>1</v>
      </c>
      <c r="F385">
        <v>0</v>
      </c>
      <c r="G385">
        <v>282</v>
      </c>
      <c r="H385">
        <v>44</v>
      </c>
      <c r="I385">
        <v>18.500109999999999</v>
      </c>
      <c r="Q385" s="31"/>
    </row>
    <row r="386" spans="1:17" x14ac:dyDescent="0.3">
      <c r="A386" t="s">
        <v>70</v>
      </c>
      <c r="B386">
        <v>283</v>
      </c>
      <c r="C386">
        <v>1</v>
      </c>
      <c r="D386">
        <v>0</v>
      </c>
      <c r="E386">
        <v>0</v>
      </c>
      <c r="F386">
        <v>0</v>
      </c>
      <c r="G386">
        <v>283</v>
      </c>
      <c r="H386">
        <v>27</v>
      </c>
      <c r="I386">
        <v>6.9617399999999998</v>
      </c>
      <c r="Q386" s="31"/>
    </row>
    <row r="387" spans="1:17" x14ac:dyDescent="0.3">
      <c r="A387" t="s">
        <v>40</v>
      </c>
      <c r="B387">
        <v>287</v>
      </c>
      <c r="C387">
        <v>0</v>
      </c>
      <c r="D387">
        <v>0</v>
      </c>
      <c r="E387">
        <v>0</v>
      </c>
      <c r="F387">
        <v>1</v>
      </c>
      <c r="G387">
        <v>287</v>
      </c>
      <c r="H387">
        <v>46</v>
      </c>
      <c r="I387">
        <v>45.320860000000003</v>
      </c>
      <c r="Q387" s="31"/>
    </row>
    <row r="388" spans="1:17" x14ac:dyDescent="0.3">
      <c r="A388" t="s">
        <v>10</v>
      </c>
      <c r="B388">
        <v>291</v>
      </c>
      <c r="C388">
        <v>1</v>
      </c>
      <c r="D388">
        <v>0</v>
      </c>
      <c r="E388">
        <v>0</v>
      </c>
      <c r="F388">
        <v>0</v>
      </c>
      <c r="G388">
        <v>291</v>
      </c>
      <c r="H388">
        <v>15</v>
      </c>
      <c r="I388">
        <v>19.329219999999999</v>
      </c>
      <c r="Q388" s="31"/>
    </row>
    <row r="389" spans="1:17" x14ac:dyDescent="0.3">
      <c r="A389" t="s">
        <v>100</v>
      </c>
      <c r="B389">
        <v>295</v>
      </c>
      <c r="C389">
        <v>0</v>
      </c>
      <c r="D389">
        <v>1</v>
      </c>
      <c r="E389">
        <v>0</v>
      </c>
      <c r="F389">
        <v>0</v>
      </c>
      <c r="G389">
        <v>295</v>
      </c>
      <c r="H389">
        <v>7</v>
      </c>
      <c r="I389">
        <v>17.648620000000001</v>
      </c>
      <c r="Q389" s="31"/>
    </row>
    <row r="390" spans="1:17" x14ac:dyDescent="0.3">
      <c r="A390" t="s">
        <v>71</v>
      </c>
      <c r="B390">
        <v>299</v>
      </c>
      <c r="C390">
        <v>1</v>
      </c>
      <c r="D390">
        <v>0</v>
      </c>
      <c r="E390">
        <v>0</v>
      </c>
      <c r="F390">
        <v>0</v>
      </c>
      <c r="G390">
        <v>299</v>
      </c>
      <c r="H390">
        <v>22</v>
      </c>
      <c r="I390">
        <v>12.86983</v>
      </c>
      <c r="Q390" s="31"/>
    </row>
    <row r="391" spans="1:17" x14ac:dyDescent="0.3">
      <c r="A391" t="s">
        <v>101</v>
      </c>
      <c r="B391">
        <v>310</v>
      </c>
      <c r="C391">
        <v>0</v>
      </c>
      <c r="D391">
        <v>1</v>
      </c>
      <c r="E391">
        <v>0</v>
      </c>
      <c r="F391">
        <v>0</v>
      </c>
      <c r="G391">
        <v>310</v>
      </c>
      <c r="H391">
        <v>13</v>
      </c>
      <c r="I391">
        <v>18.442039999999999</v>
      </c>
      <c r="Q391" s="31"/>
    </row>
    <row r="392" spans="1:17" x14ac:dyDescent="0.3">
      <c r="A392" t="s">
        <v>72</v>
      </c>
      <c r="B392">
        <v>313</v>
      </c>
      <c r="C392">
        <v>0</v>
      </c>
      <c r="D392">
        <v>1</v>
      </c>
      <c r="E392">
        <v>0</v>
      </c>
      <c r="F392">
        <v>0</v>
      </c>
      <c r="G392">
        <v>313</v>
      </c>
      <c r="H392">
        <v>11</v>
      </c>
      <c r="I392">
        <v>16.733250000000002</v>
      </c>
      <c r="Q392" s="31"/>
    </row>
    <row r="393" spans="1:17" x14ac:dyDescent="0.3">
      <c r="A393" t="s">
        <v>72</v>
      </c>
      <c r="B393">
        <v>314</v>
      </c>
      <c r="C393">
        <v>1</v>
      </c>
      <c r="D393">
        <v>0</v>
      </c>
      <c r="E393">
        <v>0</v>
      </c>
      <c r="F393">
        <v>0</v>
      </c>
      <c r="G393">
        <v>314</v>
      </c>
      <c r="H393">
        <v>29</v>
      </c>
      <c r="I393">
        <v>21.893129999999999</v>
      </c>
      <c r="Q393" s="31"/>
    </row>
    <row r="394" spans="1:17" x14ac:dyDescent="0.3">
      <c r="A394" t="s">
        <v>42</v>
      </c>
      <c r="B394">
        <v>316</v>
      </c>
      <c r="C394">
        <v>0</v>
      </c>
      <c r="D394">
        <v>0</v>
      </c>
      <c r="E394">
        <v>1</v>
      </c>
      <c r="F394">
        <v>0</v>
      </c>
      <c r="G394">
        <v>316</v>
      </c>
      <c r="H394">
        <v>20</v>
      </c>
      <c r="I394">
        <v>25.793810000000001</v>
      </c>
      <c r="Q394" s="31"/>
    </row>
    <row r="395" spans="1:17" x14ac:dyDescent="0.3">
      <c r="A395" t="s">
        <v>12</v>
      </c>
      <c r="B395">
        <v>320</v>
      </c>
      <c r="C395">
        <v>0</v>
      </c>
      <c r="D395">
        <v>0</v>
      </c>
      <c r="E395">
        <v>0</v>
      </c>
      <c r="F395">
        <v>1</v>
      </c>
      <c r="G395">
        <v>320</v>
      </c>
      <c r="H395">
        <v>173</v>
      </c>
      <c r="I395">
        <v>191.50998000000001</v>
      </c>
      <c r="Q395" s="31"/>
    </row>
    <row r="396" spans="1:17" x14ac:dyDescent="0.3">
      <c r="A396" t="s">
        <v>73</v>
      </c>
      <c r="B396">
        <v>326</v>
      </c>
      <c r="C396">
        <v>0</v>
      </c>
      <c r="D396">
        <v>0</v>
      </c>
      <c r="E396">
        <v>0</v>
      </c>
      <c r="F396">
        <v>1</v>
      </c>
      <c r="G396">
        <v>326</v>
      </c>
      <c r="H396">
        <v>201</v>
      </c>
      <c r="I396">
        <v>177.80875</v>
      </c>
      <c r="Q396" s="31"/>
    </row>
    <row r="397" spans="1:17" x14ac:dyDescent="0.3">
      <c r="A397" t="s">
        <v>43</v>
      </c>
      <c r="B397">
        <v>329</v>
      </c>
      <c r="C397">
        <v>0</v>
      </c>
      <c r="D397">
        <v>0</v>
      </c>
      <c r="E397">
        <v>1</v>
      </c>
      <c r="F397">
        <v>0</v>
      </c>
      <c r="G397">
        <v>329</v>
      </c>
      <c r="H397">
        <v>32</v>
      </c>
      <c r="I397">
        <v>41.464640000000003</v>
      </c>
      <c r="Q397" s="31"/>
    </row>
    <row r="398" spans="1:17" x14ac:dyDescent="0.3">
      <c r="A398" t="s">
        <v>74</v>
      </c>
      <c r="B398">
        <v>338</v>
      </c>
      <c r="C398">
        <v>1</v>
      </c>
      <c r="D398">
        <v>0</v>
      </c>
      <c r="E398">
        <v>0</v>
      </c>
      <c r="F398">
        <v>0</v>
      </c>
      <c r="G398">
        <v>338</v>
      </c>
      <c r="H398">
        <v>69</v>
      </c>
      <c r="I398">
        <v>51.377049999999997</v>
      </c>
      <c r="Q398" s="31"/>
    </row>
    <row r="399" spans="1:17" x14ac:dyDescent="0.3">
      <c r="A399" t="s">
        <v>74</v>
      </c>
      <c r="B399">
        <v>339</v>
      </c>
      <c r="C399">
        <v>0</v>
      </c>
      <c r="D399">
        <v>0</v>
      </c>
      <c r="E399">
        <v>1</v>
      </c>
      <c r="F399">
        <v>0</v>
      </c>
      <c r="G399">
        <v>339</v>
      </c>
      <c r="H399">
        <v>77</v>
      </c>
      <c r="I399">
        <v>77.697630000000004</v>
      </c>
      <c r="Q399" s="31"/>
    </row>
    <row r="400" spans="1:17" x14ac:dyDescent="0.3">
      <c r="A400" t="s">
        <v>14</v>
      </c>
      <c r="B400">
        <v>347</v>
      </c>
      <c r="C400">
        <v>0</v>
      </c>
      <c r="D400">
        <v>0</v>
      </c>
      <c r="E400">
        <v>1</v>
      </c>
      <c r="F400">
        <v>0</v>
      </c>
      <c r="G400">
        <v>347</v>
      </c>
      <c r="H400">
        <v>13</v>
      </c>
      <c r="I400">
        <v>14.59038</v>
      </c>
      <c r="Q400" s="31"/>
    </row>
    <row r="401" spans="1:17" x14ac:dyDescent="0.3">
      <c r="A401" t="s">
        <v>104</v>
      </c>
      <c r="B401">
        <v>350</v>
      </c>
      <c r="C401">
        <v>0</v>
      </c>
      <c r="D401">
        <v>1</v>
      </c>
      <c r="E401">
        <v>0</v>
      </c>
      <c r="F401">
        <v>0</v>
      </c>
      <c r="G401">
        <v>350</v>
      </c>
      <c r="H401">
        <v>6</v>
      </c>
      <c r="I401">
        <v>18.70232</v>
      </c>
      <c r="Q401" s="31"/>
    </row>
    <row r="402" spans="1:17" x14ac:dyDescent="0.3">
      <c r="A402" t="s">
        <v>104</v>
      </c>
      <c r="B402">
        <v>351</v>
      </c>
      <c r="C402">
        <v>0</v>
      </c>
      <c r="D402">
        <v>0</v>
      </c>
      <c r="E402">
        <v>0</v>
      </c>
      <c r="F402">
        <v>1</v>
      </c>
      <c r="G402">
        <v>351</v>
      </c>
      <c r="H402">
        <v>17</v>
      </c>
      <c r="I402">
        <v>20.517209999999999</v>
      </c>
      <c r="Q402" s="31"/>
    </row>
    <row r="403" spans="1:17" x14ac:dyDescent="0.3">
      <c r="A403" t="s">
        <v>75</v>
      </c>
      <c r="B403">
        <v>355</v>
      </c>
      <c r="C403">
        <v>0</v>
      </c>
      <c r="D403">
        <v>0</v>
      </c>
      <c r="E403">
        <v>0</v>
      </c>
      <c r="F403">
        <v>1</v>
      </c>
      <c r="G403">
        <v>355</v>
      </c>
      <c r="H403">
        <v>13</v>
      </c>
      <c r="I403">
        <v>17.58802</v>
      </c>
      <c r="Q403" s="31"/>
    </row>
    <row r="404" spans="1:17" x14ac:dyDescent="0.3">
      <c r="A404" t="s">
        <v>45</v>
      </c>
      <c r="B404">
        <v>359</v>
      </c>
      <c r="C404">
        <v>0</v>
      </c>
      <c r="D404">
        <v>0</v>
      </c>
      <c r="E404">
        <v>1</v>
      </c>
      <c r="F404">
        <v>0</v>
      </c>
      <c r="G404">
        <v>359</v>
      </c>
      <c r="H404">
        <v>87</v>
      </c>
      <c r="I404">
        <v>88.546509999999998</v>
      </c>
      <c r="Q404" s="31"/>
    </row>
    <row r="405" spans="1:17" x14ac:dyDescent="0.3">
      <c r="A405" t="s">
        <v>15</v>
      </c>
      <c r="B405">
        <v>363</v>
      </c>
      <c r="C405">
        <v>0</v>
      </c>
      <c r="D405">
        <v>0</v>
      </c>
      <c r="E405">
        <v>0</v>
      </c>
      <c r="F405">
        <v>1</v>
      </c>
      <c r="G405">
        <v>363</v>
      </c>
      <c r="H405">
        <v>15</v>
      </c>
      <c r="I405">
        <v>18.423159999999999</v>
      </c>
      <c r="Q405" s="31"/>
    </row>
    <row r="406" spans="1:17" x14ac:dyDescent="0.3">
      <c r="A406" t="s">
        <v>105</v>
      </c>
      <c r="B406">
        <v>367</v>
      </c>
      <c r="C406">
        <v>0</v>
      </c>
      <c r="D406">
        <v>0</v>
      </c>
      <c r="E406">
        <v>0</v>
      </c>
      <c r="F406">
        <v>1</v>
      </c>
      <c r="G406">
        <v>367</v>
      </c>
      <c r="H406">
        <v>64</v>
      </c>
      <c r="I406">
        <v>52.153500000000001</v>
      </c>
      <c r="Q406" s="31"/>
    </row>
    <row r="407" spans="1:17" x14ac:dyDescent="0.3">
      <c r="A407" t="s">
        <v>76</v>
      </c>
      <c r="B407">
        <v>369</v>
      </c>
      <c r="C407">
        <v>0</v>
      </c>
      <c r="D407">
        <v>1</v>
      </c>
      <c r="E407">
        <v>0</v>
      </c>
      <c r="F407">
        <v>0</v>
      </c>
      <c r="G407">
        <v>369</v>
      </c>
      <c r="H407">
        <v>17</v>
      </c>
      <c r="I407">
        <v>12.45345</v>
      </c>
      <c r="Q407" s="31"/>
    </row>
    <row r="408" spans="1:17" x14ac:dyDescent="0.3">
      <c r="A408" t="s">
        <v>76</v>
      </c>
      <c r="B408">
        <v>370</v>
      </c>
      <c r="C408">
        <v>0</v>
      </c>
      <c r="D408">
        <v>0</v>
      </c>
      <c r="E408">
        <v>0</v>
      </c>
      <c r="F408">
        <v>1</v>
      </c>
      <c r="G408">
        <v>370</v>
      </c>
      <c r="H408">
        <v>26</v>
      </c>
      <c r="I408">
        <v>28.819739999999999</v>
      </c>
      <c r="Q408" s="31"/>
    </row>
    <row r="409" spans="1:17" x14ac:dyDescent="0.3">
      <c r="A409" t="s">
        <v>76</v>
      </c>
      <c r="B409">
        <v>371</v>
      </c>
      <c r="C409">
        <v>1</v>
      </c>
      <c r="D409">
        <v>0</v>
      </c>
      <c r="E409">
        <v>0</v>
      </c>
      <c r="F409">
        <v>0</v>
      </c>
      <c r="G409">
        <v>371</v>
      </c>
      <c r="H409">
        <v>11</v>
      </c>
      <c r="I409">
        <v>5.5451100000000002</v>
      </c>
      <c r="Q409" s="31"/>
    </row>
    <row r="410" spans="1:17" x14ac:dyDescent="0.3">
      <c r="A410" t="s">
        <v>106</v>
      </c>
      <c r="B410">
        <v>381</v>
      </c>
      <c r="C410">
        <v>0</v>
      </c>
      <c r="D410">
        <v>0</v>
      </c>
      <c r="E410">
        <v>1</v>
      </c>
      <c r="F410">
        <v>0</v>
      </c>
      <c r="G410">
        <v>381</v>
      </c>
      <c r="H410">
        <v>147</v>
      </c>
      <c r="I410">
        <v>147.20634000000001</v>
      </c>
      <c r="Q410" s="31"/>
    </row>
    <row r="411" spans="1:17" x14ac:dyDescent="0.3">
      <c r="A411" t="s">
        <v>47</v>
      </c>
      <c r="B411">
        <v>388</v>
      </c>
      <c r="C411">
        <v>0</v>
      </c>
      <c r="D411">
        <v>0</v>
      </c>
      <c r="E411">
        <v>1</v>
      </c>
      <c r="F411">
        <v>0</v>
      </c>
      <c r="G411">
        <v>388</v>
      </c>
      <c r="H411">
        <v>10</v>
      </c>
      <c r="I411">
        <v>0.10829999999999999</v>
      </c>
      <c r="Q411" s="31"/>
    </row>
    <row r="412" spans="1:17" x14ac:dyDescent="0.3">
      <c r="A412" t="s">
        <v>107</v>
      </c>
      <c r="B412">
        <v>394</v>
      </c>
      <c r="C412">
        <v>0</v>
      </c>
      <c r="D412">
        <v>0</v>
      </c>
      <c r="E412">
        <v>1</v>
      </c>
      <c r="F412">
        <v>0</v>
      </c>
      <c r="G412">
        <v>394</v>
      </c>
      <c r="H412">
        <v>198</v>
      </c>
      <c r="I412">
        <v>210.48703</v>
      </c>
      <c r="Q412" s="31"/>
    </row>
    <row r="413" spans="1:17" x14ac:dyDescent="0.3">
      <c r="A413" t="s">
        <v>107</v>
      </c>
      <c r="B413">
        <v>395</v>
      </c>
      <c r="C413">
        <v>0</v>
      </c>
      <c r="D413">
        <v>0</v>
      </c>
      <c r="E413">
        <v>0</v>
      </c>
      <c r="F413">
        <v>1</v>
      </c>
      <c r="G413">
        <v>395</v>
      </c>
      <c r="H413">
        <v>204</v>
      </c>
      <c r="I413">
        <v>204.49894</v>
      </c>
      <c r="Q413" s="31"/>
    </row>
    <row r="414" spans="1:17" x14ac:dyDescent="0.3">
      <c r="A414" t="s">
        <v>18</v>
      </c>
      <c r="B414">
        <v>406</v>
      </c>
      <c r="C414">
        <v>1</v>
      </c>
      <c r="D414">
        <v>0</v>
      </c>
      <c r="E414">
        <v>0</v>
      </c>
      <c r="F414">
        <v>0</v>
      </c>
      <c r="G414">
        <v>406</v>
      </c>
      <c r="H414">
        <v>67</v>
      </c>
      <c r="I414">
        <v>46.558529999999998</v>
      </c>
      <c r="Q414" s="31"/>
    </row>
    <row r="415" spans="1:17" x14ac:dyDescent="0.3">
      <c r="A415" t="s">
        <v>79</v>
      </c>
      <c r="B415">
        <v>411</v>
      </c>
      <c r="C415">
        <v>0</v>
      </c>
      <c r="D415">
        <v>0</v>
      </c>
      <c r="E415">
        <v>0</v>
      </c>
      <c r="F415">
        <v>1</v>
      </c>
      <c r="G415">
        <v>411</v>
      </c>
      <c r="H415">
        <v>98</v>
      </c>
      <c r="I415">
        <v>83.101039999999998</v>
      </c>
      <c r="Q415" s="31"/>
    </row>
    <row r="416" spans="1:17" x14ac:dyDescent="0.3">
      <c r="A416" t="s">
        <v>79</v>
      </c>
      <c r="B416">
        <v>412</v>
      </c>
      <c r="C416">
        <v>0</v>
      </c>
      <c r="D416">
        <v>0</v>
      </c>
      <c r="E416">
        <v>1</v>
      </c>
      <c r="F416">
        <v>0</v>
      </c>
      <c r="G416">
        <v>412</v>
      </c>
      <c r="H416">
        <v>96</v>
      </c>
      <c r="I416">
        <v>96.395030000000006</v>
      </c>
      <c r="Q416" s="31"/>
    </row>
    <row r="417" spans="1:18" x14ac:dyDescent="0.3">
      <c r="A417" t="s">
        <v>19</v>
      </c>
      <c r="B417">
        <v>416</v>
      </c>
      <c r="C417">
        <v>0</v>
      </c>
      <c r="D417">
        <v>1</v>
      </c>
      <c r="E417">
        <v>0</v>
      </c>
      <c r="F417">
        <v>0</v>
      </c>
      <c r="G417">
        <v>416</v>
      </c>
      <c r="H417">
        <v>6</v>
      </c>
      <c r="I417">
        <v>6.1459599999999996</v>
      </c>
      <c r="Q417" s="31"/>
    </row>
    <row r="418" spans="1:18" x14ac:dyDescent="0.3">
      <c r="Q418" s="31"/>
    </row>
    <row r="419" spans="1:18" x14ac:dyDescent="0.3">
      <c r="Q419" s="31"/>
    </row>
    <row r="420" spans="1:18" x14ac:dyDescent="0.3">
      <c r="Q420" s="31"/>
    </row>
    <row r="421" spans="1:18" x14ac:dyDescent="0.3">
      <c r="Q421" s="31"/>
    </row>
    <row r="422" spans="1:18" x14ac:dyDescent="0.3">
      <c r="Q422" s="31"/>
    </row>
    <row r="423" spans="1:18" x14ac:dyDescent="0.3">
      <c r="Q423" s="31"/>
    </row>
    <row r="424" spans="1:18" x14ac:dyDescent="0.3">
      <c r="Q424" s="31"/>
    </row>
    <row r="425" spans="1:18" x14ac:dyDescent="0.3">
      <c r="Q425" s="31"/>
    </row>
    <row r="426" spans="1:18" x14ac:dyDescent="0.3">
      <c r="Q426" s="31"/>
      <c r="R426" s="31"/>
    </row>
    <row r="427" spans="1:18" x14ac:dyDescent="0.3">
      <c r="Q427" s="31"/>
      <c r="R427" s="31"/>
    </row>
    <row r="428" spans="1:18" x14ac:dyDescent="0.3">
      <c r="Q428" s="31"/>
      <c r="R428" s="31"/>
    </row>
    <row r="429" spans="1:18" x14ac:dyDescent="0.3">
      <c r="Q429" s="31"/>
      <c r="R429" s="31"/>
    </row>
    <row r="430" spans="1:18" x14ac:dyDescent="0.3">
      <c r="Q430" s="31"/>
      <c r="R430" s="31"/>
    </row>
    <row r="431" spans="1:18" x14ac:dyDescent="0.3">
      <c r="Q431" s="31"/>
      <c r="R431" s="31"/>
    </row>
    <row r="432" spans="1:18" x14ac:dyDescent="0.3">
      <c r="Q432" s="31"/>
      <c r="R432" s="31"/>
    </row>
    <row r="433" spans="17:18" x14ac:dyDescent="0.3">
      <c r="Q433" s="31"/>
      <c r="R433" s="31"/>
    </row>
    <row r="434" spans="17:18" x14ac:dyDescent="0.3">
      <c r="Q434" s="31"/>
      <c r="R434" s="31"/>
    </row>
    <row r="435" spans="17:18" x14ac:dyDescent="0.3">
      <c r="Q435" s="31"/>
      <c r="R435" s="31"/>
    </row>
    <row r="3985" spans="8:11" x14ac:dyDescent="0.3">
      <c r="H3985" s="12"/>
      <c r="I3985" s="12"/>
      <c r="J3985" s="12"/>
      <c r="K3985" s="12"/>
    </row>
    <row r="3986" spans="8:11" x14ac:dyDescent="0.3">
      <c r="H3986" s="12"/>
      <c r="I3986" s="12"/>
      <c r="J3986" s="12"/>
      <c r="K3986" s="12"/>
    </row>
  </sheetData>
  <sortState ref="A2:T3986">
    <sortCondition descending="1" ref="H3:H3974"/>
    <sortCondition descending="1" ref="I3:I3974"/>
    <sortCondition descending="1" ref="J3:J3974"/>
    <sortCondition descending="1" ref="K3:K3974"/>
    <sortCondition ref="A3:A3974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97"/>
  <sheetViews>
    <sheetView topLeftCell="I26" workbookViewId="0">
      <selection activeCell="L34" sqref="L34"/>
    </sheetView>
  </sheetViews>
  <sheetFormatPr defaultRowHeight="14.4" x14ac:dyDescent="0.3"/>
  <cols>
    <col min="1" max="1" width="13.109375" bestFit="1" customWidth="1"/>
    <col min="2" max="2" width="13.5546875" customWidth="1"/>
    <col min="3" max="3" width="15" bestFit="1" customWidth="1"/>
    <col min="4" max="4" width="12.109375" customWidth="1"/>
    <col min="5" max="5" width="11" customWidth="1"/>
    <col min="6" max="6" width="18.5546875" customWidth="1"/>
    <col min="7" max="7" width="17.33203125" customWidth="1"/>
    <col min="8" max="8" width="11" bestFit="1" customWidth="1"/>
    <col min="9" max="9" width="12" bestFit="1" customWidth="1"/>
    <col min="10" max="11" width="11" bestFit="1" customWidth="1"/>
    <col min="12" max="12" width="18.5546875" bestFit="1" customWidth="1"/>
    <col min="13" max="13" width="17.33203125" bestFit="1" customWidth="1"/>
  </cols>
  <sheetData>
    <row r="1" spans="1:14" ht="15" thickBot="1" x14ac:dyDescent="0.35">
      <c r="B1">
        <v>28</v>
      </c>
      <c r="C1">
        <v>10</v>
      </c>
      <c r="D1">
        <v>1</v>
      </c>
      <c r="G1" s="64"/>
      <c r="H1" s="64"/>
      <c r="I1" s="64"/>
      <c r="J1" s="64"/>
      <c r="K1" s="64"/>
      <c r="L1" s="64"/>
      <c r="M1" s="64"/>
      <c r="N1" s="64"/>
    </row>
    <row r="2" spans="1:14" x14ac:dyDescent="0.3">
      <c r="A2" s="37">
        <v>0.97228999999999999</v>
      </c>
      <c r="B2" s="38">
        <v>0</v>
      </c>
      <c r="C2" s="44"/>
      <c r="G2" s="31"/>
      <c r="H2" s="31"/>
      <c r="I2" s="31"/>
      <c r="J2" s="31"/>
      <c r="K2" s="31"/>
      <c r="L2" s="31"/>
      <c r="M2" s="31"/>
      <c r="N2" s="31"/>
    </row>
    <row r="3" spans="1:14" x14ac:dyDescent="0.3">
      <c r="A3" s="39">
        <v>0.97228999999999999</v>
      </c>
      <c r="B3" s="40">
        <v>0</v>
      </c>
      <c r="C3" s="44"/>
      <c r="G3" s="31"/>
      <c r="H3" s="31"/>
      <c r="I3" s="31"/>
      <c r="J3" s="31"/>
      <c r="K3" s="31"/>
      <c r="L3" s="31"/>
      <c r="M3" s="31"/>
      <c r="N3" s="31"/>
    </row>
    <row r="4" spans="1:14" x14ac:dyDescent="0.3">
      <c r="A4" s="39">
        <v>1</v>
      </c>
      <c r="B4" s="40">
        <v>0</v>
      </c>
      <c r="C4" s="44"/>
      <c r="G4" s="31"/>
      <c r="H4" s="31"/>
      <c r="I4" s="31"/>
      <c r="J4" s="31"/>
      <c r="K4" s="31"/>
      <c r="L4" s="31"/>
      <c r="M4" s="31"/>
      <c r="N4" s="31"/>
    </row>
    <row r="5" spans="1:14" x14ac:dyDescent="0.3">
      <c r="A5" s="39">
        <v>1</v>
      </c>
      <c r="B5" s="40">
        <v>0</v>
      </c>
      <c r="C5" s="44"/>
      <c r="G5" s="31"/>
      <c r="H5" s="31"/>
      <c r="I5" s="31"/>
      <c r="J5" s="31"/>
      <c r="K5" s="31"/>
      <c r="L5" s="31"/>
      <c r="M5" s="31"/>
      <c r="N5" s="31"/>
    </row>
    <row r="6" spans="1:14" x14ac:dyDescent="0.3">
      <c r="A6" s="39">
        <v>1</v>
      </c>
      <c r="B6" s="40">
        <v>0</v>
      </c>
      <c r="C6" s="44"/>
      <c r="G6" s="31"/>
      <c r="H6" s="31"/>
      <c r="I6" s="31"/>
      <c r="J6" s="31"/>
      <c r="K6" s="31"/>
      <c r="L6" s="31"/>
      <c r="M6" s="31"/>
      <c r="N6" s="31"/>
    </row>
    <row r="7" spans="1:14" x14ac:dyDescent="0.3">
      <c r="A7" s="41">
        <v>1</v>
      </c>
      <c r="B7" s="40">
        <v>0</v>
      </c>
      <c r="C7" s="45"/>
      <c r="G7" s="31"/>
      <c r="H7" s="31"/>
      <c r="I7" s="31"/>
      <c r="J7" s="31"/>
      <c r="K7" s="31"/>
      <c r="L7" s="31"/>
      <c r="M7" s="31"/>
      <c r="N7" s="31"/>
    </row>
    <row r="8" spans="1:14" x14ac:dyDescent="0.3">
      <c r="A8" s="41">
        <v>1</v>
      </c>
      <c r="B8" s="40">
        <v>0</v>
      </c>
      <c r="C8" s="45"/>
      <c r="G8" s="31"/>
      <c r="H8" s="31"/>
      <c r="I8" s="31"/>
      <c r="J8" s="31"/>
      <c r="K8" s="31"/>
      <c r="L8" s="31"/>
      <c r="M8" s="31"/>
      <c r="N8" s="31"/>
    </row>
    <row r="9" spans="1:14" x14ac:dyDescent="0.3">
      <c r="A9" s="41">
        <v>1</v>
      </c>
      <c r="B9" s="40">
        <v>0</v>
      </c>
      <c r="C9" s="45"/>
      <c r="G9" s="31"/>
      <c r="H9" s="31"/>
      <c r="I9" s="31"/>
      <c r="J9" s="31"/>
      <c r="K9" s="31"/>
      <c r="L9" s="31"/>
      <c r="M9" s="31"/>
      <c r="N9" s="31"/>
    </row>
    <row r="10" spans="1:14" x14ac:dyDescent="0.3">
      <c r="A10" s="41">
        <v>1</v>
      </c>
      <c r="B10" s="40">
        <v>0</v>
      </c>
      <c r="C10" s="45"/>
      <c r="G10" s="31"/>
      <c r="H10" s="31"/>
      <c r="I10" s="31"/>
      <c r="J10" s="31"/>
      <c r="K10" s="31"/>
      <c r="L10" s="31"/>
      <c r="M10" s="31"/>
      <c r="N10" s="31"/>
    </row>
    <row r="11" spans="1:14" x14ac:dyDescent="0.3">
      <c r="A11" s="41">
        <v>1</v>
      </c>
      <c r="B11" s="40">
        <v>0</v>
      </c>
      <c r="C11" s="45"/>
      <c r="G11" s="31"/>
      <c r="H11" s="31"/>
      <c r="I11" s="31"/>
      <c r="J11" s="31"/>
      <c r="K11" s="31"/>
      <c r="L11" s="31"/>
      <c r="M11" s="31"/>
      <c r="N11" s="31"/>
    </row>
    <row r="12" spans="1:14" x14ac:dyDescent="0.3">
      <c r="A12" s="41">
        <v>1.9875</v>
      </c>
      <c r="B12" s="40">
        <v>0</v>
      </c>
      <c r="C12" s="45"/>
      <c r="G12" s="31"/>
      <c r="H12" s="31"/>
      <c r="I12" s="31"/>
      <c r="J12" s="31"/>
      <c r="K12" s="31"/>
      <c r="L12" s="31"/>
      <c r="M12" s="31"/>
      <c r="N12" s="31"/>
    </row>
    <row r="13" spans="1:14" x14ac:dyDescent="0.3">
      <c r="A13" s="41">
        <v>1.9875</v>
      </c>
      <c r="B13" s="40">
        <v>0</v>
      </c>
      <c r="C13" s="45" t="s">
        <v>208</v>
      </c>
      <c r="G13" s="31"/>
      <c r="H13" s="31"/>
      <c r="I13" s="31"/>
      <c r="J13" s="31"/>
      <c r="K13" s="31"/>
      <c r="L13" s="31"/>
      <c r="M13" s="31"/>
      <c r="N13" s="31"/>
    </row>
    <row r="14" spans="1:14" x14ac:dyDescent="0.3">
      <c r="A14" s="41">
        <v>54.332999999999998</v>
      </c>
      <c r="B14" s="40">
        <v>2.6667000000000001</v>
      </c>
      <c r="C14" s="45"/>
      <c r="G14" s="31"/>
      <c r="H14" s="31"/>
      <c r="I14" s="31"/>
      <c r="J14" s="31"/>
      <c r="K14" s="31"/>
      <c r="L14" s="31"/>
      <c r="M14" s="31"/>
      <c r="N14" s="31"/>
    </row>
    <row r="15" spans="1:14" x14ac:dyDescent="0.3">
      <c r="A15" s="41">
        <v>54.332999999999998</v>
      </c>
      <c r="B15" s="40">
        <v>2.6667000000000001</v>
      </c>
      <c r="C15" s="45"/>
      <c r="G15" s="31"/>
      <c r="H15" s="31"/>
      <c r="I15" s="31"/>
      <c r="J15" s="31"/>
      <c r="K15" s="31"/>
      <c r="L15" s="31"/>
      <c r="M15" s="31"/>
      <c r="N15" s="31"/>
    </row>
    <row r="16" spans="1:14" x14ac:dyDescent="0.3">
      <c r="A16" s="41">
        <v>43.667000000000002</v>
      </c>
      <c r="B16" s="40">
        <v>-4.6666999999999996</v>
      </c>
      <c r="C16" s="45"/>
      <c r="G16" s="31"/>
      <c r="H16" s="31"/>
      <c r="I16" s="31"/>
      <c r="J16" s="31"/>
      <c r="K16" s="31"/>
      <c r="L16" s="31"/>
      <c r="M16" s="31"/>
      <c r="N16" s="31"/>
    </row>
    <row r="17" spans="1:14" x14ac:dyDescent="0.3">
      <c r="A17" s="41">
        <v>43.667000000000002</v>
      </c>
      <c r="B17" s="40">
        <v>-4.6666999999999996</v>
      </c>
      <c r="C17" s="45"/>
      <c r="G17" s="31"/>
      <c r="H17" s="31"/>
      <c r="I17" s="31"/>
      <c r="J17" s="31"/>
      <c r="K17" s="31"/>
      <c r="L17" s="31"/>
      <c r="M17" s="31"/>
      <c r="N17" s="31"/>
    </row>
    <row r="18" spans="1:14" x14ac:dyDescent="0.3">
      <c r="A18" s="41">
        <v>4.4836999999999998</v>
      </c>
      <c r="B18" s="40">
        <v>0</v>
      </c>
      <c r="C18" s="45"/>
      <c r="G18" s="31"/>
      <c r="H18" s="31"/>
      <c r="I18" s="31"/>
      <c r="J18" s="31"/>
      <c r="K18" s="31"/>
      <c r="L18" s="31"/>
      <c r="M18" s="31"/>
      <c r="N18" s="31"/>
    </row>
    <row r="19" spans="1:14" x14ac:dyDescent="0.3">
      <c r="A19" s="41">
        <v>4.4836999999999998</v>
      </c>
      <c r="B19" s="40">
        <v>0</v>
      </c>
      <c r="C19" s="45"/>
      <c r="G19" s="31"/>
      <c r="H19" s="31"/>
      <c r="I19" s="31"/>
      <c r="J19" s="31"/>
      <c r="K19" s="31"/>
      <c r="L19" s="31"/>
      <c r="M19" s="31"/>
      <c r="N19" s="31"/>
    </row>
    <row r="20" spans="1:14" x14ac:dyDescent="0.3">
      <c r="A20" s="41">
        <v>4.3182999999999998</v>
      </c>
      <c r="B20" s="40">
        <v>0</v>
      </c>
      <c r="C20" s="45"/>
      <c r="G20" s="31"/>
      <c r="H20" s="31"/>
      <c r="I20" s="31"/>
      <c r="J20" s="31"/>
      <c r="K20" s="31"/>
      <c r="L20" s="31"/>
      <c r="M20" s="31"/>
      <c r="N20" s="31"/>
    </row>
    <row r="21" spans="1:14" x14ac:dyDescent="0.3">
      <c r="A21" s="41">
        <v>4.3182999999999998</v>
      </c>
      <c r="B21" s="40">
        <v>0</v>
      </c>
      <c r="C21" s="45"/>
      <c r="G21" s="31"/>
      <c r="H21" s="31"/>
      <c r="I21" s="31"/>
      <c r="J21" s="31"/>
      <c r="K21" s="31"/>
      <c r="L21" s="31"/>
      <c r="M21" s="31"/>
      <c r="N21" s="31"/>
    </row>
    <row r="22" spans="1:14" x14ac:dyDescent="0.3">
      <c r="A22" s="41">
        <v>187.99</v>
      </c>
      <c r="B22" s="40">
        <v>176.24</v>
      </c>
      <c r="C22" s="45"/>
      <c r="G22" s="31"/>
      <c r="H22" s="31"/>
      <c r="I22" s="31"/>
      <c r="J22" s="31"/>
      <c r="K22" s="31"/>
      <c r="L22" s="31"/>
      <c r="M22" s="31"/>
      <c r="N22" s="31"/>
    </row>
    <row r="23" spans="1:14" x14ac:dyDescent="0.3">
      <c r="A23" s="41">
        <v>188.03</v>
      </c>
      <c r="B23" s="40">
        <v>176.23</v>
      </c>
      <c r="C23" s="45"/>
      <c r="G23" s="31"/>
      <c r="H23" s="31"/>
      <c r="I23" s="31"/>
      <c r="J23" s="31"/>
      <c r="K23" s="31"/>
      <c r="L23" s="31"/>
      <c r="M23" s="31"/>
      <c r="N23" s="31"/>
    </row>
    <row r="24" spans="1:14" x14ac:dyDescent="0.3">
      <c r="A24" s="41">
        <v>188.05</v>
      </c>
      <c r="B24" s="40">
        <v>175.44</v>
      </c>
      <c r="C24" s="45"/>
      <c r="G24" s="31"/>
      <c r="H24" s="31"/>
      <c r="I24" s="31"/>
      <c r="J24" s="31"/>
      <c r="K24" s="31"/>
      <c r="L24" s="31"/>
      <c r="M24" s="31"/>
      <c r="N24" s="31"/>
    </row>
    <row r="25" spans="1:14" x14ac:dyDescent="0.3">
      <c r="A25" s="41">
        <v>188.05</v>
      </c>
      <c r="B25" s="40">
        <v>175.44</v>
      </c>
      <c r="C25" s="45"/>
      <c r="G25" s="31"/>
      <c r="H25" s="31"/>
      <c r="I25" s="31"/>
      <c r="J25" s="31"/>
      <c r="K25" s="31"/>
      <c r="L25" s="31"/>
      <c r="M25" s="31"/>
      <c r="N25" s="31"/>
    </row>
    <row r="26" spans="1:14" x14ac:dyDescent="0.3">
      <c r="A26" s="41">
        <v>1</v>
      </c>
      <c r="B26" s="40">
        <v>0</v>
      </c>
      <c r="C26" s="45"/>
      <c r="G26" s="31"/>
      <c r="H26" s="31"/>
      <c r="I26" s="31"/>
      <c r="J26" s="31"/>
      <c r="K26" s="31"/>
      <c r="L26" s="31"/>
      <c r="M26" s="31"/>
      <c r="N26" s="31"/>
    </row>
    <row r="27" spans="1:14" x14ac:dyDescent="0.3">
      <c r="A27" s="41">
        <v>1</v>
      </c>
      <c r="B27" s="40">
        <v>0</v>
      </c>
      <c r="C27" s="45"/>
      <c r="G27" s="31"/>
      <c r="H27" s="31"/>
      <c r="I27" s="31"/>
      <c r="J27" s="31"/>
      <c r="K27" s="31"/>
      <c r="L27" s="31"/>
      <c r="M27" s="31"/>
      <c r="N27" s="31"/>
    </row>
    <row r="28" spans="1:14" x14ac:dyDescent="0.3">
      <c r="A28" s="41">
        <v>1</v>
      </c>
      <c r="B28" s="40">
        <v>0</v>
      </c>
      <c r="C28" s="45"/>
      <c r="G28" s="31"/>
      <c r="H28" s="31"/>
      <c r="I28" s="31"/>
      <c r="J28" s="31"/>
      <c r="K28" s="31"/>
      <c r="L28" s="31"/>
      <c r="M28" s="31"/>
      <c r="N28" s="31"/>
    </row>
    <row r="29" spans="1:14" ht="15" thickBot="1" x14ac:dyDescent="0.35">
      <c r="A29" s="42">
        <v>1</v>
      </c>
      <c r="B29" s="43">
        <v>0</v>
      </c>
      <c r="C29" s="45"/>
      <c r="G29" s="31"/>
      <c r="H29" s="31"/>
      <c r="I29" s="31"/>
      <c r="J29" s="31"/>
      <c r="K29" s="31"/>
      <c r="L29" s="31"/>
      <c r="M29" s="31"/>
      <c r="N29" s="31"/>
    </row>
    <row r="30" spans="1:14" ht="15" thickBot="1" x14ac:dyDescent="0.35">
      <c r="A30" s="47">
        <v>265.56</v>
      </c>
      <c r="B30" s="38">
        <v>0</v>
      </c>
      <c r="C30" s="46" t="s">
        <v>209</v>
      </c>
      <c r="G30" s="31"/>
      <c r="H30" s="31"/>
      <c r="I30" s="31"/>
      <c r="J30" s="31"/>
      <c r="K30" s="31"/>
      <c r="L30" s="31"/>
      <c r="M30" s="31"/>
      <c r="N30" s="31"/>
    </row>
    <row r="31" spans="1:14" x14ac:dyDescent="0.3">
      <c r="A31" s="37">
        <v>0.37835999999999997</v>
      </c>
      <c r="B31" s="48">
        <v>8.3739999999999995E-2</v>
      </c>
      <c r="C31" s="48">
        <v>-2.3444E-2</v>
      </c>
      <c r="D31" s="48">
        <v>-7.1426000000000003E-2</v>
      </c>
      <c r="E31" s="38">
        <v>-0.24908</v>
      </c>
      <c r="F31" s="44" t="s">
        <v>210</v>
      </c>
      <c r="G31" s="31"/>
      <c r="H31" s="31"/>
      <c r="I31" s="31"/>
      <c r="J31" s="31"/>
      <c r="K31" s="31"/>
      <c r="L31" s="31"/>
      <c r="M31" s="31"/>
      <c r="N31" s="31"/>
    </row>
    <row r="32" spans="1:14" ht="15" thickBot="1" x14ac:dyDescent="0.35">
      <c r="A32" s="49">
        <v>-0.1159</v>
      </c>
      <c r="B32" s="50">
        <v>1.2995000000000001</v>
      </c>
      <c r="C32" s="50">
        <v>-1.3686</v>
      </c>
      <c r="D32" s="50">
        <v>4.3973000000000004</v>
      </c>
      <c r="E32" s="43">
        <v>-2.1901999999999999</v>
      </c>
      <c r="F32" s="44"/>
      <c r="G32" s="31"/>
      <c r="H32" s="31"/>
      <c r="I32" s="31"/>
      <c r="J32" s="31"/>
      <c r="K32" s="31"/>
      <c r="L32" s="31"/>
      <c r="M32" s="31"/>
      <c r="N32" s="31"/>
    </row>
    <row r="33" spans="1:39" ht="15" thickBot="1" x14ac:dyDescent="0.35">
      <c r="A33" s="51">
        <v>2.5617999999999999</v>
      </c>
      <c r="B33" s="52"/>
      <c r="G33" s="31"/>
      <c r="H33" s="31"/>
      <c r="I33" s="31"/>
      <c r="J33" s="31"/>
      <c r="K33" s="31"/>
      <c r="L33" s="31" t="s">
        <v>212</v>
      </c>
      <c r="M33" s="31"/>
      <c r="N33" s="31"/>
    </row>
    <row r="34" spans="1:39" x14ac:dyDescent="0.3">
      <c r="A34" s="36">
        <v>-1.8935999999999999</v>
      </c>
      <c r="B34" s="36">
        <v>-1.3372999999999999</v>
      </c>
      <c r="C34" s="36">
        <v>-3.9043999999999999</v>
      </c>
      <c r="D34" s="36">
        <v>-0.36684</v>
      </c>
      <c r="E34" s="36">
        <v>-0.53500999999999999</v>
      </c>
      <c r="F34" s="36">
        <v>-0.41432999999999998</v>
      </c>
      <c r="G34" s="36">
        <v>-4.1045999999999996</v>
      </c>
      <c r="H34" s="36">
        <v>1.2261</v>
      </c>
      <c r="I34" s="36">
        <v>-5.6207000000000003</v>
      </c>
      <c r="J34" s="36">
        <v>-4.9161000000000001</v>
      </c>
      <c r="K34" s="31"/>
      <c r="L34" s="36">
        <v>-1.8935999999999999</v>
      </c>
      <c r="M34" s="36">
        <v>0.23727999999999999</v>
      </c>
      <c r="N34" s="36">
        <v>-1.0738000000000001</v>
      </c>
      <c r="O34" s="36">
        <v>0.29737000000000002</v>
      </c>
      <c r="P34" s="36">
        <v>3.0980000000000001E-2</v>
      </c>
      <c r="Q34" s="36">
        <v>0.38024999999999998</v>
      </c>
      <c r="R34" s="36">
        <v>2.4036999999999999E-2</v>
      </c>
      <c r="S34" s="36">
        <v>0.10564999999999999</v>
      </c>
      <c r="T34" s="36">
        <v>0.8427</v>
      </c>
      <c r="U34" s="36">
        <v>-0.14210999999999999</v>
      </c>
      <c r="V34" s="36">
        <v>-1.4495</v>
      </c>
      <c r="W34" s="36">
        <v>-1.1282000000000001</v>
      </c>
      <c r="X34" s="36">
        <v>-2.3517000000000001</v>
      </c>
      <c r="Y34" s="36">
        <v>-0.20147999999999999</v>
      </c>
      <c r="Z34" s="36">
        <v>2.4232E-2</v>
      </c>
      <c r="AA34" s="36">
        <v>1.4316</v>
      </c>
      <c r="AB34" s="36">
        <v>-0.89439000000000002</v>
      </c>
      <c r="AC34" s="36">
        <v>8.8725999999999999E-2</v>
      </c>
      <c r="AD34" s="36">
        <v>0.52807000000000004</v>
      </c>
      <c r="AE34" s="36">
        <v>0.13314999999999999</v>
      </c>
      <c r="AF34" s="36">
        <v>-0.72297999999999996</v>
      </c>
      <c r="AG34" s="36">
        <v>0.42523</v>
      </c>
      <c r="AH34" s="36">
        <v>0.96408000000000005</v>
      </c>
      <c r="AI34" s="36">
        <v>0.51731000000000005</v>
      </c>
      <c r="AJ34" s="36">
        <v>-0.39512999999999998</v>
      </c>
      <c r="AK34" s="36">
        <v>1.8774</v>
      </c>
      <c r="AL34" s="36">
        <v>0.11698</v>
      </c>
      <c r="AM34" s="36">
        <v>-0.99443999999999999</v>
      </c>
    </row>
    <row r="35" spans="1:39" x14ac:dyDescent="0.3">
      <c r="A35" s="36">
        <v>0.23727999999999999</v>
      </c>
      <c r="B35" s="36">
        <v>1.2013</v>
      </c>
      <c r="C35" s="36">
        <v>0.11446000000000001</v>
      </c>
      <c r="D35" s="36">
        <v>0.54498999999999997</v>
      </c>
      <c r="E35" s="36">
        <v>0.17163</v>
      </c>
      <c r="F35" s="36">
        <v>0.69981000000000004</v>
      </c>
      <c r="G35" s="36">
        <v>3.8856000000000002</v>
      </c>
      <c r="H35" s="36">
        <v>-1.8835999999999999</v>
      </c>
      <c r="I35" s="36">
        <v>-6.3948999999999998</v>
      </c>
      <c r="J35" s="36">
        <v>1.4129</v>
      </c>
      <c r="K35" s="31"/>
      <c r="L35" s="36">
        <v>-1.3372999999999999</v>
      </c>
      <c r="M35" s="36">
        <v>1.2013</v>
      </c>
      <c r="N35" s="36">
        <v>-0.87553999999999998</v>
      </c>
      <c r="O35" s="36">
        <v>-4.7737000000000002E-2</v>
      </c>
      <c r="P35" s="36">
        <v>-0.53902000000000005</v>
      </c>
      <c r="Q35" s="36">
        <v>0.12973000000000001</v>
      </c>
      <c r="R35" s="36">
        <v>0.32451999999999998</v>
      </c>
      <c r="S35" s="36">
        <v>-8.2687999999999998E-2</v>
      </c>
      <c r="T35" s="36">
        <v>-6.1919000000000002E-3</v>
      </c>
      <c r="U35" s="36">
        <v>0.43325999999999998</v>
      </c>
      <c r="V35" s="36">
        <v>-1.2778</v>
      </c>
      <c r="W35" s="36">
        <v>-0.83321999999999996</v>
      </c>
      <c r="X35" s="36">
        <v>-1.8069</v>
      </c>
      <c r="Y35" s="36">
        <v>-1.3061E-2</v>
      </c>
      <c r="Z35" s="36">
        <v>-0.83494000000000002</v>
      </c>
      <c r="AA35" s="36">
        <v>0.28885</v>
      </c>
      <c r="AB35" s="36">
        <v>-0.89083000000000001</v>
      </c>
      <c r="AC35" s="36">
        <v>0.16128000000000001</v>
      </c>
      <c r="AD35" s="36">
        <v>-0.10777</v>
      </c>
      <c r="AE35" s="36">
        <v>9.2057E-2</v>
      </c>
      <c r="AF35" s="36">
        <v>-1.0472999999999999</v>
      </c>
      <c r="AG35" s="36">
        <v>0.17288999999999999</v>
      </c>
      <c r="AH35" s="36">
        <v>-9.0803999999999996E-2</v>
      </c>
      <c r="AI35" s="36">
        <v>0.12202</v>
      </c>
      <c r="AJ35" s="36">
        <v>-1.4177</v>
      </c>
      <c r="AK35" s="36">
        <v>2.0756999999999999</v>
      </c>
      <c r="AL35" s="36">
        <v>0.2424</v>
      </c>
      <c r="AM35" s="36">
        <v>-0.78595000000000004</v>
      </c>
    </row>
    <row r="36" spans="1:39" x14ac:dyDescent="0.3">
      <c r="A36" s="36">
        <v>-1.0738000000000001</v>
      </c>
      <c r="B36" s="36">
        <v>-0.87553999999999998</v>
      </c>
      <c r="C36" s="36">
        <v>-0.77825999999999995</v>
      </c>
      <c r="D36" s="36">
        <v>-0.36037999999999998</v>
      </c>
      <c r="E36" s="36">
        <v>0.21192</v>
      </c>
      <c r="F36" s="36">
        <v>-0.17937</v>
      </c>
      <c r="G36" s="36">
        <v>1.3702000000000001</v>
      </c>
      <c r="H36" s="36">
        <v>2.5529999999999999</v>
      </c>
      <c r="I36" s="36">
        <v>-2.2848000000000002</v>
      </c>
      <c r="J36" s="36">
        <v>-2.8064</v>
      </c>
      <c r="K36" s="31"/>
      <c r="L36" s="36">
        <v>-3.9043999999999999</v>
      </c>
      <c r="M36" s="36">
        <v>0.11446000000000001</v>
      </c>
      <c r="N36" s="36">
        <v>-0.77825999999999995</v>
      </c>
      <c r="O36" s="36">
        <v>0.96440999999999999</v>
      </c>
      <c r="P36" s="36">
        <v>0.24166000000000001</v>
      </c>
      <c r="Q36" s="36">
        <v>-0.60568999999999995</v>
      </c>
      <c r="R36" s="36">
        <v>0.19361999999999999</v>
      </c>
      <c r="S36" s="36">
        <v>1.5165</v>
      </c>
      <c r="T36" s="36">
        <v>0.21201</v>
      </c>
      <c r="U36" s="36">
        <v>-1.4116</v>
      </c>
      <c r="V36" s="36">
        <v>-1.5808</v>
      </c>
      <c r="W36" s="36">
        <v>-0.47272999999999998</v>
      </c>
      <c r="X36" s="36">
        <v>-3.4931000000000001</v>
      </c>
      <c r="Y36" s="36">
        <v>-0.21279999999999999</v>
      </c>
      <c r="Z36" s="36">
        <v>2.0611000000000002</v>
      </c>
      <c r="AA36" s="36">
        <v>3.7465999999999999</v>
      </c>
      <c r="AB36" s="36">
        <v>-1.1760999999999999</v>
      </c>
      <c r="AC36" s="36">
        <v>0.2797</v>
      </c>
      <c r="AD36" s="36">
        <v>0.64010999999999996</v>
      </c>
      <c r="AE36" s="36">
        <v>-0.11335000000000001</v>
      </c>
      <c r="AF36" s="36">
        <v>-1.6849000000000001</v>
      </c>
      <c r="AG36" s="36">
        <v>2.6102E-2</v>
      </c>
      <c r="AH36" s="36">
        <v>0.48181000000000002</v>
      </c>
      <c r="AI36" s="36">
        <v>-0.38529999999999998</v>
      </c>
      <c r="AJ36" s="36">
        <v>-0.36121999999999999</v>
      </c>
      <c r="AK36" s="36">
        <v>-0.40189999999999998</v>
      </c>
      <c r="AL36" s="36">
        <v>0.53069</v>
      </c>
      <c r="AM36" s="36">
        <v>0.29087000000000002</v>
      </c>
    </row>
    <row r="37" spans="1:39" x14ac:dyDescent="0.3">
      <c r="A37" s="36">
        <v>0.29737000000000002</v>
      </c>
      <c r="B37" s="36">
        <v>-4.7737000000000002E-2</v>
      </c>
      <c r="C37" s="36">
        <v>0.96440999999999999</v>
      </c>
      <c r="D37" s="36">
        <v>0.19899</v>
      </c>
      <c r="E37" s="36">
        <v>1.1083000000000001</v>
      </c>
      <c r="F37" s="36">
        <v>0.28179999999999999</v>
      </c>
      <c r="G37" s="36">
        <v>0.30612</v>
      </c>
      <c r="H37" s="36">
        <v>1.3119000000000001</v>
      </c>
      <c r="I37" s="36">
        <v>-1.5098</v>
      </c>
      <c r="J37" s="36">
        <v>2.5472000000000001</v>
      </c>
      <c r="K37" s="31"/>
      <c r="L37" s="36">
        <v>-0.36684</v>
      </c>
      <c r="M37" s="36">
        <v>0.54498999999999997</v>
      </c>
      <c r="N37" s="36">
        <v>-0.36037999999999998</v>
      </c>
      <c r="O37" s="36">
        <v>0.19899</v>
      </c>
      <c r="P37" s="36">
        <v>-0.45068999999999998</v>
      </c>
      <c r="Q37" s="36">
        <v>0.31003999999999998</v>
      </c>
      <c r="R37" s="36">
        <v>-0.33805000000000002</v>
      </c>
      <c r="S37" s="36">
        <v>-0.27262999999999998</v>
      </c>
      <c r="T37" s="36">
        <v>7.7321000000000001E-2</v>
      </c>
      <c r="U37" s="36">
        <v>0.26212000000000002</v>
      </c>
      <c r="V37" s="36">
        <v>-0.87568999999999997</v>
      </c>
      <c r="W37" s="36">
        <v>-9.9475999999999995E-2</v>
      </c>
      <c r="X37" s="36">
        <v>-1.1598999999999999</v>
      </c>
      <c r="Y37" s="36">
        <v>0.14496999999999999</v>
      </c>
      <c r="Z37" s="36">
        <v>-0.65632000000000001</v>
      </c>
      <c r="AA37" s="36">
        <v>0.27764</v>
      </c>
      <c r="AB37" s="36">
        <v>-0.69671000000000005</v>
      </c>
      <c r="AC37" s="36">
        <v>0.18038999999999999</v>
      </c>
      <c r="AD37" s="36">
        <v>-0.62661999999999995</v>
      </c>
      <c r="AE37" s="36">
        <v>0.16743</v>
      </c>
      <c r="AF37" s="36">
        <v>-0.76649999999999996</v>
      </c>
      <c r="AG37" s="36">
        <v>0.20444000000000001</v>
      </c>
      <c r="AH37" s="36">
        <v>-0.66508999999999996</v>
      </c>
      <c r="AI37" s="36">
        <v>0.19800999999999999</v>
      </c>
      <c r="AJ37" s="36">
        <v>-0.99946000000000002</v>
      </c>
      <c r="AK37" s="36">
        <v>1.1845000000000001</v>
      </c>
      <c r="AL37" s="36">
        <v>-0.64554</v>
      </c>
      <c r="AM37" s="36">
        <v>0.24032000000000001</v>
      </c>
    </row>
    <row r="38" spans="1:39" x14ac:dyDescent="0.3">
      <c r="A38" s="36">
        <v>3.0980000000000001E-2</v>
      </c>
      <c r="B38" s="36">
        <v>-0.53902000000000005</v>
      </c>
      <c r="C38" s="36">
        <v>0.24166000000000001</v>
      </c>
      <c r="D38" s="36">
        <v>-0.45068999999999998</v>
      </c>
      <c r="E38" s="36">
        <v>-0.92679</v>
      </c>
      <c r="F38" s="36">
        <v>-0.61085</v>
      </c>
      <c r="G38" s="36">
        <v>-0.53988999999999998</v>
      </c>
      <c r="H38" s="36">
        <v>-1.6246</v>
      </c>
      <c r="I38" s="36">
        <v>0.96062000000000003</v>
      </c>
      <c r="J38" s="36">
        <v>-2.6575000000000002</v>
      </c>
      <c r="K38" s="31"/>
      <c r="L38" s="36">
        <v>-0.53500999999999999</v>
      </c>
      <c r="M38" s="36">
        <v>0.17163</v>
      </c>
      <c r="N38" s="36">
        <v>0.21192</v>
      </c>
      <c r="O38" s="36">
        <v>1.1083000000000001</v>
      </c>
      <c r="P38" s="36">
        <v>-0.92679</v>
      </c>
      <c r="Q38" s="36">
        <v>0.54208000000000001</v>
      </c>
      <c r="R38" s="36">
        <v>-8.3664000000000002E-2</v>
      </c>
      <c r="S38" s="36">
        <v>-0.92957000000000001</v>
      </c>
      <c r="T38" s="36">
        <v>7.6321999999999996E-3</v>
      </c>
      <c r="U38" s="36">
        <v>1.0572999999999999</v>
      </c>
      <c r="V38" s="36">
        <v>-1.2236</v>
      </c>
      <c r="W38" s="36">
        <v>0.35826000000000002</v>
      </c>
      <c r="X38" s="36">
        <v>-5.1668000000000003</v>
      </c>
      <c r="Y38" s="36">
        <v>-1.5123</v>
      </c>
      <c r="Z38" s="36">
        <v>3.9621</v>
      </c>
      <c r="AA38" s="36">
        <v>3.9388000000000001</v>
      </c>
      <c r="AB38" s="36">
        <v>0.66325000000000001</v>
      </c>
      <c r="AC38" s="36">
        <v>9.5462000000000005E-2</v>
      </c>
      <c r="AD38" s="36">
        <v>-0.21307000000000001</v>
      </c>
      <c r="AE38" s="36">
        <v>0.88873999999999997</v>
      </c>
      <c r="AF38" s="36">
        <v>-0.19059000000000001</v>
      </c>
      <c r="AG38" s="36">
        <v>-1.0381</v>
      </c>
      <c r="AH38" s="36">
        <v>-1.2503</v>
      </c>
      <c r="AI38" s="36">
        <v>-5.0084999999999998E-2</v>
      </c>
      <c r="AJ38" s="36">
        <v>-1.3983000000000001</v>
      </c>
      <c r="AK38" s="36">
        <v>-1.3416999999999999</v>
      </c>
      <c r="AL38" s="36">
        <v>0.73704000000000003</v>
      </c>
      <c r="AM38" s="36">
        <v>1.8228</v>
      </c>
    </row>
    <row r="39" spans="1:39" x14ac:dyDescent="0.3">
      <c r="A39" s="36">
        <v>0.38024999999999998</v>
      </c>
      <c r="B39" s="36">
        <v>0.12973000000000001</v>
      </c>
      <c r="C39" s="36">
        <v>-0.60568999999999995</v>
      </c>
      <c r="D39" s="36">
        <v>0.31003999999999998</v>
      </c>
      <c r="E39" s="36">
        <v>0.54208000000000001</v>
      </c>
      <c r="F39" s="36">
        <v>-0.35568</v>
      </c>
      <c r="G39" s="36">
        <v>3.3837999999999999</v>
      </c>
      <c r="H39" s="36">
        <v>-0.32862999999999998</v>
      </c>
      <c r="I39" s="36">
        <v>2.5720000000000001</v>
      </c>
      <c r="J39" s="36">
        <v>-0.68286999999999998</v>
      </c>
      <c r="K39" s="31"/>
      <c r="L39" s="36">
        <v>-0.41432999999999998</v>
      </c>
      <c r="M39" s="36">
        <v>0.69981000000000004</v>
      </c>
      <c r="N39" s="36">
        <v>-0.17937</v>
      </c>
      <c r="O39" s="36">
        <v>0.28179999999999999</v>
      </c>
      <c r="P39" s="36">
        <v>-0.61085</v>
      </c>
      <c r="Q39" s="36">
        <v>-0.35568</v>
      </c>
      <c r="R39" s="36">
        <v>0.29242000000000001</v>
      </c>
      <c r="S39" s="36">
        <v>0.38507999999999998</v>
      </c>
      <c r="T39" s="36">
        <v>-0.80220000000000002</v>
      </c>
      <c r="U39" s="36">
        <v>0.40489000000000003</v>
      </c>
      <c r="V39" s="36">
        <v>-0.10927000000000001</v>
      </c>
      <c r="W39" s="36">
        <v>0.85628000000000004</v>
      </c>
      <c r="X39" s="36">
        <v>8.6694999999999994E-2</v>
      </c>
      <c r="Y39" s="36">
        <v>0.39205000000000001</v>
      </c>
      <c r="Z39" s="36">
        <v>-0.30610999999999999</v>
      </c>
      <c r="AA39" s="36">
        <v>0.27583999999999997</v>
      </c>
      <c r="AB39" s="36">
        <v>-1.3807</v>
      </c>
      <c r="AC39" s="36">
        <v>-0.19983999999999999</v>
      </c>
      <c r="AD39" s="36">
        <v>-1.7186999999999999</v>
      </c>
      <c r="AE39" s="36">
        <v>-0.22986999999999999</v>
      </c>
      <c r="AF39" s="36">
        <v>-1.0807</v>
      </c>
      <c r="AG39" s="36">
        <v>0.24027000000000001</v>
      </c>
      <c r="AH39" s="36">
        <v>-1.4011</v>
      </c>
      <c r="AI39" s="36">
        <v>0.22531000000000001</v>
      </c>
      <c r="AJ39" s="36">
        <v>0.76893999999999996</v>
      </c>
      <c r="AK39" s="36">
        <v>-0.17846999999999999</v>
      </c>
      <c r="AL39" s="36">
        <v>-0.67479999999999996</v>
      </c>
      <c r="AM39" s="36">
        <v>-0.27194000000000002</v>
      </c>
    </row>
    <row r="40" spans="1:39" x14ac:dyDescent="0.3">
      <c r="A40" s="36">
        <v>2.4036999999999999E-2</v>
      </c>
      <c r="B40" s="36">
        <v>0.32451999999999998</v>
      </c>
      <c r="C40" s="36">
        <v>0.19361999999999999</v>
      </c>
      <c r="D40" s="36">
        <v>-0.33805000000000002</v>
      </c>
      <c r="E40" s="36">
        <v>-8.3664000000000002E-2</v>
      </c>
      <c r="F40" s="36">
        <v>0.29242000000000001</v>
      </c>
      <c r="G40" s="36">
        <v>-0.84038999999999997</v>
      </c>
      <c r="H40" s="36">
        <v>-0.81381999999999999</v>
      </c>
      <c r="I40" s="36">
        <v>3.6640000000000001</v>
      </c>
      <c r="J40" s="36">
        <v>-1.0907</v>
      </c>
      <c r="K40" s="31"/>
      <c r="L40" s="36">
        <v>-4.1045999999999996</v>
      </c>
      <c r="M40" s="36">
        <v>3.8856000000000002</v>
      </c>
      <c r="N40" s="36">
        <v>1.3702000000000001</v>
      </c>
      <c r="O40" s="36">
        <v>0.30612</v>
      </c>
      <c r="P40" s="36">
        <v>-0.53988999999999998</v>
      </c>
      <c r="Q40" s="36">
        <v>3.3837999999999999</v>
      </c>
      <c r="R40" s="36">
        <v>-0.84038999999999997</v>
      </c>
      <c r="S40" s="36">
        <v>1.7498</v>
      </c>
      <c r="T40" s="36">
        <v>-0.33961000000000002</v>
      </c>
      <c r="U40" s="36">
        <v>1.3133999999999999</v>
      </c>
      <c r="V40" s="36">
        <v>1.9789000000000001</v>
      </c>
      <c r="W40" s="36">
        <v>2.8027000000000002</v>
      </c>
      <c r="X40" s="36">
        <v>-3.0493000000000001</v>
      </c>
      <c r="Y40" s="36">
        <v>0.79334000000000005</v>
      </c>
      <c r="Z40" s="36">
        <v>5.4207999999999998</v>
      </c>
      <c r="AA40" s="36">
        <v>3.4041000000000001</v>
      </c>
      <c r="AB40" s="36">
        <v>-1.7513000000000001</v>
      </c>
      <c r="AC40" s="36">
        <v>1.2579</v>
      </c>
      <c r="AD40" s="36">
        <v>-0.31461</v>
      </c>
      <c r="AE40" s="36">
        <v>-0.28838999999999998</v>
      </c>
      <c r="AF40" s="36">
        <v>-3.7294</v>
      </c>
      <c r="AG40" s="36">
        <v>-0.13142000000000001</v>
      </c>
      <c r="AH40" s="36">
        <v>-1.6901999999999999</v>
      </c>
      <c r="AI40" s="36">
        <v>-1.7161</v>
      </c>
      <c r="AJ40" s="36">
        <v>-3.9571000000000001</v>
      </c>
      <c r="AK40" s="36">
        <v>3.2103999999999999</v>
      </c>
      <c r="AL40" s="36">
        <v>1.4621999999999999</v>
      </c>
      <c r="AM40" s="36">
        <v>1.6354</v>
      </c>
    </row>
    <row r="41" spans="1:39" x14ac:dyDescent="0.3">
      <c r="A41" s="36">
        <v>0.10564999999999999</v>
      </c>
      <c r="B41" s="36">
        <v>-8.2687999999999998E-2</v>
      </c>
      <c r="C41" s="36">
        <v>1.5165</v>
      </c>
      <c r="D41" s="36">
        <v>-0.27262999999999998</v>
      </c>
      <c r="E41" s="36">
        <v>-0.92957000000000001</v>
      </c>
      <c r="F41" s="36">
        <v>0.38507999999999998</v>
      </c>
      <c r="G41" s="36">
        <v>1.7498</v>
      </c>
      <c r="H41" s="36">
        <v>-1.0387</v>
      </c>
      <c r="I41" s="36">
        <v>1.6206</v>
      </c>
      <c r="J41" s="36">
        <v>-1.5793999999999999</v>
      </c>
      <c r="K41" s="31"/>
      <c r="L41" s="36">
        <v>1.2261</v>
      </c>
      <c r="M41" s="36">
        <v>-1.8835999999999999</v>
      </c>
      <c r="N41" s="36">
        <v>2.5529999999999999</v>
      </c>
      <c r="O41" s="36">
        <v>1.3119000000000001</v>
      </c>
      <c r="P41" s="36">
        <v>-1.6246</v>
      </c>
      <c r="Q41" s="36">
        <v>-0.32862999999999998</v>
      </c>
      <c r="R41" s="36">
        <v>-0.81381999999999999</v>
      </c>
      <c r="S41" s="36">
        <v>-1.0387</v>
      </c>
      <c r="T41" s="36">
        <v>-1.1224000000000001</v>
      </c>
      <c r="U41" s="36">
        <v>0.17238000000000001</v>
      </c>
      <c r="V41" s="36">
        <v>-4.1422999999999996</v>
      </c>
      <c r="W41" s="36">
        <v>3.3879000000000001</v>
      </c>
      <c r="X41" s="36">
        <v>2.1837</v>
      </c>
      <c r="Y41" s="36">
        <v>0.79869000000000001</v>
      </c>
      <c r="Z41" s="36">
        <v>-3.5194000000000001</v>
      </c>
      <c r="AA41" s="36">
        <v>9.3603000000000006E-2</v>
      </c>
      <c r="AB41" s="36">
        <v>-0.66569999999999996</v>
      </c>
      <c r="AC41" s="36">
        <v>0.87778</v>
      </c>
      <c r="AD41" s="36">
        <v>-0.73304999999999998</v>
      </c>
      <c r="AE41" s="36">
        <v>1.712</v>
      </c>
      <c r="AF41" s="36">
        <v>-1.4710000000000001</v>
      </c>
      <c r="AG41" s="36">
        <v>0.27224999999999999</v>
      </c>
      <c r="AH41" s="36">
        <v>-1.6263000000000001</v>
      </c>
      <c r="AI41" s="36">
        <v>1.0570999999999999</v>
      </c>
      <c r="AJ41" s="36">
        <v>-2.0834000000000001</v>
      </c>
      <c r="AK41" s="36">
        <v>-1.1856</v>
      </c>
      <c r="AL41" s="36">
        <v>0.37486999999999998</v>
      </c>
      <c r="AM41" s="36">
        <v>0.50424999999999998</v>
      </c>
    </row>
    <row r="42" spans="1:39" x14ac:dyDescent="0.3">
      <c r="A42" s="36">
        <v>0.8427</v>
      </c>
      <c r="B42" s="36">
        <v>-6.1919000000000002E-3</v>
      </c>
      <c r="C42" s="36">
        <v>0.21201</v>
      </c>
      <c r="D42" s="36">
        <v>7.7321000000000001E-2</v>
      </c>
      <c r="E42" s="36">
        <v>7.6321999999999996E-3</v>
      </c>
      <c r="F42" s="36">
        <v>-0.80220000000000002</v>
      </c>
      <c r="G42" s="36">
        <v>-0.33961000000000002</v>
      </c>
      <c r="H42" s="36">
        <v>-1.1224000000000001</v>
      </c>
      <c r="I42" s="36">
        <v>2.9964</v>
      </c>
      <c r="J42" s="36">
        <v>-2.6495000000000002</v>
      </c>
      <c r="K42" s="31"/>
      <c r="L42" s="36">
        <v>-5.6207000000000003</v>
      </c>
      <c r="M42" s="36">
        <v>-6.3948999999999998</v>
      </c>
      <c r="N42" s="36">
        <v>-2.2848000000000002</v>
      </c>
      <c r="O42" s="36">
        <v>-1.5098</v>
      </c>
      <c r="P42" s="36">
        <v>0.96062000000000003</v>
      </c>
      <c r="Q42" s="36">
        <v>2.5720000000000001</v>
      </c>
      <c r="R42" s="36">
        <v>3.6640000000000001</v>
      </c>
      <c r="S42" s="36">
        <v>1.6206</v>
      </c>
      <c r="T42" s="36">
        <v>2.9964</v>
      </c>
      <c r="U42" s="36">
        <v>3.4159999999999999</v>
      </c>
      <c r="V42" s="36">
        <v>-0.66400999999999999</v>
      </c>
      <c r="W42" s="36">
        <v>1.3221000000000001</v>
      </c>
      <c r="X42" s="36">
        <v>-0.84899999999999998</v>
      </c>
      <c r="Y42" s="36">
        <v>5.3876999999999997</v>
      </c>
      <c r="Z42" s="36">
        <v>-0.57765</v>
      </c>
      <c r="AA42" s="36">
        <v>-2.5415999999999999</v>
      </c>
      <c r="AB42" s="36">
        <v>-0.99861999999999995</v>
      </c>
      <c r="AC42" s="36">
        <v>0.97587000000000002</v>
      </c>
      <c r="AD42" s="36">
        <v>-0.47405000000000003</v>
      </c>
      <c r="AE42" s="36">
        <v>3.108E-2</v>
      </c>
      <c r="AF42" s="36">
        <v>-1.0631999999999999</v>
      </c>
      <c r="AG42" s="36">
        <v>1.2087000000000001</v>
      </c>
      <c r="AH42" s="36">
        <v>6.7241999999999996E-2</v>
      </c>
      <c r="AI42" s="36">
        <v>0.56203000000000003</v>
      </c>
      <c r="AJ42" s="36">
        <v>2.2530000000000001</v>
      </c>
      <c r="AK42" s="36">
        <v>2.9203000000000001</v>
      </c>
      <c r="AL42" s="36">
        <v>1.2318</v>
      </c>
      <c r="AM42" s="36">
        <v>1.1982999999999999</v>
      </c>
    </row>
    <row r="43" spans="1:39" x14ac:dyDescent="0.3">
      <c r="A43" s="36">
        <v>-0.14210999999999999</v>
      </c>
      <c r="B43" s="36">
        <v>0.43325999999999998</v>
      </c>
      <c r="C43" s="36">
        <v>-1.4116</v>
      </c>
      <c r="D43" s="36">
        <v>0.26212000000000002</v>
      </c>
      <c r="E43" s="36">
        <v>1.0572999999999999</v>
      </c>
      <c r="F43" s="36">
        <v>0.40489000000000003</v>
      </c>
      <c r="G43" s="36">
        <v>1.3133999999999999</v>
      </c>
      <c r="H43" s="36">
        <v>0.17238000000000001</v>
      </c>
      <c r="I43" s="36">
        <v>3.4159999999999999</v>
      </c>
      <c r="J43" s="36">
        <v>0.69238</v>
      </c>
      <c r="K43" s="31"/>
      <c r="L43" s="36">
        <v>-4.9161000000000001</v>
      </c>
      <c r="M43" s="36">
        <v>1.4129</v>
      </c>
      <c r="N43" s="36">
        <v>-2.8064</v>
      </c>
      <c r="O43" s="36">
        <v>2.5472000000000001</v>
      </c>
      <c r="P43" s="36">
        <v>-2.6575000000000002</v>
      </c>
      <c r="Q43" s="36">
        <v>-0.68286999999999998</v>
      </c>
      <c r="R43" s="36">
        <v>-1.0907</v>
      </c>
      <c r="S43" s="36">
        <v>-1.5793999999999999</v>
      </c>
      <c r="T43" s="36">
        <v>-2.6495000000000002</v>
      </c>
      <c r="U43" s="36">
        <v>0.69238</v>
      </c>
      <c r="V43" s="36">
        <v>-2.0110999999999999</v>
      </c>
      <c r="W43" s="36">
        <v>-3.2079</v>
      </c>
      <c r="X43" s="36">
        <v>8.7698999999999998</v>
      </c>
      <c r="Y43" s="36">
        <v>5.7339000000000002</v>
      </c>
      <c r="Z43" s="36">
        <v>0.14588000000000001</v>
      </c>
      <c r="AA43" s="36">
        <v>3.9222999999999999</v>
      </c>
      <c r="AB43" s="36">
        <v>1.4674</v>
      </c>
      <c r="AC43" s="36">
        <v>0.80520000000000003</v>
      </c>
      <c r="AD43" s="36">
        <v>-1.0279</v>
      </c>
      <c r="AE43" s="36">
        <v>1.3012999999999999</v>
      </c>
      <c r="AF43" s="36">
        <v>0.49972</v>
      </c>
      <c r="AG43" s="36">
        <v>-0.54549000000000003</v>
      </c>
      <c r="AH43" s="36">
        <v>-2.7166999999999999</v>
      </c>
      <c r="AI43" s="36">
        <v>-0.18093000000000001</v>
      </c>
      <c r="AJ43" s="36">
        <v>-6.9496000000000002</v>
      </c>
      <c r="AK43" s="36">
        <v>2.8730000000000002</v>
      </c>
      <c r="AL43" s="36">
        <v>-0.10131</v>
      </c>
      <c r="AM43" s="36">
        <v>0.18332999999999999</v>
      </c>
    </row>
    <row r="44" spans="1:39" x14ac:dyDescent="0.3">
      <c r="A44" s="36">
        <v>-1.4495</v>
      </c>
      <c r="B44" s="36">
        <v>-1.2778</v>
      </c>
      <c r="C44" s="36">
        <v>-1.5808</v>
      </c>
      <c r="D44" s="36">
        <v>-0.87568999999999997</v>
      </c>
      <c r="E44" s="36">
        <v>-1.2236</v>
      </c>
      <c r="F44" s="36">
        <v>-0.10927000000000001</v>
      </c>
      <c r="G44" s="36">
        <v>1.9789000000000001</v>
      </c>
      <c r="H44" s="36">
        <v>-4.1422999999999996</v>
      </c>
      <c r="I44" s="36">
        <v>-0.66400999999999999</v>
      </c>
      <c r="J44" s="36">
        <v>-2.0110999999999999</v>
      </c>
      <c r="K44" s="31"/>
      <c r="L44" s="31"/>
      <c r="M44" s="31"/>
      <c r="N44" s="31"/>
    </row>
    <row r="45" spans="1:39" x14ac:dyDescent="0.3">
      <c r="A45" s="36">
        <v>-1.1282000000000001</v>
      </c>
      <c r="B45" s="36">
        <v>-0.83321999999999996</v>
      </c>
      <c r="C45" s="36">
        <v>-0.47272999999999998</v>
      </c>
      <c r="D45" s="36">
        <v>-9.9475999999999995E-2</v>
      </c>
      <c r="E45" s="36">
        <v>0.35826000000000002</v>
      </c>
      <c r="F45" s="36">
        <v>0.85628000000000004</v>
      </c>
      <c r="G45" s="36">
        <v>2.8027000000000002</v>
      </c>
      <c r="H45" s="36">
        <v>3.3879000000000001</v>
      </c>
      <c r="I45" s="36">
        <v>1.3221000000000001</v>
      </c>
      <c r="J45" s="36">
        <v>-3.2079</v>
      </c>
      <c r="K45" s="31"/>
      <c r="L45" s="31"/>
      <c r="M45" s="31"/>
      <c r="N45" s="31"/>
    </row>
    <row r="46" spans="1:39" x14ac:dyDescent="0.3">
      <c r="A46" s="36">
        <v>-2.3517000000000001</v>
      </c>
      <c r="B46" s="36">
        <v>-1.8069</v>
      </c>
      <c r="C46" s="36">
        <v>-3.4931000000000001</v>
      </c>
      <c r="D46" s="36">
        <v>-1.1598999999999999</v>
      </c>
      <c r="E46" s="36">
        <v>-5.1668000000000003</v>
      </c>
      <c r="F46" s="36">
        <v>8.6694999999999994E-2</v>
      </c>
      <c r="G46" s="36">
        <v>-3.0493000000000001</v>
      </c>
      <c r="H46" s="36">
        <v>2.1837</v>
      </c>
      <c r="I46" s="36">
        <v>-0.84899999999999998</v>
      </c>
      <c r="J46" s="36">
        <v>8.7698999999999998</v>
      </c>
      <c r="K46" s="31"/>
      <c r="L46" s="31"/>
      <c r="M46" s="31"/>
      <c r="N46" s="31"/>
    </row>
    <row r="47" spans="1:39" x14ac:dyDescent="0.3">
      <c r="A47" s="36">
        <v>-0.20147999999999999</v>
      </c>
      <c r="B47" s="36">
        <v>-1.3061E-2</v>
      </c>
      <c r="C47" s="36">
        <v>-0.21279999999999999</v>
      </c>
      <c r="D47" s="36">
        <v>0.14496999999999999</v>
      </c>
      <c r="E47" s="36">
        <v>-1.5123</v>
      </c>
      <c r="F47" s="36">
        <v>0.39205000000000001</v>
      </c>
      <c r="G47" s="36">
        <v>0.79334000000000005</v>
      </c>
      <c r="H47" s="36">
        <v>0.79869000000000001</v>
      </c>
      <c r="I47" s="36">
        <v>5.3876999999999997</v>
      </c>
      <c r="J47" s="36">
        <v>5.7339000000000002</v>
      </c>
      <c r="K47" s="31"/>
      <c r="L47" s="31"/>
      <c r="M47" s="31"/>
      <c r="N47" s="31"/>
    </row>
    <row r="48" spans="1:39" x14ac:dyDescent="0.3">
      <c r="A48" s="36">
        <v>2.4232E-2</v>
      </c>
      <c r="B48" s="36">
        <v>-0.83494000000000002</v>
      </c>
      <c r="C48" s="36">
        <v>2.0611000000000002</v>
      </c>
      <c r="D48" s="36">
        <v>-0.65632000000000001</v>
      </c>
      <c r="E48" s="36">
        <v>3.9621</v>
      </c>
      <c r="F48" s="36">
        <v>-0.30610999999999999</v>
      </c>
      <c r="G48" s="36">
        <v>5.4207999999999998</v>
      </c>
      <c r="H48" s="36">
        <v>-3.5194000000000001</v>
      </c>
      <c r="I48" s="36">
        <v>-0.57765</v>
      </c>
      <c r="J48" s="36">
        <v>0.14588000000000001</v>
      </c>
      <c r="K48" s="31"/>
      <c r="L48" s="31"/>
      <c r="M48" s="31"/>
      <c r="N48" s="31"/>
    </row>
    <row r="49" spans="1:14" x14ac:dyDescent="0.3">
      <c r="A49" s="36">
        <v>1.4316</v>
      </c>
      <c r="B49" s="36">
        <v>0.28885</v>
      </c>
      <c r="C49" s="36">
        <v>3.7465999999999999</v>
      </c>
      <c r="D49" s="36">
        <v>0.27764</v>
      </c>
      <c r="E49" s="36">
        <v>3.9388000000000001</v>
      </c>
      <c r="F49" s="36">
        <v>0.27583999999999997</v>
      </c>
      <c r="G49" s="36">
        <v>3.4041000000000001</v>
      </c>
      <c r="H49" s="36">
        <v>9.3603000000000006E-2</v>
      </c>
      <c r="I49" s="36">
        <v>-2.5415999999999999</v>
      </c>
      <c r="J49" s="36">
        <v>3.9222999999999999</v>
      </c>
      <c r="K49" s="31"/>
      <c r="L49" s="31"/>
      <c r="M49" s="31"/>
      <c r="N49" s="31"/>
    </row>
    <row r="50" spans="1:14" x14ac:dyDescent="0.3">
      <c r="A50" s="36">
        <v>-0.89439000000000002</v>
      </c>
      <c r="B50" s="36">
        <v>-0.89083000000000001</v>
      </c>
      <c r="C50" s="36">
        <v>-1.1760999999999999</v>
      </c>
      <c r="D50" s="36">
        <v>-0.69671000000000005</v>
      </c>
      <c r="E50" s="36">
        <v>0.66325000000000001</v>
      </c>
      <c r="F50" s="36">
        <v>-1.3807</v>
      </c>
      <c r="G50" s="36">
        <v>-1.7513000000000001</v>
      </c>
      <c r="H50" s="36">
        <v>-0.66569999999999996</v>
      </c>
      <c r="I50" s="36">
        <v>-0.99861999999999995</v>
      </c>
      <c r="J50" s="36">
        <v>1.4674</v>
      </c>
      <c r="K50" s="31"/>
      <c r="L50" s="31"/>
      <c r="M50" s="31"/>
      <c r="N50" s="31"/>
    </row>
    <row r="51" spans="1:14" x14ac:dyDescent="0.3">
      <c r="A51" s="36">
        <v>8.8725999999999999E-2</v>
      </c>
      <c r="B51" s="36">
        <v>0.16128000000000001</v>
      </c>
      <c r="C51" s="36">
        <v>0.2797</v>
      </c>
      <c r="D51" s="36">
        <v>0.18038999999999999</v>
      </c>
      <c r="E51" s="36">
        <v>9.5462000000000005E-2</v>
      </c>
      <c r="F51" s="36">
        <v>-0.19983999999999999</v>
      </c>
      <c r="G51" s="36">
        <v>1.2579</v>
      </c>
      <c r="H51" s="36">
        <v>0.87778</v>
      </c>
      <c r="I51" s="36">
        <v>0.97587000000000002</v>
      </c>
      <c r="J51" s="36">
        <v>0.80520000000000003</v>
      </c>
      <c r="K51" s="31"/>
      <c r="L51" s="31"/>
      <c r="M51" s="31"/>
      <c r="N51" s="31"/>
    </row>
    <row r="52" spans="1:14" x14ac:dyDescent="0.3">
      <c r="A52" s="36">
        <v>0.52807000000000004</v>
      </c>
      <c r="B52" s="36">
        <v>-0.10777</v>
      </c>
      <c r="C52" s="36">
        <v>0.64010999999999996</v>
      </c>
      <c r="D52" s="36">
        <v>-0.62661999999999995</v>
      </c>
      <c r="E52" s="36">
        <v>-0.21307000000000001</v>
      </c>
      <c r="F52" s="36">
        <v>-1.7186999999999999</v>
      </c>
      <c r="G52" s="36">
        <v>-0.31461</v>
      </c>
      <c r="H52" s="36">
        <v>-0.73304999999999998</v>
      </c>
      <c r="I52" s="36">
        <v>-0.47405000000000003</v>
      </c>
      <c r="J52" s="36">
        <v>-1.0279</v>
      </c>
      <c r="K52" s="31"/>
      <c r="L52" s="31"/>
      <c r="M52" s="31"/>
      <c r="N52" s="31"/>
    </row>
    <row r="53" spans="1:14" x14ac:dyDescent="0.3">
      <c r="A53" s="36">
        <v>0.13314999999999999</v>
      </c>
      <c r="B53" s="36">
        <v>9.2057E-2</v>
      </c>
      <c r="C53" s="36">
        <v>-0.11335000000000001</v>
      </c>
      <c r="D53" s="36">
        <v>0.16743</v>
      </c>
      <c r="E53" s="36">
        <v>0.88873999999999997</v>
      </c>
      <c r="F53" s="36">
        <v>-0.22986999999999999</v>
      </c>
      <c r="G53" s="36">
        <v>-0.28838999999999998</v>
      </c>
      <c r="H53" s="36">
        <v>1.712</v>
      </c>
      <c r="I53" s="36">
        <v>3.108E-2</v>
      </c>
      <c r="J53" s="36">
        <v>1.3012999999999999</v>
      </c>
      <c r="K53" s="31"/>
      <c r="L53" s="31"/>
      <c r="M53" s="31"/>
      <c r="N53" s="31"/>
    </row>
    <row r="54" spans="1:14" x14ac:dyDescent="0.3">
      <c r="A54" s="36">
        <v>-0.72297999999999996</v>
      </c>
      <c r="B54" s="36">
        <v>-1.0472999999999999</v>
      </c>
      <c r="C54" s="36">
        <v>-1.6849000000000001</v>
      </c>
      <c r="D54" s="36">
        <v>-0.76649999999999996</v>
      </c>
      <c r="E54" s="36">
        <v>-0.19059000000000001</v>
      </c>
      <c r="F54" s="36">
        <v>-1.0807</v>
      </c>
      <c r="G54" s="36">
        <v>-3.7294</v>
      </c>
      <c r="H54" s="36">
        <v>-1.4710000000000001</v>
      </c>
      <c r="I54" s="36">
        <v>-1.0631999999999999</v>
      </c>
      <c r="J54" s="36">
        <v>0.49972</v>
      </c>
      <c r="K54" s="31"/>
      <c r="L54" s="31"/>
      <c r="M54" s="31"/>
      <c r="N54" s="31"/>
    </row>
    <row r="55" spans="1:14" x14ac:dyDescent="0.3">
      <c r="A55" s="36">
        <v>0.42523</v>
      </c>
      <c r="B55" s="36">
        <v>0.17288999999999999</v>
      </c>
      <c r="C55" s="36">
        <v>2.6102E-2</v>
      </c>
      <c r="D55" s="36">
        <v>0.20444000000000001</v>
      </c>
      <c r="E55" s="36">
        <v>-1.0381</v>
      </c>
      <c r="F55" s="36">
        <v>0.24027000000000001</v>
      </c>
      <c r="G55" s="36">
        <v>-0.13142000000000001</v>
      </c>
      <c r="H55" s="36">
        <v>0.27224999999999999</v>
      </c>
      <c r="I55" s="36">
        <v>1.2087000000000001</v>
      </c>
      <c r="J55" s="36">
        <v>-0.54549000000000003</v>
      </c>
      <c r="K55" s="31"/>
      <c r="L55" s="31"/>
      <c r="M55" s="31"/>
      <c r="N55" s="31"/>
    </row>
    <row r="56" spans="1:14" x14ac:dyDescent="0.3">
      <c r="A56" s="36">
        <v>0.96408000000000005</v>
      </c>
      <c r="B56" s="36">
        <v>-9.0803999999999996E-2</v>
      </c>
      <c r="C56" s="36">
        <v>0.48181000000000002</v>
      </c>
      <c r="D56" s="36">
        <v>-0.66508999999999996</v>
      </c>
      <c r="E56" s="36">
        <v>-1.2503</v>
      </c>
      <c r="F56" s="36">
        <v>-1.4011</v>
      </c>
      <c r="G56" s="36">
        <v>-1.6901999999999999</v>
      </c>
      <c r="H56" s="36">
        <v>-1.6263000000000001</v>
      </c>
      <c r="I56" s="36">
        <v>6.7241999999999996E-2</v>
      </c>
      <c r="J56" s="36">
        <v>-2.7166999999999999</v>
      </c>
      <c r="K56" s="31"/>
      <c r="L56" s="31"/>
      <c r="M56" s="31"/>
      <c r="N56" s="31"/>
    </row>
    <row r="57" spans="1:14" x14ac:dyDescent="0.3">
      <c r="A57" s="36">
        <v>0.51731000000000005</v>
      </c>
      <c r="B57" s="36">
        <v>0.12202</v>
      </c>
      <c r="C57" s="36">
        <v>-0.38529999999999998</v>
      </c>
      <c r="D57" s="36">
        <v>0.19800999999999999</v>
      </c>
      <c r="E57" s="36">
        <v>-5.0084999999999998E-2</v>
      </c>
      <c r="F57" s="36">
        <v>0.22531000000000001</v>
      </c>
      <c r="G57" s="36">
        <v>-1.7161</v>
      </c>
      <c r="H57" s="36">
        <v>1.0570999999999999</v>
      </c>
      <c r="I57" s="36">
        <v>0.56203000000000003</v>
      </c>
      <c r="J57" s="36">
        <v>-0.18093000000000001</v>
      </c>
      <c r="K57" s="31"/>
      <c r="L57" s="31"/>
      <c r="M57" s="31"/>
      <c r="N57" s="31"/>
    </row>
    <row r="58" spans="1:14" x14ac:dyDescent="0.3">
      <c r="A58" s="36">
        <v>-0.39512999999999998</v>
      </c>
      <c r="B58" s="36">
        <v>-1.4177</v>
      </c>
      <c r="C58" s="36">
        <v>-0.36121999999999999</v>
      </c>
      <c r="D58" s="36">
        <v>-0.99946000000000002</v>
      </c>
      <c r="E58" s="36">
        <v>-1.3983000000000001</v>
      </c>
      <c r="F58" s="36">
        <v>0.76893999999999996</v>
      </c>
      <c r="G58" s="36">
        <v>-3.9571000000000001</v>
      </c>
      <c r="H58" s="36">
        <v>-2.0834000000000001</v>
      </c>
      <c r="I58" s="36">
        <v>2.2530000000000001</v>
      </c>
      <c r="J58" s="36">
        <v>-6.9496000000000002</v>
      </c>
      <c r="K58" s="31"/>
      <c r="L58" s="31"/>
      <c r="M58" s="31"/>
      <c r="N58" s="31"/>
    </row>
    <row r="59" spans="1:14" x14ac:dyDescent="0.3">
      <c r="A59" s="36">
        <v>1.8774</v>
      </c>
      <c r="B59" s="36">
        <v>2.0756999999999999</v>
      </c>
      <c r="C59" s="36">
        <v>-0.40189999999999998</v>
      </c>
      <c r="D59" s="36">
        <v>1.1845000000000001</v>
      </c>
      <c r="E59" s="36">
        <v>-1.3416999999999999</v>
      </c>
      <c r="F59" s="36">
        <v>-0.17846999999999999</v>
      </c>
      <c r="G59" s="36">
        <v>3.2103999999999999</v>
      </c>
      <c r="H59" s="36">
        <v>-1.1856</v>
      </c>
      <c r="I59" s="36">
        <v>2.9203000000000001</v>
      </c>
      <c r="J59" s="36">
        <v>2.8730000000000002</v>
      </c>
      <c r="K59" s="31"/>
      <c r="L59" s="31"/>
      <c r="M59" s="31"/>
      <c r="N59" s="31"/>
    </row>
    <row r="60" spans="1:14" x14ac:dyDescent="0.3">
      <c r="A60" s="36">
        <v>0.11698</v>
      </c>
      <c r="B60" s="36">
        <v>0.2424</v>
      </c>
      <c r="C60" s="36">
        <v>0.53069</v>
      </c>
      <c r="D60" s="36">
        <v>-0.64554</v>
      </c>
      <c r="E60" s="36">
        <v>0.73704000000000003</v>
      </c>
      <c r="F60" s="36">
        <v>-0.67479999999999996</v>
      </c>
      <c r="G60" s="36">
        <v>1.4621999999999999</v>
      </c>
      <c r="H60" s="36">
        <v>0.37486999999999998</v>
      </c>
      <c r="I60" s="36">
        <v>1.2318</v>
      </c>
      <c r="J60" s="36">
        <v>-0.10131</v>
      </c>
      <c r="K60" s="31"/>
      <c r="L60" s="31"/>
      <c r="M60" s="31"/>
      <c r="N60" s="31"/>
    </row>
    <row r="61" spans="1:14" x14ac:dyDescent="0.3">
      <c r="A61" s="36">
        <v>-0.99443999999999999</v>
      </c>
      <c r="B61" s="36">
        <v>-0.78595000000000004</v>
      </c>
      <c r="C61" s="36">
        <v>0.29087000000000002</v>
      </c>
      <c r="D61" s="36">
        <v>0.24032000000000001</v>
      </c>
      <c r="E61" s="36">
        <v>1.8228</v>
      </c>
      <c r="F61" s="36">
        <v>-0.27194000000000002</v>
      </c>
      <c r="G61" s="36">
        <v>1.6354</v>
      </c>
      <c r="H61" s="36">
        <v>0.50424999999999998</v>
      </c>
      <c r="I61" s="36">
        <v>1.1982999999999999</v>
      </c>
      <c r="J61" s="36">
        <v>0.18332999999999999</v>
      </c>
      <c r="K61" s="31"/>
      <c r="L61" s="31"/>
      <c r="M61" s="31"/>
      <c r="N61" s="31"/>
    </row>
    <row r="62" spans="1:14" ht="15" thickBot="1" x14ac:dyDescent="0.35">
      <c r="G62" s="31"/>
      <c r="H62" s="31"/>
      <c r="I62" s="31"/>
      <c r="J62" s="31"/>
      <c r="K62" s="31"/>
      <c r="L62" s="31"/>
      <c r="M62" s="31"/>
      <c r="N62" s="31"/>
    </row>
    <row r="63" spans="1:14" x14ac:dyDescent="0.3">
      <c r="A63" s="53">
        <v>-1.64</v>
      </c>
      <c r="B63" s="46"/>
      <c r="G63" s="31"/>
      <c r="H63" s="31"/>
      <c r="I63" s="31"/>
      <c r="J63" s="31"/>
      <c r="K63" s="31"/>
      <c r="L63" s="31"/>
      <c r="M63" s="31"/>
      <c r="N63" s="31"/>
    </row>
    <row r="64" spans="1:14" x14ac:dyDescent="0.3">
      <c r="A64" s="54">
        <v>-2.2549999999999999</v>
      </c>
      <c r="B64" s="46"/>
      <c r="G64" s="31"/>
      <c r="H64" s="31"/>
      <c r="I64" s="31"/>
      <c r="J64" s="31"/>
      <c r="K64" s="31"/>
      <c r="L64" s="31"/>
      <c r="M64" s="31"/>
      <c r="N64" s="31"/>
    </row>
    <row r="65" spans="1:14" x14ac:dyDescent="0.3">
      <c r="A65" s="54">
        <v>-1.6705000000000001</v>
      </c>
      <c r="B65" s="46"/>
      <c r="G65" s="31"/>
      <c r="H65" s="31"/>
      <c r="I65" s="31"/>
      <c r="J65" s="31"/>
      <c r="K65" s="31"/>
      <c r="L65" s="31"/>
      <c r="M65" s="31"/>
      <c r="N65" s="31"/>
    </row>
    <row r="66" spans="1:14" x14ac:dyDescent="0.3">
      <c r="A66" s="54">
        <v>-1.2034</v>
      </c>
      <c r="B66" s="46"/>
      <c r="G66" s="31"/>
      <c r="H66" s="31"/>
      <c r="I66" s="31"/>
      <c r="J66" s="31"/>
      <c r="K66" s="31"/>
      <c r="L66" s="31"/>
      <c r="M66" s="31"/>
      <c r="N66" s="31"/>
    </row>
    <row r="67" spans="1:14" x14ac:dyDescent="0.3">
      <c r="A67" s="54">
        <v>-3.1865000000000001</v>
      </c>
      <c r="B67" s="46" t="s">
        <v>211</v>
      </c>
      <c r="G67" s="31"/>
      <c r="H67" s="31"/>
      <c r="I67" s="31"/>
      <c r="J67" s="31"/>
      <c r="K67" s="31"/>
      <c r="L67" s="31"/>
      <c r="M67" s="31"/>
      <c r="N67" s="31"/>
    </row>
    <row r="68" spans="1:14" x14ac:dyDescent="0.3">
      <c r="A68" s="54">
        <v>1.7746</v>
      </c>
      <c r="B68" s="46"/>
      <c r="G68" s="31"/>
      <c r="H68" s="31"/>
      <c r="I68" s="31"/>
      <c r="J68" s="31"/>
      <c r="K68" s="31"/>
      <c r="L68" s="31"/>
      <c r="M68" s="31"/>
      <c r="N68" s="31"/>
    </row>
    <row r="69" spans="1:14" x14ac:dyDescent="0.3">
      <c r="A69" s="54">
        <v>-2.9487000000000001</v>
      </c>
      <c r="B69" s="46"/>
      <c r="I69" s="31"/>
      <c r="J69" s="31"/>
      <c r="K69" s="31"/>
      <c r="L69" s="31"/>
      <c r="M69" s="31"/>
      <c r="N69" s="31"/>
    </row>
    <row r="70" spans="1:14" x14ac:dyDescent="0.3">
      <c r="A70" s="54">
        <v>4.1437999999999997</v>
      </c>
      <c r="B70" s="46"/>
      <c r="I70" s="31"/>
      <c r="J70" s="31"/>
      <c r="K70" s="31"/>
      <c r="L70" s="31"/>
      <c r="M70" s="31"/>
      <c r="N70" s="31"/>
    </row>
    <row r="71" spans="1:14" x14ac:dyDescent="0.3">
      <c r="A71" s="54">
        <v>-4.1795999999999998</v>
      </c>
      <c r="B71" s="46"/>
      <c r="I71" s="31"/>
      <c r="J71" s="31"/>
      <c r="K71" s="31"/>
      <c r="L71" s="31"/>
      <c r="M71" s="31"/>
      <c r="N71" s="31"/>
    </row>
    <row r="72" spans="1:14" ht="15" thickBot="1" x14ac:dyDescent="0.35">
      <c r="A72" s="55">
        <v>5.0049000000000001</v>
      </c>
      <c r="B72" s="46"/>
      <c r="I72" s="31"/>
      <c r="J72" s="31"/>
      <c r="K72" s="31"/>
      <c r="L72" s="31"/>
      <c r="M72" s="31"/>
      <c r="N72" s="31"/>
    </row>
    <row r="73" spans="1:14" x14ac:dyDescent="0.3">
      <c r="A73" s="36">
        <v>0.7</v>
      </c>
      <c r="B73" s="36">
        <v>0.4</v>
      </c>
      <c r="C73">
        <v>20000</v>
      </c>
      <c r="I73" s="31"/>
      <c r="J73" s="31"/>
      <c r="K73" s="31"/>
      <c r="L73" s="31"/>
      <c r="M73" s="31"/>
      <c r="N73" s="31"/>
    </row>
    <row r="74" spans="1:14" x14ac:dyDescent="0.3">
      <c r="A74" s="31">
        <v>2000</v>
      </c>
      <c r="B74" s="31"/>
      <c r="I74" s="31"/>
      <c r="J74" s="31"/>
      <c r="K74" s="31"/>
      <c r="L74" s="31"/>
      <c r="M74" s="31"/>
      <c r="N74" s="31"/>
    </row>
    <row r="75" spans="1:14" x14ac:dyDescent="0.3">
      <c r="A75" s="36">
        <v>0.95355999999999996</v>
      </c>
      <c r="B75" s="36">
        <v>0</v>
      </c>
      <c r="I75" s="31"/>
      <c r="J75" s="31"/>
      <c r="K75" s="31"/>
      <c r="L75" s="31"/>
      <c r="M75" s="31"/>
      <c r="N75" s="31"/>
    </row>
    <row r="76" spans="1:14" x14ac:dyDescent="0.3">
      <c r="A76" s="30"/>
      <c r="B76" s="31"/>
      <c r="C76" s="31"/>
      <c r="I76" s="31"/>
      <c r="J76" s="31"/>
      <c r="K76" s="31"/>
      <c r="L76" s="31"/>
      <c r="M76" s="31"/>
      <c r="N76" s="31"/>
    </row>
    <row r="77" spans="1:14" x14ac:dyDescent="0.3">
      <c r="A77" s="30"/>
      <c r="B77" s="31"/>
      <c r="C77" s="31"/>
      <c r="I77" s="31"/>
      <c r="J77" s="31"/>
      <c r="K77" s="31"/>
      <c r="L77" s="31"/>
      <c r="M77" s="31"/>
      <c r="N77" s="31"/>
    </row>
    <row r="78" spans="1:14" x14ac:dyDescent="0.3">
      <c r="A78" s="30"/>
      <c r="B78" s="31"/>
      <c r="C78" s="31"/>
      <c r="I78" s="31"/>
      <c r="J78" s="31"/>
      <c r="K78" s="31"/>
      <c r="L78" s="31"/>
      <c r="M78" s="31"/>
      <c r="N78" s="31"/>
    </row>
    <row r="79" spans="1:14" x14ac:dyDescent="0.3">
      <c r="A79" s="30"/>
      <c r="B79" s="31"/>
      <c r="C79" s="31"/>
      <c r="I79" s="31"/>
      <c r="J79" s="31"/>
      <c r="K79" s="31"/>
      <c r="L79" s="31"/>
      <c r="M79" s="31"/>
      <c r="N79" s="31"/>
    </row>
    <row r="80" spans="1:14" x14ac:dyDescent="0.3">
      <c r="A80" s="30"/>
      <c r="B80" s="31"/>
      <c r="C80" s="31"/>
      <c r="I80" s="31"/>
      <c r="J80" s="31"/>
      <c r="K80" s="31"/>
      <c r="L80" s="31"/>
      <c r="M80" s="31"/>
      <c r="N80" s="31"/>
    </row>
    <row r="81" spans="1:14" x14ac:dyDescent="0.3">
      <c r="A81" s="30"/>
      <c r="B81" s="31"/>
      <c r="C81" s="31"/>
      <c r="I81" s="31"/>
      <c r="J81" s="31"/>
      <c r="K81" s="31"/>
      <c r="L81" s="31"/>
      <c r="M81" s="31"/>
      <c r="N81" s="31"/>
    </row>
    <row r="82" spans="1:14" x14ac:dyDescent="0.3">
      <c r="A82" s="30"/>
      <c r="B82" s="31"/>
      <c r="C82" s="31"/>
      <c r="I82" s="31"/>
      <c r="J82" s="31"/>
      <c r="K82" s="31"/>
      <c r="L82" s="31"/>
      <c r="M82" s="31"/>
      <c r="N82" s="31"/>
    </row>
    <row r="83" spans="1:14" x14ac:dyDescent="0.3">
      <c r="A83" s="30"/>
      <c r="B83" s="31"/>
      <c r="C83" s="31"/>
      <c r="I83" s="31"/>
      <c r="J83" s="31"/>
      <c r="K83" s="31"/>
      <c r="L83" s="31"/>
      <c r="M83" s="31"/>
      <c r="N83" s="31"/>
    </row>
    <row r="84" spans="1:14" x14ac:dyDescent="0.3">
      <c r="A84" s="30"/>
      <c r="B84" s="31"/>
      <c r="C84" s="31"/>
      <c r="K84" s="31"/>
      <c r="L84" s="31"/>
      <c r="M84" s="31"/>
      <c r="N84" s="31"/>
    </row>
    <row r="85" spans="1:14" x14ac:dyDescent="0.3">
      <c r="A85" s="30"/>
      <c r="B85" s="31"/>
      <c r="C85" s="31"/>
      <c r="K85" s="31"/>
      <c r="L85" s="31"/>
      <c r="M85" s="31"/>
      <c r="N85" s="31"/>
    </row>
    <row r="86" spans="1:14" x14ac:dyDescent="0.3">
      <c r="A86" s="30"/>
      <c r="B86" s="31"/>
      <c r="C86" s="31"/>
      <c r="K86" s="31"/>
      <c r="L86" s="31"/>
      <c r="M86" s="31"/>
      <c r="N86" s="31"/>
    </row>
    <row r="87" spans="1:14" x14ac:dyDescent="0.3">
      <c r="A87" s="30"/>
      <c r="B87" s="31"/>
      <c r="C87" s="31"/>
      <c r="K87" s="31"/>
      <c r="L87" s="31"/>
      <c r="M87" s="31"/>
      <c r="N87" s="31"/>
    </row>
    <row r="88" spans="1:14" x14ac:dyDescent="0.3">
      <c r="A88" s="30"/>
      <c r="B88" s="31"/>
      <c r="C88" s="31"/>
      <c r="K88" s="31"/>
      <c r="L88" s="31"/>
      <c r="M88" s="31"/>
      <c r="N88" s="31"/>
    </row>
    <row r="89" spans="1:14" x14ac:dyDescent="0.3">
      <c r="A89" s="30"/>
      <c r="B89" s="31"/>
      <c r="C89" s="31"/>
      <c r="K89" s="31"/>
      <c r="L89" s="31"/>
      <c r="M89" s="31"/>
      <c r="N89" s="31"/>
    </row>
    <row r="90" spans="1:14" x14ac:dyDescent="0.3">
      <c r="A90" s="30"/>
      <c r="B90" s="31"/>
      <c r="C90" s="31"/>
    </row>
    <row r="91" spans="1:14" x14ac:dyDescent="0.3">
      <c r="A91" s="30"/>
      <c r="B91" s="31"/>
      <c r="C91" s="31"/>
    </row>
    <row r="92" spans="1:14" x14ac:dyDescent="0.3">
      <c r="A92" s="30"/>
      <c r="B92" s="31"/>
      <c r="C92" s="31"/>
    </row>
    <row r="93" spans="1:14" x14ac:dyDescent="0.3">
      <c r="A93" s="30"/>
      <c r="B93" s="31"/>
      <c r="C93" s="31"/>
    </row>
    <row r="94" spans="1:14" x14ac:dyDescent="0.3">
      <c r="A94" s="30"/>
      <c r="B94" s="31"/>
      <c r="C94" s="31"/>
    </row>
    <row r="95" spans="1:14" x14ac:dyDescent="0.3">
      <c r="A95" s="30"/>
      <c r="B95" s="31"/>
      <c r="C95" s="31"/>
    </row>
    <row r="96" spans="1:14" x14ac:dyDescent="0.3">
      <c r="A96" s="30"/>
      <c r="B96" s="31"/>
      <c r="C96" s="31"/>
    </row>
    <row r="97" spans="1:3" x14ac:dyDescent="0.3">
      <c r="A97" s="30"/>
      <c r="B97" s="31"/>
      <c r="C97" s="31"/>
    </row>
  </sheetData>
  <mergeCells count="4">
    <mergeCell ref="I1:J1"/>
    <mergeCell ref="G1:H1"/>
    <mergeCell ref="K1:L1"/>
    <mergeCell ref="M1:N1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4222-8AC0-457E-8A4E-BFF46707EAD7}">
  <dimension ref="D1:Q227"/>
  <sheetViews>
    <sheetView workbookViewId="0">
      <selection activeCell="L2" sqref="L2"/>
    </sheetView>
  </sheetViews>
  <sheetFormatPr defaultRowHeight="14.4" x14ac:dyDescent="0.3"/>
  <sheetData>
    <row r="1" spans="4:17" x14ac:dyDescent="0.3">
      <c r="D1" s="64" t="s">
        <v>213</v>
      </c>
      <c r="E1" s="64"/>
      <c r="F1" s="64"/>
      <c r="G1" s="64"/>
      <c r="H1" s="64"/>
      <c r="I1" s="64"/>
      <c r="L1" s="64" t="s">
        <v>214</v>
      </c>
      <c r="M1" s="64"/>
      <c r="N1" s="64"/>
      <c r="O1" s="64"/>
      <c r="P1" s="64"/>
      <c r="Q1" s="64"/>
    </row>
    <row r="2" spans="4:17" x14ac:dyDescent="0.3">
      <c r="D2" t="s">
        <v>172</v>
      </c>
      <c r="E2" t="s">
        <v>136</v>
      </c>
      <c r="F2" t="s">
        <v>156</v>
      </c>
      <c r="G2" t="s">
        <v>157</v>
      </c>
      <c r="H2" t="s">
        <v>158</v>
      </c>
      <c r="I2" t="s">
        <v>160</v>
      </c>
      <c r="L2" t="s">
        <v>172</v>
      </c>
      <c r="M2" t="s">
        <v>136</v>
      </c>
      <c r="N2" t="s">
        <v>156</v>
      </c>
      <c r="O2" t="s">
        <v>157</v>
      </c>
      <c r="P2" t="s">
        <v>158</v>
      </c>
      <c r="Q2" t="s">
        <v>160</v>
      </c>
    </row>
    <row r="3" spans="4:17" x14ac:dyDescent="0.3">
      <c r="D3">
        <v>1</v>
      </c>
      <c r="E3">
        <v>1</v>
      </c>
      <c r="F3">
        <v>1</v>
      </c>
      <c r="G3">
        <v>1</v>
      </c>
      <c r="H3">
        <v>151</v>
      </c>
      <c r="I3">
        <v>154.99206000000001</v>
      </c>
      <c r="L3">
        <v>4</v>
      </c>
      <c r="M3">
        <v>3</v>
      </c>
      <c r="N3">
        <v>226</v>
      </c>
      <c r="O3">
        <v>4</v>
      </c>
      <c r="P3">
        <v>162</v>
      </c>
      <c r="Q3">
        <v>142.70023</v>
      </c>
    </row>
    <row r="4" spans="4:17" x14ac:dyDescent="0.3">
      <c r="D4">
        <v>2</v>
      </c>
      <c r="E4">
        <v>1</v>
      </c>
      <c r="F4">
        <v>2</v>
      </c>
      <c r="G4">
        <v>2</v>
      </c>
      <c r="H4">
        <v>49</v>
      </c>
      <c r="I4">
        <v>47.724640000000001</v>
      </c>
      <c r="L4">
        <v>7</v>
      </c>
      <c r="M4">
        <v>3</v>
      </c>
      <c r="N4">
        <v>227</v>
      </c>
      <c r="O4">
        <v>7</v>
      </c>
      <c r="P4">
        <v>2</v>
      </c>
      <c r="Q4">
        <v>0.2079</v>
      </c>
    </row>
    <row r="5" spans="4:17" x14ac:dyDescent="0.3">
      <c r="D5">
        <v>8</v>
      </c>
      <c r="E5">
        <v>1</v>
      </c>
      <c r="F5">
        <v>3</v>
      </c>
      <c r="G5">
        <v>8</v>
      </c>
      <c r="H5">
        <v>2</v>
      </c>
      <c r="I5">
        <v>1.9400000000000001E-2</v>
      </c>
      <c r="L5">
        <v>17</v>
      </c>
      <c r="M5">
        <v>3</v>
      </c>
      <c r="N5">
        <v>228</v>
      </c>
      <c r="O5">
        <v>17</v>
      </c>
      <c r="P5">
        <v>181</v>
      </c>
      <c r="Q5">
        <v>195.14152000000001</v>
      </c>
    </row>
    <row r="6" spans="4:17" x14ac:dyDescent="0.3">
      <c r="D6">
        <v>9</v>
      </c>
      <c r="E6">
        <v>1</v>
      </c>
      <c r="F6">
        <v>4</v>
      </c>
      <c r="G6">
        <v>9</v>
      </c>
      <c r="H6">
        <v>2</v>
      </c>
      <c r="I6">
        <v>0.10914</v>
      </c>
      <c r="L6">
        <v>22</v>
      </c>
      <c r="M6">
        <v>3</v>
      </c>
      <c r="N6">
        <v>229</v>
      </c>
      <c r="O6">
        <v>22</v>
      </c>
      <c r="P6">
        <v>6</v>
      </c>
      <c r="Q6">
        <v>1.25481</v>
      </c>
    </row>
    <row r="7" spans="4:17" x14ac:dyDescent="0.3">
      <c r="D7">
        <v>10</v>
      </c>
      <c r="E7">
        <v>1</v>
      </c>
      <c r="F7">
        <v>5</v>
      </c>
      <c r="G7">
        <v>10</v>
      </c>
      <c r="H7">
        <v>2</v>
      </c>
      <c r="I7">
        <v>7.5399999999999995E-2</v>
      </c>
      <c r="L7">
        <v>28</v>
      </c>
      <c r="M7">
        <v>3</v>
      </c>
      <c r="N7">
        <v>230</v>
      </c>
      <c r="O7">
        <v>28</v>
      </c>
      <c r="P7">
        <v>57</v>
      </c>
      <c r="Q7">
        <v>47.242370000000001</v>
      </c>
    </row>
    <row r="8" spans="4:17" x14ac:dyDescent="0.3">
      <c r="D8">
        <v>11</v>
      </c>
      <c r="E8">
        <v>1</v>
      </c>
      <c r="F8">
        <v>6</v>
      </c>
      <c r="G8">
        <v>11</v>
      </c>
      <c r="H8">
        <v>12</v>
      </c>
      <c r="I8">
        <v>7.21713</v>
      </c>
      <c r="L8">
        <v>29</v>
      </c>
      <c r="M8">
        <v>3</v>
      </c>
      <c r="N8">
        <v>231</v>
      </c>
      <c r="O8">
        <v>29</v>
      </c>
      <c r="P8">
        <v>12</v>
      </c>
      <c r="Q8">
        <v>9.4285300000000003</v>
      </c>
    </row>
    <row r="9" spans="4:17" x14ac:dyDescent="0.3">
      <c r="D9">
        <v>12</v>
      </c>
      <c r="E9">
        <v>1</v>
      </c>
      <c r="F9">
        <v>7</v>
      </c>
      <c r="G9">
        <v>12</v>
      </c>
      <c r="H9">
        <v>42</v>
      </c>
      <c r="I9">
        <v>37.469029999999997</v>
      </c>
      <c r="L9">
        <v>32</v>
      </c>
      <c r="M9">
        <v>3</v>
      </c>
      <c r="N9">
        <v>232</v>
      </c>
      <c r="O9">
        <v>32</v>
      </c>
      <c r="P9">
        <v>147</v>
      </c>
      <c r="Q9">
        <v>44.4193</v>
      </c>
    </row>
    <row r="10" spans="4:17" x14ac:dyDescent="0.3">
      <c r="D10">
        <v>14</v>
      </c>
      <c r="E10">
        <v>1</v>
      </c>
      <c r="F10">
        <v>8</v>
      </c>
      <c r="G10">
        <v>14</v>
      </c>
      <c r="H10">
        <v>94</v>
      </c>
      <c r="I10">
        <v>72.699680000000001</v>
      </c>
      <c r="L10">
        <v>33</v>
      </c>
      <c r="M10">
        <v>3</v>
      </c>
      <c r="N10">
        <v>233</v>
      </c>
      <c r="O10">
        <v>33</v>
      </c>
      <c r="P10">
        <v>152</v>
      </c>
      <c r="Q10">
        <v>51.034559999999999</v>
      </c>
    </row>
    <row r="11" spans="4:17" x14ac:dyDescent="0.3">
      <c r="D11">
        <v>15</v>
      </c>
      <c r="E11">
        <v>1</v>
      </c>
      <c r="F11">
        <v>9</v>
      </c>
      <c r="G11">
        <v>15</v>
      </c>
      <c r="H11">
        <v>180</v>
      </c>
      <c r="I11">
        <v>185.16801000000001</v>
      </c>
      <c r="L11">
        <v>46</v>
      </c>
      <c r="M11">
        <v>3</v>
      </c>
      <c r="N11">
        <v>234</v>
      </c>
      <c r="O11">
        <v>46</v>
      </c>
      <c r="P11">
        <v>34</v>
      </c>
      <c r="Q11">
        <v>28.238099999999999</v>
      </c>
    </row>
    <row r="12" spans="4:17" x14ac:dyDescent="0.3">
      <c r="D12">
        <v>18</v>
      </c>
      <c r="E12">
        <v>1</v>
      </c>
      <c r="F12">
        <v>10</v>
      </c>
      <c r="G12">
        <v>18</v>
      </c>
      <c r="H12">
        <v>11</v>
      </c>
      <c r="I12">
        <v>1.7368699999999999</v>
      </c>
      <c r="L12">
        <v>47</v>
      </c>
      <c r="M12">
        <v>3</v>
      </c>
      <c r="N12">
        <v>235</v>
      </c>
      <c r="O12">
        <v>47</v>
      </c>
      <c r="P12">
        <v>12</v>
      </c>
      <c r="Q12">
        <v>4.1357499999999998</v>
      </c>
    </row>
    <row r="13" spans="4:17" x14ac:dyDescent="0.3">
      <c r="D13">
        <v>19</v>
      </c>
      <c r="E13">
        <v>1</v>
      </c>
      <c r="F13">
        <v>11</v>
      </c>
      <c r="G13">
        <v>19</v>
      </c>
      <c r="H13">
        <v>37</v>
      </c>
      <c r="I13">
        <v>39.728949999999998</v>
      </c>
      <c r="L13">
        <v>54</v>
      </c>
      <c r="M13">
        <v>3</v>
      </c>
      <c r="N13">
        <v>236</v>
      </c>
      <c r="O13">
        <v>54</v>
      </c>
      <c r="P13">
        <v>41</v>
      </c>
      <c r="Q13">
        <v>72.77328</v>
      </c>
    </row>
    <row r="14" spans="4:17" x14ac:dyDescent="0.3">
      <c r="D14">
        <v>21</v>
      </c>
      <c r="E14">
        <v>1</v>
      </c>
      <c r="F14">
        <v>12</v>
      </c>
      <c r="G14">
        <v>21</v>
      </c>
      <c r="H14">
        <v>6</v>
      </c>
      <c r="I14">
        <v>1.2451700000000001</v>
      </c>
      <c r="L14">
        <v>62</v>
      </c>
      <c r="M14">
        <v>3</v>
      </c>
      <c r="N14">
        <v>237</v>
      </c>
      <c r="O14">
        <v>62</v>
      </c>
      <c r="P14">
        <v>107</v>
      </c>
      <c r="Q14">
        <v>93.47354</v>
      </c>
    </row>
    <row r="15" spans="4:17" x14ac:dyDescent="0.3">
      <c r="D15">
        <v>23</v>
      </c>
      <c r="E15">
        <v>1</v>
      </c>
      <c r="F15">
        <v>13</v>
      </c>
      <c r="G15">
        <v>23</v>
      </c>
      <c r="H15">
        <v>15</v>
      </c>
      <c r="I15">
        <v>7.7440499999999997</v>
      </c>
      <c r="L15">
        <v>66</v>
      </c>
      <c r="M15">
        <v>3</v>
      </c>
      <c r="N15">
        <v>238</v>
      </c>
      <c r="O15">
        <v>66</v>
      </c>
      <c r="P15">
        <v>15</v>
      </c>
      <c r="Q15">
        <v>9.9081399999999995</v>
      </c>
    </row>
    <row r="16" spans="4:17" x14ac:dyDescent="0.3">
      <c r="D16">
        <v>24</v>
      </c>
      <c r="E16">
        <v>1</v>
      </c>
      <c r="F16">
        <v>14</v>
      </c>
      <c r="G16">
        <v>24</v>
      </c>
      <c r="H16">
        <v>44</v>
      </c>
      <c r="I16">
        <v>47.446120000000001</v>
      </c>
      <c r="L16">
        <v>68</v>
      </c>
      <c r="M16">
        <v>3</v>
      </c>
      <c r="N16">
        <v>239</v>
      </c>
      <c r="O16">
        <v>68</v>
      </c>
      <c r="P16">
        <v>67</v>
      </c>
      <c r="Q16">
        <v>61.94068</v>
      </c>
    </row>
    <row r="17" spans="4:17" x14ac:dyDescent="0.3">
      <c r="D17">
        <v>26</v>
      </c>
      <c r="E17">
        <v>1</v>
      </c>
      <c r="F17">
        <v>15</v>
      </c>
      <c r="G17">
        <v>26</v>
      </c>
      <c r="H17">
        <v>54</v>
      </c>
      <c r="I17">
        <v>42.052779999999998</v>
      </c>
      <c r="L17">
        <v>69</v>
      </c>
      <c r="M17">
        <v>3</v>
      </c>
      <c r="N17">
        <v>240</v>
      </c>
      <c r="O17">
        <v>69</v>
      </c>
      <c r="P17">
        <v>191</v>
      </c>
      <c r="Q17">
        <v>211.29407</v>
      </c>
    </row>
    <row r="18" spans="4:17" x14ac:dyDescent="0.3">
      <c r="D18">
        <v>34</v>
      </c>
      <c r="E18">
        <v>1</v>
      </c>
      <c r="F18">
        <v>16</v>
      </c>
      <c r="G18">
        <v>34</v>
      </c>
      <c r="H18">
        <v>1</v>
      </c>
      <c r="I18">
        <v>0.29647000000000001</v>
      </c>
      <c r="L18">
        <v>73</v>
      </c>
      <c r="M18">
        <v>3</v>
      </c>
      <c r="N18">
        <v>241</v>
      </c>
      <c r="O18">
        <v>73</v>
      </c>
      <c r="P18">
        <v>16</v>
      </c>
      <c r="Q18">
        <v>21.581779999999998</v>
      </c>
    </row>
    <row r="19" spans="4:17" x14ac:dyDescent="0.3">
      <c r="D19">
        <v>35</v>
      </c>
      <c r="E19">
        <v>1</v>
      </c>
      <c r="F19">
        <v>17</v>
      </c>
      <c r="G19">
        <v>35</v>
      </c>
      <c r="H19">
        <v>8</v>
      </c>
      <c r="I19">
        <v>2.1321400000000001</v>
      </c>
      <c r="L19">
        <v>76</v>
      </c>
      <c r="M19">
        <v>3</v>
      </c>
      <c r="N19">
        <v>242</v>
      </c>
      <c r="O19">
        <v>76</v>
      </c>
      <c r="P19">
        <v>22</v>
      </c>
      <c r="Q19">
        <v>16.541530000000002</v>
      </c>
    </row>
    <row r="20" spans="4:17" x14ac:dyDescent="0.3">
      <c r="D20">
        <v>37</v>
      </c>
      <c r="E20">
        <v>1</v>
      </c>
      <c r="F20">
        <v>18</v>
      </c>
      <c r="G20">
        <v>37</v>
      </c>
      <c r="H20">
        <v>6</v>
      </c>
      <c r="I20">
        <v>12.04227</v>
      </c>
      <c r="L20">
        <v>77</v>
      </c>
      <c r="M20">
        <v>3</v>
      </c>
      <c r="N20">
        <v>243</v>
      </c>
      <c r="O20">
        <v>77</v>
      </c>
      <c r="P20">
        <v>22</v>
      </c>
      <c r="Q20">
        <v>20.722449999999998</v>
      </c>
    </row>
    <row r="21" spans="4:17" x14ac:dyDescent="0.3">
      <c r="D21">
        <v>38</v>
      </c>
      <c r="E21">
        <v>1</v>
      </c>
      <c r="F21">
        <v>19</v>
      </c>
      <c r="G21">
        <v>38</v>
      </c>
      <c r="H21">
        <v>21</v>
      </c>
      <c r="I21">
        <v>45.140610000000002</v>
      </c>
      <c r="L21">
        <v>81</v>
      </c>
      <c r="M21">
        <v>3</v>
      </c>
      <c r="N21">
        <v>244</v>
      </c>
      <c r="O21">
        <v>81</v>
      </c>
      <c r="P21">
        <v>16</v>
      </c>
      <c r="Q21">
        <v>23.54543</v>
      </c>
    </row>
    <row r="22" spans="4:17" x14ac:dyDescent="0.3">
      <c r="D22">
        <v>39</v>
      </c>
      <c r="E22">
        <v>1</v>
      </c>
      <c r="F22">
        <v>20</v>
      </c>
      <c r="G22">
        <v>39</v>
      </c>
      <c r="H22">
        <v>21</v>
      </c>
      <c r="I22">
        <v>48.190669999999997</v>
      </c>
      <c r="L22">
        <v>90</v>
      </c>
      <c r="M22">
        <v>3</v>
      </c>
      <c r="N22">
        <v>245</v>
      </c>
      <c r="O22">
        <v>90</v>
      </c>
      <c r="P22">
        <v>6</v>
      </c>
      <c r="Q22">
        <v>5.2250500000000004</v>
      </c>
    </row>
    <row r="23" spans="4:17" x14ac:dyDescent="0.3">
      <c r="D23">
        <v>40</v>
      </c>
      <c r="E23">
        <v>1</v>
      </c>
      <c r="F23">
        <v>21</v>
      </c>
      <c r="G23">
        <v>40</v>
      </c>
      <c r="H23">
        <v>4</v>
      </c>
      <c r="I23">
        <v>7.3461299999999996</v>
      </c>
      <c r="L23">
        <v>91</v>
      </c>
      <c r="M23">
        <v>3</v>
      </c>
      <c r="N23">
        <v>246</v>
      </c>
      <c r="O23">
        <v>91</v>
      </c>
      <c r="P23">
        <v>10</v>
      </c>
      <c r="Q23">
        <v>7.7964099999999998</v>
      </c>
    </row>
    <row r="24" spans="4:17" x14ac:dyDescent="0.3">
      <c r="D24">
        <v>41</v>
      </c>
      <c r="E24">
        <v>1</v>
      </c>
      <c r="F24">
        <v>22</v>
      </c>
      <c r="G24">
        <v>41</v>
      </c>
      <c r="H24">
        <v>22</v>
      </c>
      <c r="I24">
        <v>30.518170000000001</v>
      </c>
      <c r="L24">
        <v>92</v>
      </c>
      <c r="M24">
        <v>3</v>
      </c>
      <c r="N24">
        <v>247</v>
      </c>
      <c r="O24">
        <v>92</v>
      </c>
      <c r="P24">
        <v>5</v>
      </c>
      <c r="Q24">
        <v>5.36904</v>
      </c>
    </row>
    <row r="25" spans="4:17" x14ac:dyDescent="0.3">
      <c r="D25">
        <v>42</v>
      </c>
      <c r="E25">
        <v>1</v>
      </c>
      <c r="F25">
        <v>23</v>
      </c>
      <c r="G25">
        <v>42</v>
      </c>
      <c r="H25">
        <v>22</v>
      </c>
      <c r="I25">
        <v>25.440249999999999</v>
      </c>
      <c r="L25">
        <v>96</v>
      </c>
      <c r="M25">
        <v>3</v>
      </c>
      <c r="N25">
        <v>248</v>
      </c>
      <c r="O25">
        <v>96</v>
      </c>
      <c r="P25">
        <v>139</v>
      </c>
      <c r="Q25">
        <v>155.02169000000001</v>
      </c>
    </row>
    <row r="26" spans="4:17" x14ac:dyDescent="0.3">
      <c r="D26">
        <v>43</v>
      </c>
      <c r="E26">
        <v>1</v>
      </c>
      <c r="F26">
        <v>24</v>
      </c>
      <c r="G26">
        <v>43</v>
      </c>
      <c r="H26">
        <v>3</v>
      </c>
      <c r="I26">
        <v>4.7707499999999996</v>
      </c>
      <c r="L26">
        <v>103</v>
      </c>
      <c r="M26">
        <v>3</v>
      </c>
      <c r="N26">
        <v>249</v>
      </c>
      <c r="O26">
        <v>103</v>
      </c>
      <c r="P26">
        <v>41</v>
      </c>
      <c r="Q26">
        <v>37.015680000000003</v>
      </c>
    </row>
    <row r="27" spans="4:17" x14ac:dyDescent="0.3">
      <c r="D27">
        <v>44</v>
      </c>
      <c r="E27">
        <v>1</v>
      </c>
      <c r="F27">
        <v>25</v>
      </c>
      <c r="G27">
        <v>44</v>
      </c>
      <c r="H27">
        <v>11</v>
      </c>
      <c r="I27">
        <v>8.9784500000000005</v>
      </c>
      <c r="L27">
        <v>106</v>
      </c>
      <c r="M27">
        <v>3</v>
      </c>
      <c r="N27">
        <v>250</v>
      </c>
      <c r="O27">
        <v>106</v>
      </c>
      <c r="P27">
        <v>23</v>
      </c>
      <c r="Q27">
        <v>85.737899999999996</v>
      </c>
    </row>
    <row r="28" spans="4:17" x14ac:dyDescent="0.3">
      <c r="D28">
        <v>45</v>
      </c>
      <c r="E28">
        <v>1</v>
      </c>
      <c r="F28">
        <v>26</v>
      </c>
      <c r="G28">
        <v>45</v>
      </c>
      <c r="H28">
        <v>35</v>
      </c>
      <c r="I28">
        <v>35.505699999999997</v>
      </c>
      <c r="L28">
        <v>107</v>
      </c>
      <c r="M28">
        <v>3</v>
      </c>
      <c r="N28">
        <v>251</v>
      </c>
      <c r="O28">
        <v>107</v>
      </c>
      <c r="P28">
        <v>21</v>
      </c>
      <c r="Q28">
        <v>66.914460000000005</v>
      </c>
    </row>
    <row r="29" spans="4:17" x14ac:dyDescent="0.3">
      <c r="D29">
        <v>48</v>
      </c>
      <c r="E29">
        <v>1</v>
      </c>
      <c r="F29">
        <v>27</v>
      </c>
      <c r="G29">
        <v>48</v>
      </c>
      <c r="H29">
        <v>4</v>
      </c>
      <c r="I29">
        <v>2.6626300000000001</v>
      </c>
      <c r="L29">
        <v>110</v>
      </c>
      <c r="M29">
        <v>3</v>
      </c>
      <c r="N29">
        <v>252</v>
      </c>
      <c r="O29">
        <v>110</v>
      </c>
      <c r="P29">
        <v>7</v>
      </c>
      <c r="Q29">
        <v>7.5257199999999997</v>
      </c>
    </row>
    <row r="30" spans="4:17" x14ac:dyDescent="0.3">
      <c r="D30">
        <v>49</v>
      </c>
      <c r="E30">
        <v>1</v>
      </c>
      <c r="F30">
        <v>28</v>
      </c>
      <c r="G30">
        <v>49</v>
      </c>
      <c r="H30">
        <v>10</v>
      </c>
      <c r="I30">
        <v>21.359909999999999</v>
      </c>
      <c r="L30">
        <v>113</v>
      </c>
      <c r="M30">
        <v>3</v>
      </c>
      <c r="N30">
        <v>253</v>
      </c>
      <c r="O30">
        <v>113</v>
      </c>
      <c r="P30">
        <v>36</v>
      </c>
      <c r="Q30">
        <v>42.789839999999998</v>
      </c>
    </row>
    <row r="31" spans="4:17" x14ac:dyDescent="0.3">
      <c r="D31">
        <v>50</v>
      </c>
      <c r="E31">
        <v>1</v>
      </c>
      <c r="F31">
        <v>29</v>
      </c>
      <c r="G31">
        <v>50</v>
      </c>
      <c r="H31">
        <v>10</v>
      </c>
      <c r="I31">
        <v>16.393599999999999</v>
      </c>
      <c r="L31">
        <v>117</v>
      </c>
      <c r="M31">
        <v>3</v>
      </c>
      <c r="N31">
        <v>254</v>
      </c>
      <c r="O31">
        <v>117</v>
      </c>
      <c r="P31">
        <v>73</v>
      </c>
      <c r="Q31">
        <v>71.847899999999996</v>
      </c>
    </row>
    <row r="32" spans="4:17" x14ac:dyDescent="0.3">
      <c r="D32">
        <v>52</v>
      </c>
      <c r="E32">
        <v>1</v>
      </c>
      <c r="F32">
        <v>30</v>
      </c>
      <c r="G32">
        <v>52</v>
      </c>
      <c r="H32">
        <v>14</v>
      </c>
      <c r="I32">
        <v>16.589390000000002</v>
      </c>
      <c r="L32">
        <v>121</v>
      </c>
      <c r="M32">
        <v>3</v>
      </c>
      <c r="N32">
        <v>255</v>
      </c>
      <c r="O32">
        <v>121</v>
      </c>
      <c r="P32">
        <v>37</v>
      </c>
      <c r="Q32">
        <v>40.57582</v>
      </c>
    </row>
    <row r="33" spans="4:17" x14ac:dyDescent="0.3">
      <c r="D33">
        <v>53</v>
      </c>
      <c r="E33">
        <v>1</v>
      </c>
      <c r="F33">
        <v>31</v>
      </c>
      <c r="G33">
        <v>53</v>
      </c>
      <c r="H33">
        <v>51</v>
      </c>
      <c r="I33">
        <v>69.935919999999996</v>
      </c>
      <c r="L33">
        <v>131</v>
      </c>
      <c r="M33">
        <v>3</v>
      </c>
      <c r="N33">
        <v>256</v>
      </c>
      <c r="O33">
        <v>131</v>
      </c>
      <c r="P33">
        <v>42</v>
      </c>
      <c r="Q33">
        <v>35.325409999999998</v>
      </c>
    </row>
    <row r="34" spans="4:17" x14ac:dyDescent="0.3">
      <c r="D34">
        <v>55</v>
      </c>
      <c r="E34">
        <v>1</v>
      </c>
      <c r="F34">
        <v>32</v>
      </c>
      <c r="G34">
        <v>55</v>
      </c>
      <c r="H34">
        <v>8</v>
      </c>
      <c r="I34">
        <v>20.548839999999998</v>
      </c>
      <c r="L34">
        <v>135</v>
      </c>
      <c r="M34">
        <v>3</v>
      </c>
      <c r="N34">
        <v>257</v>
      </c>
      <c r="O34">
        <v>135</v>
      </c>
      <c r="P34">
        <v>37</v>
      </c>
      <c r="Q34">
        <v>36.395989999999998</v>
      </c>
    </row>
    <row r="35" spans="4:17" x14ac:dyDescent="0.3">
      <c r="D35">
        <v>56</v>
      </c>
      <c r="E35">
        <v>1</v>
      </c>
      <c r="F35">
        <v>33</v>
      </c>
      <c r="G35">
        <v>56</v>
      </c>
      <c r="H35">
        <v>44</v>
      </c>
      <c r="I35">
        <v>46.333030000000001</v>
      </c>
      <c r="L35">
        <v>139</v>
      </c>
      <c r="M35">
        <v>3</v>
      </c>
      <c r="N35">
        <v>258</v>
      </c>
      <c r="O35">
        <v>139</v>
      </c>
      <c r="P35">
        <v>29</v>
      </c>
      <c r="Q35">
        <v>34.175190000000001</v>
      </c>
    </row>
    <row r="36" spans="4:17" x14ac:dyDescent="0.3">
      <c r="D36">
        <v>57</v>
      </c>
      <c r="E36">
        <v>1</v>
      </c>
      <c r="F36">
        <v>34</v>
      </c>
      <c r="G36">
        <v>57</v>
      </c>
      <c r="H36">
        <v>45</v>
      </c>
      <c r="I36">
        <v>40.92174</v>
      </c>
      <c r="L36">
        <v>141</v>
      </c>
      <c r="M36">
        <v>3</v>
      </c>
      <c r="N36">
        <v>259</v>
      </c>
      <c r="O36">
        <v>141</v>
      </c>
      <c r="P36">
        <v>5</v>
      </c>
      <c r="Q36">
        <v>13.07945</v>
      </c>
    </row>
    <row r="37" spans="4:17" x14ac:dyDescent="0.3">
      <c r="D37">
        <v>58</v>
      </c>
      <c r="E37">
        <v>1</v>
      </c>
      <c r="F37">
        <v>35</v>
      </c>
      <c r="G37">
        <v>58</v>
      </c>
      <c r="H37">
        <v>13</v>
      </c>
      <c r="I37">
        <v>12.83888</v>
      </c>
      <c r="L37">
        <v>142</v>
      </c>
      <c r="M37">
        <v>3</v>
      </c>
      <c r="N37">
        <v>260</v>
      </c>
      <c r="O37">
        <v>142</v>
      </c>
      <c r="P37">
        <v>5</v>
      </c>
      <c r="Q37">
        <v>7.2081499999999998</v>
      </c>
    </row>
    <row r="38" spans="4:17" x14ac:dyDescent="0.3">
      <c r="D38">
        <v>59</v>
      </c>
      <c r="E38">
        <v>1</v>
      </c>
      <c r="F38">
        <v>36</v>
      </c>
      <c r="G38">
        <v>59</v>
      </c>
      <c r="H38">
        <v>239</v>
      </c>
      <c r="I38">
        <v>238.30222000000001</v>
      </c>
      <c r="L38">
        <v>163</v>
      </c>
      <c r="M38">
        <v>3</v>
      </c>
      <c r="N38">
        <v>261</v>
      </c>
      <c r="O38">
        <v>163</v>
      </c>
      <c r="P38">
        <v>39</v>
      </c>
      <c r="Q38">
        <v>43.655549999999998</v>
      </c>
    </row>
    <row r="39" spans="4:17" x14ac:dyDescent="0.3">
      <c r="D39">
        <v>60</v>
      </c>
      <c r="E39">
        <v>1</v>
      </c>
      <c r="F39">
        <v>37</v>
      </c>
      <c r="G39">
        <v>60</v>
      </c>
      <c r="H39">
        <v>80</v>
      </c>
      <c r="I39">
        <v>83.197900000000004</v>
      </c>
      <c r="L39">
        <v>170</v>
      </c>
      <c r="M39">
        <v>3</v>
      </c>
      <c r="N39">
        <v>262</v>
      </c>
      <c r="O39">
        <v>170</v>
      </c>
      <c r="P39">
        <v>13</v>
      </c>
      <c r="Q39">
        <v>3.1459100000000002</v>
      </c>
    </row>
    <row r="40" spans="4:17" x14ac:dyDescent="0.3">
      <c r="D40">
        <v>63</v>
      </c>
      <c r="E40">
        <v>1</v>
      </c>
      <c r="F40">
        <v>38</v>
      </c>
      <c r="G40">
        <v>63</v>
      </c>
      <c r="H40">
        <v>37</v>
      </c>
      <c r="I40">
        <v>24.24635</v>
      </c>
      <c r="L40">
        <v>174</v>
      </c>
      <c r="M40">
        <v>3</v>
      </c>
      <c r="N40">
        <v>263</v>
      </c>
      <c r="O40">
        <v>174</v>
      </c>
      <c r="P40">
        <v>23</v>
      </c>
      <c r="Q40">
        <v>52.81908</v>
      </c>
    </row>
    <row r="41" spans="4:17" x14ac:dyDescent="0.3">
      <c r="D41">
        <v>64</v>
      </c>
      <c r="E41">
        <v>1</v>
      </c>
      <c r="F41">
        <v>39</v>
      </c>
      <c r="G41">
        <v>64</v>
      </c>
      <c r="H41">
        <v>37</v>
      </c>
      <c r="I41">
        <v>27.587</v>
      </c>
      <c r="L41">
        <v>178</v>
      </c>
      <c r="M41">
        <v>3</v>
      </c>
      <c r="N41">
        <v>264</v>
      </c>
      <c r="O41">
        <v>178</v>
      </c>
      <c r="P41">
        <v>97</v>
      </c>
      <c r="Q41">
        <v>115.49368</v>
      </c>
    </row>
    <row r="42" spans="4:17" x14ac:dyDescent="0.3">
      <c r="D42">
        <v>65</v>
      </c>
      <c r="E42">
        <v>1</v>
      </c>
      <c r="F42">
        <v>40</v>
      </c>
      <c r="G42">
        <v>65</v>
      </c>
      <c r="H42">
        <v>8</v>
      </c>
      <c r="I42">
        <v>14.964499999999999</v>
      </c>
      <c r="L42">
        <v>185</v>
      </c>
      <c r="M42">
        <v>3</v>
      </c>
      <c r="N42">
        <v>265</v>
      </c>
      <c r="O42">
        <v>185</v>
      </c>
      <c r="P42">
        <v>21</v>
      </c>
      <c r="Q42">
        <v>10.78729</v>
      </c>
    </row>
    <row r="43" spans="4:17" x14ac:dyDescent="0.3">
      <c r="D43">
        <v>67</v>
      </c>
      <c r="E43">
        <v>1</v>
      </c>
      <c r="F43">
        <v>41</v>
      </c>
      <c r="G43">
        <v>67</v>
      </c>
      <c r="H43">
        <v>192</v>
      </c>
      <c r="I43">
        <v>185.91267999999999</v>
      </c>
      <c r="L43">
        <v>189</v>
      </c>
      <c r="M43">
        <v>3</v>
      </c>
      <c r="N43">
        <v>266</v>
      </c>
      <c r="O43">
        <v>189</v>
      </c>
      <c r="P43">
        <v>2</v>
      </c>
      <c r="Q43">
        <v>11.376760000000001</v>
      </c>
    </row>
    <row r="44" spans="4:17" x14ac:dyDescent="0.3">
      <c r="D44">
        <v>70</v>
      </c>
      <c r="E44">
        <v>1</v>
      </c>
      <c r="F44">
        <v>42</v>
      </c>
      <c r="G44">
        <v>70</v>
      </c>
      <c r="H44">
        <v>46</v>
      </c>
      <c r="I44">
        <v>49.169499999999999</v>
      </c>
      <c r="L44">
        <v>193</v>
      </c>
      <c r="M44">
        <v>3</v>
      </c>
      <c r="N44">
        <v>267</v>
      </c>
      <c r="O44">
        <v>193</v>
      </c>
      <c r="P44">
        <v>50</v>
      </c>
      <c r="Q44">
        <v>107.95072</v>
      </c>
    </row>
    <row r="45" spans="4:17" x14ac:dyDescent="0.3">
      <c r="D45">
        <v>74</v>
      </c>
      <c r="E45">
        <v>1</v>
      </c>
      <c r="F45">
        <v>43</v>
      </c>
      <c r="G45">
        <v>74</v>
      </c>
      <c r="H45">
        <v>72</v>
      </c>
      <c r="I45">
        <v>65.728489999999994</v>
      </c>
      <c r="L45">
        <v>198</v>
      </c>
      <c r="M45">
        <v>3</v>
      </c>
      <c r="N45">
        <v>268</v>
      </c>
      <c r="O45">
        <v>198</v>
      </c>
      <c r="P45">
        <v>100</v>
      </c>
      <c r="Q45">
        <v>154.92111</v>
      </c>
    </row>
    <row r="46" spans="4:17" x14ac:dyDescent="0.3">
      <c r="D46">
        <v>78</v>
      </c>
      <c r="E46">
        <v>1</v>
      </c>
      <c r="F46">
        <v>44</v>
      </c>
      <c r="G46">
        <v>78</v>
      </c>
      <c r="H46">
        <v>48</v>
      </c>
      <c r="I46">
        <v>67.485569999999996</v>
      </c>
      <c r="L46">
        <v>199</v>
      </c>
      <c r="M46">
        <v>3</v>
      </c>
      <c r="N46">
        <v>269</v>
      </c>
      <c r="O46">
        <v>199</v>
      </c>
      <c r="P46">
        <v>40</v>
      </c>
      <c r="Q46">
        <v>44.161839999999998</v>
      </c>
    </row>
    <row r="47" spans="4:17" x14ac:dyDescent="0.3">
      <c r="D47">
        <v>79</v>
      </c>
      <c r="E47">
        <v>1</v>
      </c>
      <c r="F47">
        <v>45</v>
      </c>
      <c r="G47">
        <v>79</v>
      </c>
      <c r="H47">
        <v>12</v>
      </c>
      <c r="I47">
        <v>22.81709</v>
      </c>
      <c r="L47">
        <v>203</v>
      </c>
      <c r="M47">
        <v>3</v>
      </c>
      <c r="N47">
        <v>270</v>
      </c>
      <c r="O47">
        <v>203</v>
      </c>
      <c r="P47">
        <v>3</v>
      </c>
      <c r="Q47">
        <v>6.9062400000000004</v>
      </c>
    </row>
    <row r="48" spans="4:17" x14ac:dyDescent="0.3">
      <c r="D48">
        <v>82</v>
      </c>
      <c r="E48">
        <v>1</v>
      </c>
      <c r="F48">
        <v>46</v>
      </c>
      <c r="G48">
        <v>82</v>
      </c>
      <c r="H48">
        <v>209</v>
      </c>
      <c r="I48">
        <v>214.05365</v>
      </c>
      <c r="L48">
        <v>211</v>
      </c>
      <c r="M48">
        <v>3</v>
      </c>
      <c r="N48">
        <v>271</v>
      </c>
      <c r="O48">
        <v>211</v>
      </c>
      <c r="P48">
        <v>51</v>
      </c>
      <c r="Q48">
        <v>29.29599</v>
      </c>
    </row>
    <row r="49" spans="4:17" x14ac:dyDescent="0.3">
      <c r="D49">
        <v>83</v>
      </c>
      <c r="E49">
        <v>1</v>
      </c>
      <c r="F49">
        <v>47</v>
      </c>
      <c r="G49">
        <v>83</v>
      </c>
      <c r="H49">
        <v>203</v>
      </c>
      <c r="I49">
        <v>219.35776000000001</v>
      </c>
      <c r="L49">
        <v>212</v>
      </c>
      <c r="M49">
        <v>3</v>
      </c>
      <c r="N49">
        <v>272</v>
      </c>
      <c r="O49">
        <v>212</v>
      </c>
      <c r="P49">
        <v>52</v>
      </c>
      <c r="Q49">
        <v>29.115390000000001</v>
      </c>
    </row>
    <row r="50" spans="4:17" x14ac:dyDescent="0.3">
      <c r="D50">
        <v>84</v>
      </c>
      <c r="E50">
        <v>1</v>
      </c>
      <c r="F50">
        <v>48</v>
      </c>
      <c r="G50">
        <v>84</v>
      </c>
      <c r="H50">
        <v>65</v>
      </c>
      <c r="I50">
        <v>85.213509999999999</v>
      </c>
      <c r="L50">
        <v>217</v>
      </c>
      <c r="M50">
        <v>3</v>
      </c>
      <c r="N50">
        <v>273</v>
      </c>
      <c r="O50">
        <v>217</v>
      </c>
      <c r="P50">
        <v>65</v>
      </c>
      <c r="Q50">
        <v>61.663539999999998</v>
      </c>
    </row>
    <row r="51" spans="4:17" x14ac:dyDescent="0.3">
      <c r="D51">
        <v>85</v>
      </c>
      <c r="E51">
        <v>1</v>
      </c>
      <c r="F51">
        <v>49</v>
      </c>
      <c r="G51">
        <v>85</v>
      </c>
      <c r="H51">
        <v>71</v>
      </c>
      <c r="I51">
        <v>81.610680000000002</v>
      </c>
      <c r="L51">
        <v>225</v>
      </c>
      <c r="M51">
        <v>3</v>
      </c>
      <c r="N51">
        <v>274</v>
      </c>
      <c r="O51">
        <v>225</v>
      </c>
      <c r="P51">
        <v>20</v>
      </c>
      <c r="Q51">
        <v>23.093070000000001</v>
      </c>
    </row>
    <row r="52" spans="4:17" x14ac:dyDescent="0.3">
      <c r="D52">
        <v>86</v>
      </c>
      <c r="E52">
        <v>1</v>
      </c>
      <c r="F52">
        <v>50</v>
      </c>
      <c r="G52">
        <v>86</v>
      </c>
      <c r="H52">
        <v>34</v>
      </c>
      <c r="I52">
        <v>37.245890000000003</v>
      </c>
      <c r="L52">
        <v>233</v>
      </c>
      <c r="M52">
        <v>3</v>
      </c>
      <c r="N52">
        <v>275</v>
      </c>
      <c r="O52">
        <v>233</v>
      </c>
      <c r="P52">
        <v>18</v>
      </c>
      <c r="Q52">
        <v>35.504449999999999</v>
      </c>
    </row>
    <row r="53" spans="4:17" x14ac:dyDescent="0.3">
      <c r="D53">
        <v>89</v>
      </c>
      <c r="E53">
        <v>1</v>
      </c>
      <c r="F53">
        <v>51</v>
      </c>
      <c r="G53">
        <v>89</v>
      </c>
      <c r="H53">
        <v>10</v>
      </c>
      <c r="I53">
        <v>10.01417</v>
      </c>
      <c r="L53">
        <v>241</v>
      </c>
      <c r="M53">
        <v>3</v>
      </c>
      <c r="N53">
        <v>276</v>
      </c>
      <c r="O53">
        <v>241</v>
      </c>
      <c r="P53">
        <v>19</v>
      </c>
      <c r="Q53">
        <v>10.188890000000001</v>
      </c>
    </row>
    <row r="54" spans="4:17" x14ac:dyDescent="0.3">
      <c r="D54">
        <v>93</v>
      </c>
      <c r="E54">
        <v>1</v>
      </c>
      <c r="F54">
        <v>52</v>
      </c>
      <c r="G54">
        <v>93</v>
      </c>
      <c r="H54">
        <v>38</v>
      </c>
      <c r="I54">
        <v>67.411709999999999</v>
      </c>
      <c r="L54">
        <v>249</v>
      </c>
      <c r="M54">
        <v>3</v>
      </c>
      <c r="N54">
        <v>277</v>
      </c>
      <c r="O54">
        <v>249</v>
      </c>
      <c r="P54">
        <v>75</v>
      </c>
      <c r="Q54">
        <v>40.61504</v>
      </c>
    </row>
    <row r="55" spans="4:17" x14ac:dyDescent="0.3">
      <c r="D55">
        <v>94</v>
      </c>
      <c r="E55">
        <v>1</v>
      </c>
      <c r="F55">
        <v>53</v>
      </c>
      <c r="G55">
        <v>94</v>
      </c>
      <c r="H55">
        <v>142</v>
      </c>
      <c r="I55">
        <v>156.02695</v>
      </c>
      <c r="L55">
        <v>252</v>
      </c>
      <c r="M55">
        <v>3</v>
      </c>
      <c r="N55">
        <v>278</v>
      </c>
      <c r="O55">
        <v>252</v>
      </c>
      <c r="P55">
        <v>21</v>
      </c>
      <c r="Q55">
        <v>35.565280000000001</v>
      </c>
    </row>
    <row r="56" spans="4:17" x14ac:dyDescent="0.3">
      <c r="D56">
        <v>95</v>
      </c>
      <c r="E56">
        <v>1</v>
      </c>
      <c r="F56">
        <v>54</v>
      </c>
      <c r="G56">
        <v>95</v>
      </c>
      <c r="H56">
        <v>46</v>
      </c>
      <c r="I56">
        <v>65.482159999999993</v>
      </c>
      <c r="L56">
        <v>253</v>
      </c>
      <c r="M56">
        <v>3</v>
      </c>
      <c r="N56">
        <v>279</v>
      </c>
      <c r="O56">
        <v>253</v>
      </c>
      <c r="P56">
        <v>1</v>
      </c>
      <c r="Q56">
        <v>4.8979999999999997</v>
      </c>
    </row>
    <row r="57" spans="4:17" x14ac:dyDescent="0.3">
      <c r="D57">
        <v>97</v>
      </c>
      <c r="E57">
        <v>1</v>
      </c>
      <c r="F57">
        <v>55</v>
      </c>
      <c r="G57">
        <v>97</v>
      </c>
      <c r="H57">
        <v>196</v>
      </c>
      <c r="I57">
        <v>201.74961999999999</v>
      </c>
      <c r="L57">
        <v>257</v>
      </c>
      <c r="M57">
        <v>3</v>
      </c>
      <c r="N57">
        <v>280</v>
      </c>
      <c r="O57">
        <v>257</v>
      </c>
      <c r="P57">
        <v>24</v>
      </c>
      <c r="Q57">
        <v>17.525780000000001</v>
      </c>
    </row>
    <row r="58" spans="4:17" x14ac:dyDescent="0.3">
      <c r="D58">
        <v>98</v>
      </c>
      <c r="E58">
        <v>1</v>
      </c>
      <c r="F58">
        <v>56</v>
      </c>
      <c r="G58">
        <v>98</v>
      </c>
      <c r="H58">
        <v>202</v>
      </c>
      <c r="I58">
        <v>215.91651999999999</v>
      </c>
      <c r="L58">
        <v>264</v>
      </c>
      <c r="M58">
        <v>3</v>
      </c>
      <c r="N58">
        <v>281</v>
      </c>
      <c r="O58">
        <v>264</v>
      </c>
      <c r="P58">
        <v>4</v>
      </c>
      <c r="Q58">
        <v>8.5913799999999991</v>
      </c>
    </row>
    <row r="59" spans="4:17" x14ac:dyDescent="0.3">
      <c r="D59">
        <v>100</v>
      </c>
      <c r="E59">
        <v>1</v>
      </c>
      <c r="F59">
        <v>57</v>
      </c>
      <c r="G59">
        <v>100</v>
      </c>
      <c r="H59">
        <v>172</v>
      </c>
      <c r="I59">
        <v>177.64451</v>
      </c>
      <c r="L59">
        <v>270</v>
      </c>
      <c r="M59">
        <v>3</v>
      </c>
      <c r="N59">
        <v>282</v>
      </c>
      <c r="O59">
        <v>270</v>
      </c>
      <c r="P59">
        <v>10</v>
      </c>
      <c r="Q59">
        <v>67.837000000000003</v>
      </c>
    </row>
    <row r="60" spans="4:17" x14ac:dyDescent="0.3">
      <c r="D60">
        <v>101</v>
      </c>
      <c r="E60">
        <v>1</v>
      </c>
      <c r="F60">
        <v>58</v>
      </c>
      <c r="G60">
        <v>101</v>
      </c>
      <c r="H60">
        <v>25</v>
      </c>
      <c r="I60">
        <v>52.013039999999997</v>
      </c>
      <c r="L60">
        <v>271</v>
      </c>
      <c r="M60">
        <v>3</v>
      </c>
      <c r="N60">
        <v>283</v>
      </c>
      <c r="O60">
        <v>271</v>
      </c>
      <c r="P60">
        <v>34</v>
      </c>
      <c r="Q60">
        <v>76.715059999999994</v>
      </c>
    </row>
    <row r="61" spans="4:17" x14ac:dyDescent="0.3">
      <c r="D61">
        <v>108</v>
      </c>
      <c r="E61">
        <v>1</v>
      </c>
      <c r="F61">
        <v>59</v>
      </c>
      <c r="G61">
        <v>108</v>
      </c>
      <c r="H61">
        <v>1</v>
      </c>
      <c r="I61">
        <v>5.4479600000000001</v>
      </c>
      <c r="L61">
        <v>272</v>
      </c>
      <c r="M61">
        <v>3</v>
      </c>
      <c r="N61">
        <v>284</v>
      </c>
      <c r="O61">
        <v>272</v>
      </c>
      <c r="P61">
        <v>36</v>
      </c>
      <c r="Q61">
        <v>103.58844000000001</v>
      </c>
    </row>
    <row r="62" spans="4:17" x14ac:dyDescent="0.3">
      <c r="D62">
        <v>111</v>
      </c>
      <c r="E62">
        <v>1</v>
      </c>
      <c r="F62">
        <v>60</v>
      </c>
      <c r="G62">
        <v>111</v>
      </c>
      <c r="H62">
        <v>12</v>
      </c>
      <c r="I62">
        <v>7.7313999999999998</v>
      </c>
      <c r="L62">
        <v>276</v>
      </c>
      <c r="M62">
        <v>3</v>
      </c>
      <c r="N62">
        <v>285</v>
      </c>
      <c r="O62">
        <v>276</v>
      </c>
      <c r="P62">
        <v>2</v>
      </c>
      <c r="Q62">
        <v>5.4385700000000003</v>
      </c>
    </row>
    <row r="63" spans="4:17" x14ac:dyDescent="0.3">
      <c r="D63">
        <v>112</v>
      </c>
      <c r="E63">
        <v>1</v>
      </c>
      <c r="F63">
        <v>61</v>
      </c>
      <c r="G63">
        <v>112</v>
      </c>
      <c r="H63">
        <v>35</v>
      </c>
      <c r="I63">
        <v>40.73386</v>
      </c>
      <c r="L63">
        <v>279</v>
      </c>
      <c r="M63">
        <v>3</v>
      </c>
      <c r="N63">
        <v>286</v>
      </c>
      <c r="O63">
        <v>279</v>
      </c>
      <c r="P63">
        <v>133</v>
      </c>
      <c r="Q63">
        <v>170.13292000000001</v>
      </c>
    </row>
    <row r="64" spans="4:17" x14ac:dyDescent="0.3">
      <c r="D64">
        <v>114</v>
      </c>
      <c r="E64">
        <v>1</v>
      </c>
      <c r="F64">
        <v>62</v>
      </c>
      <c r="G64">
        <v>114</v>
      </c>
      <c r="H64">
        <v>63</v>
      </c>
      <c r="I64">
        <v>77.665030000000002</v>
      </c>
      <c r="L64">
        <v>281</v>
      </c>
      <c r="M64">
        <v>3</v>
      </c>
      <c r="N64">
        <v>287</v>
      </c>
      <c r="O64">
        <v>281</v>
      </c>
      <c r="P64">
        <v>44</v>
      </c>
      <c r="Q64">
        <v>24.731159999999999</v>
      </c>
    </row>
    <row r="65" spans="4:17" x14ac:dyDescent="0.3">
      <c r="D65">
        <v>115</v>
      </c>
      <c r="E65">
        <v>1</v>
      </c>
      <c r="F65">
        <v>63</v>
      </c>
      <c r="G65">
        <v>115</v>
      </c>
      <c r="H65">
        <v>183</v>
      </c>
      <c r="I65">
        <v>192.25033999999999</v>
      </c>
      <c r="L65">
        <v>282</v>
      </c>
      <c r="M65">
        <v>3</v>
      </c>
      <c r="N65">
        <v>288</v>
      </c>
      <c r="O65">
        <v>282</v>
      </c>
      <c r="P65">
        <v>44</v>
      </c>
      <c r="Q65">
        <v>21.081630000000001</v>
      </c>
    </row>
    <row r="66" spans="4:17" x14ac:dyDescent="0.3">
      <c r="D66">
        <v>118</v>
      </c>
      <c r="E66">
        <v>1</v>
      </c>
      <c r="F66">
        <v>64</v>
      </c>
      <c r="G66">
        <v>118</v>
      </c>
      <c r="H66">
        <v>18</v>
      </c>
      <c r="I66">
        <v>18.979330000000001</v>
      </c>
      <c r="L66">
        <v>283</v>
      </c>
      <c r="M66">
        <v>3</v>
      </c>
      <c r="N66">
        <v>289</v>
      </c>
      <c r="O66">
        <v>283</v>
      </c>
      <c r="P66">
        <v>27</v>
      </c>
      <c r="Q66">
        <v>5.7303300000000004</v>
      </c>
    </row>
    <row r="67" spans="4:17" x14ac:dyDescent="0.3">
      <c r="D67">
        <v>119</v>
      </c>
      <c r="E67">
        <v>1</v>
      </c>
      <c r="F67">
        <v>65</v>
      </c>
      <c r="G67">
        <v>119</v>
      </c>
      <c r="H67">
        <v>16</v>
      </c>
      <c r="I67">
        <v>21.499690000000001</v>
      </c>
      <c r="L67">
        <v>287</v>
      </c>
      <c r="M67">
        <v>3</v>
      </c>
      <c r="N67">
        <v>290</v>
      </c>
      <c r="O67">
        <v>287</v>
      </c>
      <c r="P67">
        <v>46</v>
      </c>
      <c r="Q67">
        <v>65.968900000000005</v>
      </c>
    </row>
    <row r="68" spans="4:17" x14ac:dyDescent="0.3">
      <c r="D68">
        <v>122</v>
      </c>
      <c r="E68">
        <v>1</v>
      </c>
      <c r="F68">
        <v>66</v>
      </c>
      <c r="G68">
        <v>122</v>
      </c>
      <c r="H68">
        <v>12</v>
      </c>
      <c r="I68">
        <v>13.186909999999999</v>
      </c>
      <c r="L68">
        <v>291</v>
      </c>
      <c r="M68">
        <v>3</v>
      </c>
      <c r="N68">
        <v>291</v>
      </c>
      <c r="O68">
        <v>291</v>
      </c>
      <c r="P68">
        <v>15</v>
      </c>
      <c r="Q68">
        <v>11.502230000000001</v>
      </c>
    </row>
    <row r="69" spans="4:17" x14ac:dyDescent="0.3">
      <c r="D69">
        <v>123</v>
      </c>
      <c r="E69">
        <v>1</v>
      </c>
      <c r="F69">
        <v>67</v>
      </c>
      <c r="G69">
        <v>123</v>
      </c>
      <c r="H69">
        <v>5</v>
      </c>
      <c r="I69">
        <v>6.5230699999999997</v>
      </c>
      <c r="L69">
        <v>295</v>
      </c>
      <c r="M69">
        <v>3</v>
      </c>
      <c r="N69">
        <v>292</v>
      </c>
      <c r="O69">
        <v>295</v>
      </c>
      <c r="P69">
        <v>7</v>
      </c>
      <c r="Q69">
        <v>37.020229999999998</v>
      </c>
    </row>
    <row r="70" spans="4:17" x14ac:dyDescent="0.3">
      <c r="D70">
        <v>125</v>
      </c>
      <c r="E70">
        <v>1</v>
      </c>
      <c r="F70">
        <v>68</v>
      </c>
      <c r="G70">
        <v>125</v>
      </c>
      <c r="H70">
        <v>15</v>
      </c>
      <c r="I70">
        <v>13.086550000000001</v>
      </c>
      <c r="L70">
        <v>299</v>
      </c>
      <c r="M70">
        <v>3</v>
      </c>
      <c r="N70">
        <v>293</v>
      </c>
      <c r="O70">
        <v>299</v>
      </c>
      <c r="P70">
        <v>22</v>
      </c>
      <c r="Q70">
        <v>11.435739999999999</v>
      </c>
    </row>
    <row r="71" spans="4:17" x14ac:dyDescent="0.3">
      <c r="D71">
        <v>126</v>
      </c>
      <c r="E71">
        <v>1</v>
      </c>
      <c r="F71">
        <v>69</v>
      </c>
      <c r="G71">
        <v>126</v>
      </c>
      <c r="H71">
        <v>46</v>
      </c>
      <c r="I71">
        <v>43.925049999999999</v>
      </c>
      <c r="L71">
        <v>310</v>
      </c>
      <c r="M71">
        <v>3</v>
      </c>
      <c r="N71">
        <v>294</v>
      </c>
      <c r="O71">
        <v>310</v>
      </c>
      <c r="P71">
        <v>13</v>
      </c>
      <c r="Q71">
        <v>5.6747699999999996</v>
      </c>
    </row>
    <row r="72" spans="4:17" x14ac:dyDescent="0.3">
      <c r="D72">
        <v>127</v>
      </c>
      <c r="E72">
        <v>1</v>
      </c>
      <c r="F72">
        <v>70</v>
      </c>
      <c r="G72">
        <v>127</v>
      </c>
      <c r="H72">
        <v>41</v>
      </c>
      <c r="I72">
        <v>38.6098</v>
      </c>
      <c r="L72">
        <v>313</v>
      </c>
      <c r="M72">
        <v>3</v>
      </c>
      <c r="N72">
        <v>295</v>
      </c>
      <c r="O72">
        <v>313</v>
      </c>
      <c r="P72">
        <v>11</v>
      </c>
      <c r="Q72">
        <v>18.50732</v>
      </c>
    </row>
    <row r="73" spans="4:17" x14ac:dyDescent="0.3">
      <c r="D73">
        <v>128</v>
      </c>
      <c r="E73">
        <v>1</v>
      </c>
      <c r="F73">
        <v>71</v>
      </c>
      <c r="G73">
        <v>128</v>
      </c>
      <c r="H73">
        <v>17</v>
      </c>
      <c r="I73">
        <v>11.58797</v>
      </c>
      <c r="L73">
        <v>314</v>
      </c>
      <c r="M73">
        <v>3</v>
      </c>
      <c r="N73">
        <v>296</v>
      </c>
      <c r="O73">
        <v>314</v>
      </c>
      <c r="P73">
        <v>29</v>
      </c>
      <c r="Q73">
        <v>26.646629999999998</v>
      </c>
    </row>
    <row r="74" spans="4:17" x14ac:dyDescent="0.3">
      <c r="D74">
        <v>129</v>
      </c>
      <c r="E74">
        <v>1</v>
      </c>
      <c r="F74">
        <v>72</v>
      </c>
      <c r="G74">
        <v>129</v>
      </c>
      <c r="H74">
        <v>42</v>
      </c>
      <c r="I74">
        <v>39.816960000000002</v>
      </c>
      <c r="L74">
        <v>316</v>
      </c>
      <c r="M74">
        <v>3</v>
      </c>
      <c r="N74">
        <v>297</v>
      </c>
      <c r="O74">
        <v>316</v>
      </c>
      <c r="P74">
        <v>20</v>
      </c>
      <c r="Q74">
        <v>16.262360000000001</v>
      </c>
    </row>
    <row r="75" spans="4:17" x14ac:dyDescent="0.3">
      <c r="D75">
        <v>132</v>
      </c>
      <c r="E75">
        <v>1</v>
      </c>
      <c r="F75">
        <v>73</v>
      </c>
      <c r="G75">
        <v>132</v>
      </c>
      <c r="H75">
        <v>37</v>
      </c>
      <c r="I75">
        <v>33.827509999999997</v>
      </c>
      <c r="L75">
        <v>320</v>
      </c>
      <c r="M75">
        <v>3</v>
      </c>
      <c r="N75">
        <v>298</v>
      </c>
      <c r="O75">
        <v>320</v>
      </c>
      <c r="P75">
        <v>173</v>
      </c>
      <c r="Q75">
        <v>192.74574000000001</v>
      </c>
    </row>
    <row r="76" spans="4:17" x14ac:dyDescent="0.3">
      <c r="D76">
        <v>136</v>
      </c>
      <c r="E76">
        <v>1</v>
      </c>
      <c r="F76">
        <v>74</v>
      </c>
      <c r="G76">
        <v>136</v>
      </c>
      <c r="H76">
        <v>12</v>
      </c>
      <c r="I76">
        <v>14.787570000000001</v>
      </c>
      <c r="L76">
        <v>326</v>
      </c>
      <c r="M76">
        <v>3</v>
      </c>
      <c r="N76">
        <v>299</v>
      </c>
      <c r="O76">
        <v>326</v>
      </c>
      <c r="P76">
        <v>201</v>
      </c>
      <c r="Q76">
        <v>153.38849999999999</v>
      </c>
    </row>
    <row r="77" spans="4:17" x14ac:dyDescent="0.3">
      <c r="D77">
        <v>137</v>
      </c>
      <c r="E77">
        <v>1</v>
      </c>
      <c r="F77">
        <v>75</v>
      </c>
      <c r="G77">
        <v>137</v>
      </c>
      <c r="H77">
        <v>29</v>
      </c>
      <c r="I77">
        <v>28.400849999999998</v>
      </c>
      <c r="L77">
        <v>329</v>
      </c>
      <c r="M77">
        <v>3</v>
      </c>
      <c r="N77">
        <v>300</v>
      </c>
      <c r="O77">
        <v>329</v>
      </c>
      <c r="P77">
        <v>32</v>
      </c>
      <c r="Q77">
        <v>18.317609999999998</v>
      </c>
    </row>
    <row r="78" spans="4:17" x14ac:dyDescent="0.3">
      <c r="D78">
        <v>140</v>
      </c>
      <c r="E78">
        <v>1</v>
      </c>
      <c r="F78">
        <v>76</v>
      </c>
      <c r="G78">
        <v>140</v>
      </c>
      <c r="H78">
        <v>5</v>
      </c>
      <c r="I78">
        <v>14.18047</v>
      </c>
      <c r="L78">
        <v>338</v>
      </c>
      <c r="M78">
        <v>3</v>
      </c>
      <c r="N78">
        <v>301</v>
      </c>
      <c r="O78">
        <v>338</v>
      </c>
      <c r="P78">
        <v>69</v>
      </c>
      <c r="Q78">
        <v>16.165579999999999</v>
      </c>
    </row>
    <row r="79" spans="4:17" x14ac:dyDescent="0.3">
      <c r="D79">
        <v>144</v>
      </c>
      <c r="E79">
        <v>1</v>
      </c>
      <c r="F79">
        <v>77</v>
      </c>
      <c r="G79">
        <v>144</v>
      </c>
      <c r="H79">
        <v>62</v>
      </c>
      <c r="I79">
        <v>61.255710000000001</v>
      </c>
      <c r="L79">
        <v>339</v>
      </c>
      <c r="M79">
        <v>3</v>
      </c>
      <c r="N79">
        <v>302</v>
      </c>
      <c r="O79">
        <v>339</v>
      </c>
      <c r="P79">
        <v>77</v>
      </c>
      <c r="Q79">
        <v>91.960809999999995</v>
      </c>
    </row>
    <row r="80" spans="4:17" x14ac:dyDescent="0.3">
      <c r="D80">
        <v>145</v>
      </c>
      <c r="E80">
        <v>1</v>
      </c>
      <c r="F80">
        <v>78</v>
      </c>
      <c r="G80">
        <v>145</v>
      </c>
      <c r="H80">
        <v>165</v>
      </c>
      <c r="I80">
        <v>166.88058000000001</v>
      </c>
      <c r="L80">
        <v>347</v>
      </c>
      <c r="M80">
        <v>3</v>
      </c>
      <c r="N80">
        <v>303</v>
      </c>
      <c r="O80">
        <v>347</v>
      </c>
      <c r="P80">
        <v>13</v>
      </c>
      <c r="Q80">
        <v>22.92436</v>
      </c>
    </row>
    <row r="81" spans="4:17" x14ac:dyDescent="0.3">
      <c r="D81">
        <v>148</v>
      </c>
      <c r="E81">
        <v>1</v>
      </c>
      <c r="F81">
        <v>79</v>
      </c>
      <c r="G81">
        <v>148</v>
      </c>
      <c r="H81">
        <v>13</v>
      </c>
      <c r="I81">
        <v>16.269189999999998</v>
      </c>
      <c r="L81">
        <v>350</v>
      </c>
      <c r="M81">
        <v>3</v>
      </c>
      <c r="N81">
        <v>304</v>
      </c>
      <c r="O81">
        <v>350</v>
      </c>
      <c r="P81">
        <v>6</v>
      </c>
      <c r="Q81">
        <v>15.86313</v>
      </c>
    </row>
    <row r="82" spans="4:17" x14ac:dyDescent="0.3">
      <c r="D82">
        <v>149</v>
      </c>
      <c r="E82">
        <v>1</v>
      </c>
      <c r="F82">
        <v>80</v>
      </c>
      <c r="G82">
        <v>149</v>
      </c>
      <c r="H82">
        <v>29</v>
      </c>
      <c r="I82">
        <v>29.965879999999999</v>
      </c>
      <c r="L82">
        <v>351</v>
      </c>
      <c r="M82">
        <v>3</v>
      </c>
      <c r="N82">
        <v>305</v>
      </c>
      <c r="O82">
        <v>351</v>
      </c>
      <c r="P82">
        <v>17</v>
      </c>
      <c r="Q82">
        <v>23.240960000000001</v>
      </c>
    </row>
    <row r="83" spans="4:17" x14ac:dyDescent="0.3">
      <c r="D83">
        <v>150</v>
      </c>
      <c r="E83">
        <v>1</v>
      </c>
      <c r="F83">
        <v>81</v>
      </c>
      <c r="G83">
        <v>150</v>
      </c>
      <c r="H83">
        <v>30</v>
      </c>
      <c r="I83">
        <v>38.270310000000002</v>
      </c>
      <c r="L83">
        <v>355</v>
      </c>
      <c r="M83">
        <v>3</v>
      </c>
      <c r="N83">
        <v>306</v>
      </c>
      <c r="O83">
        <v>355</v>
      </c>
      <c r="P83">
        <v>13</v>
      </c>
      <c r="Q83">
        <v>26.671330000000001</v>
      </c>
    </row>
    <row r="84" spans="4:17" x14ac:dyDescent="0.3">
      <c r="D84">
        <v>151</v>
      </c>
      <c r="E84">
        <v>1</v>
      </c>
      <c r="F84">
        <v>82</v>
      </c>
      <c r="G84">
        <v>151</v>
      </c>
      <c r="H84">
        <v>14</v>
      </c>
      <c r="I84">
        <v>13.6279</v>
      </c>
      <c r="L84">
        <v>359</v>
      </c>
      <c r="M84">
        <v>3</v>
      </c>
      <c r="N84">
        <v>307</v>
      </c>
      <c r="O84">
        <v>359</v>
      </c>
      <c r="P84">
        <v>87</v>
      </c>
      <c r="Q84">
        <v>101.83796</v>
      </c>
    </row>
    <row r="85" spans="4:17" x14ac:dyDescent="0.3">
      <c r="D85">
        <v>152</v>
      </c>
      <c r="E85">
        <v>1</v>
      </c>
      <c r="F85">
        <v>83</v>
      </c>
      <c r="G85">
        <v>152</v>
      </c>
      <c r="H85">
        <v>21</v>
      </c>
      <c r="I85">
        <v>29.881900000000002</v>
      </c>
      <c r="L85">
        <v>363</v>
      </c>
      <c r="M85">
        <v>3</v>
      </c>
      <c r="N85">
        <v>308</v>
      </c>
      <c r="O85">
        <v>363</v>
      </c>
      <c r="P85">
        <v>15</v>
      </c>
      <c r="Q85">
        <v>20.409759999999999</v>
      </c>
    </row>
    <row r="86" spans="4:17" x14ac:dyDescent="0.3">
      <c r="D86">
        <v>153</v>
      </c>
      <c r="E86">
        <v>1</v>
      </c>
      <c r="F86">
        <v>84</v>
      </c>
      <c r="G86">
        <v>153</v>
      </c>
      <c r="H86">
        <v>22</v>
      </c>
      <c r="I86">
        <v>26.465150000000001</v>
      </c>
      <c r="L86">
        <v>367</v>
      </c>
      <c r="M86">
        <v>3</v>
      </c>
      <c r="N86">
        <v>309</v>
      </c>
      <c r="O86">
        <v>367</v>
      </c>
      <c r="P86">
        <v>64</v>
      </c>
      <c r="Q86">
        <v>62.920699999999997</v>
      </c>
    </row>
    <row r="87" spans="4:17" x14ac:dyDescent="0.3">
      <c r="D87">
        <v>155</v>
      </c>
      <c r="E87">
        <v>1</v>
      </c>
      <c r="F87">
        <v>85</v>
      </c>
      <c r="G87">
        <v>155</v>
      </c>
      <c r="H87">
        <v>1</v>
      </c>
      <c r="I87">
        <v>0.47164</v>
      </c>
      <c r="L87">
        <v>369</v>
      </c>
      <c r="M87">
        <v>3</v>
      </c>
      <c r="N87">
        <v>310</v>
      </c>
      <c r="O87">
        <v>369</v>
      </c>
      <c r="P87">
        <v>17</v>
      </c>
      <c r="Q87">
        <v>13.856450000000001</v>
      </c>
    </row>
    <row r="88" spans="4:17" x14ac:dyDescent="0.3">
      <c r="D88">
        <v>156</v>
      </c>
      <c r="E88">
        <v>1</v>
      </c>
      <c r="F88">
        <v>86</v>
      </c>
      <c r="G88">
        <v>156</v>
      </c>
      <c r="H88">
        <v>222</v>
      </c>
      <c r="I88">
        <v>220.81777</v>
      </c>
      <c r="L88">
        <v>370</v>
      </c>
      <c r="M88">
        <v>3</v>
      </c>
      <c r="N88">
        <v>311</v>
      </c>
      <c r="O88">
        <v>370</v>
      </c>
      <c r="P88">
        <v>26</v>
      </c>
      <c r="Q88">
        <v>46.203589999999998</v>
      </c>
    </row>
    <row r="89" spans="4:17" x14ac:dyDescent="0.3">
      <c r="D89">
        <v>160</v>
      </c>
      <c r="E89">
        <v>1</v>
      </c>
      <c r="F89">
        <v>87</v>
      </c>
      <c r="G89">
        <v>160</v>
      </c>
      <c r="H89">
        <v>43</v>
      </c>
      <c r="I89">
        <v>49.126719999999999</v>
      </c>
      <c r="L89">
        <v>371</v>
      </c>
      <c r="M89">
        <v>3</v>
      </c>
      <c r="N89">
        <v>312</v>
      </c>
      <c r="O89">
        <v>371</v>
      </c>
      <c r="P89">
        <v>11</v>
      </c>
      <c r="Q89">
        <v>12.165660000000001</v>
      </c>
    </row>
    <row r="90" spans="4:17" x14ac:dyDescent="0.3">
      <c r="D90">
        <v>161</v>
      </c>
      <c r="E90">
        <v>1</v>
      </c>
      <c r="F90">
        <v>88</v>
      </c>
      <c r="G90">
        <v>161</v>
      </c>
      <c r="H90">
        <v>15</v>
      </c>
      <c r="I90">
        <v>17.533390000000001</v>
      </c>
      <c r="L90">
        <v>381</v>
      </c>
      <c r="M90">
        <v>3</v>
      </c>
      <c r="N90">
        <v>313</v>
      </c>
      <c r="O90">
        <v>381</v>
      </c>
      <c r="P90">
        <v>147</v>
      </c>
      <c r="Q90">
        <v>167.22604999999999</v>
      </c>
    </row>
    <row r="91" spans="4:17" x14ac:dyDescent="0.3">
      <c r="D91">
        <v>164</v>
      </c>
      <c r="E91">
        <v>1</v>
      </c>
      <c r="F91">
        <v>89</v>
      </c>
      <c r="G91">
        <v>164</v>
      </c>
      <c r="H91">
        <v>36</v>
      </c>
      <c r="I91">
        <v>57.057609999999997</v>
      </c>
      <c r="L91">
        <v>388</v>
      </c>
      <c r="M91">
        <v>3</v>
      </c>
      <c r="N91">
        <v>314</v>
      </c>
      <c r="O91">
        <v>388</v>
      </c>
      <c r="P91">
        <v>10</v>
      </c>
      <c r="Q91">
        <v>2.1467900000000002</v>
      </c>
    </row>
    <row r="92" spans="4:17" x14ac:dyDescent="0.3">
      <c r="D92">
        <v>165</v>
      </c>
      <c r="E92">
        <v>1</v>
      </c>
      <c r="F92">
        <v>90</v>
      </c>
      <c r="G92">
        <v>165</v>
      </c>
      <c r="H92">
        <v>86</v>
      </c>
      <c r="I92">
        <v>117.36226000000001</v>
      </c>
      <c r="L92">
        <v>394</v>
      </c>
      <c r="M92">
        <v>3</v>
      </c>
      <c r="N92">
        <v>315</v>
      </c>
      <c r="O92">
        <v>394</v>
      </c>
      <c r="P92">
        <v>198</v>
      </c>
      <c r="Q92">
        <v>192.28659999999999</v>
      </c>
    </row>
    <row r="93" spans="4:17" x14ac:dyDescent="0.3">
      <c r="D93">
        <v>167</v>
      </c>
      <c r="E93">
        <v>1</v>
      </c>
      <c r="F93">
        <v>91</v>
      </c>
      <c r="G93">
        <v>167</v>
      </c>
      <c r="H93">
        <v>14</v>
      </c>
      <c r="I93">
        <v>25.586320000000001</v>
      </c>
      <c r="L93">
        <v>395</v>
      </c>
      <c r="M93">
        <v>3</v>
      </c>
      <c r="N93">
        <v>316</v>
      </c>
      <c r="O93">
        <v>395</v>
      </c>
      <c r="P93">
        <v>204</v>
      </c>
      <c r="Q93">
        <v>202.39697000000001</v>
      </c>
    </row>
    <row r="94" spans="4:17" x14ac:dyDescent="0.3">
      <c r="D94">
        <v>168</v>
      </c>
      <c r="E94">
        <v>1</v>
      </c>
      <c r="F94">
        <v>92</v>
      </c>
      <c r="G94">
        <v>168</v>
      </c>
      <c r="H94">
        <v>61</v>
      </c>
      <c r="I94">
        <v>77.427430000000001</v>
      </c>
      <c r="L94">
        <v>406</v>
      </c>
      <c r="M94">
        <v>3</v>
      </c>
      <c r="N94">
        <v>317</v>
      </c>
      <c r="O94">
        <v>406</v>
      </c>
      <c r="P94">
        <v>67</v>
      </c>
      <c r="Q94">
        <v>38.80865</v>
      </c>
    </row>
    <row r="95" spans="4:17" x14ac:dyDescent="0.3">
      <c r="D95">
        <v>169</v>
      </c>
      <c r="E95">
        <v>1</v>
      </c>
      <c r="F95">
        <v>93</v>
      </c>
      <c r="G95">
        <v>169</v>
      </c>
      <c r="H95">
        <v>51</v>
      </c>
      <c r="I95">
        <v>60.059649999999998</v>
      </c>
      <c r="L95">
        <v>411</v>
      </c>
      <c r="M95">
        <v>3</v>
      </c>
      <c r="N95">
        <v>318</v>
      </c>
      <c r="O95">
        <v>411</v>
      </c>
      <c r="P95">
        <v>98</v>
      </c>
      <c r="Q95">
        <v>57.701360000000001</v>
      </c>
    </row>
    <row r="96" spans="4:17" x14ac:dyDescent="0.3">
      <c r="D96">
        <v>171</v>
      </c>
      <c r="E96">
        <v>1</v>
      </c>
      <c r="F96">
        <v>94</v>
      </c>
      <c r="G96">
        <v>171</v>
      </c>
      <c r="H96">
        <v>5</v>
      </c>
      <c r="I96">
        <v>5.5765599999999997</v>
      </c>
      <c r="L96">
        <v>412</v>
      </c>
      <c r="M96">
        <v>3</v>
      </c>
      <c r="N96">
        <v>319</v>
      </c>
      <c r="O96">
        <v>412</v>
      </c>
      <c r="P96">
        <v>96</v>
      </c>
      <c r="Q96">
        <v>48.004010000000001</v>
      </c>
    </row>
    <row r="97" spans="4:17" x14ac:dyDescent="0.3">
      <c r="D97">
        <v>172</v>
      </c>
      <c r="E97">
        <v>1</v>
      </c>
      <c r="F97">
        <v>95</v>
      </c>
      <c r="G97">
        <v>172</v>
      </c>
      <c r="H97">
        <v>27</v>
      </c>
      <c r="I97">
        <v>50.764780000000002</v>
      </c>
      <c r="L97">
        <v>416</v>
      </c>
      <c r="M97">
        <v>3</v>
      </c>
      <c r="N97">
        <v>320</v>
      </c>
      <c r="O97">
        <v>416</v>
      </c>
      <c r="P97">
        <v>6</v>
      </c>
      <c r="Q97">
        <v>13.347849999999999</v>
      </c>
    </row>
    <row r="98" spans="4:17" x14ac:dyDescent="0.3">
      <c r="D98">
        <v>173</v>
      </c>
      <c r="E98">
        <v>1</v>
      </c>
      <c r="F98">
        <v>96</v>
      </c>
      <c r="G98">
        <v>173</v>
      </c>
      <c r="H98">
        <v>9</v>
      </c>
      <c r="I98">
        <v>8.4072399999999998</v>
      </c>
    </row>
    <row r="99" spans="4:17" x14ac:dyDescent="0.3">
      <c r="D99">
        <v>175</v>
      </c>
      <c r="E99">
        <v>1</v>
      </c>
      <c r="F99">
        <v>97</v>
      </c>
      <c r="G99">
        <v>175</v>
      </c>
      <c r="H99">
        <v>19</v>
      </c>
      <c r="I99">
        <v>35.239890000000003</v>
      </c>
    </row>
    <row r="100" spans="4:17" x14ac:dyDescent="0.3">
      <c r="D100">
        <v>176</v>
      </c>
      <c r="E100">
        <v>1</v>
      </c>
      <c r="F100">
        <v>98</v>
      </c>
      <c r="G100">
        <v>176</v>
      </c>
      <c r="H100">
        <v>100</v>
      </c>
      <c r="I100">
        <v>109.36882</v>
      </c>
    </row>
    <row r="101" spans="4:17" x14ac:dyDescent="0.3">
      <c r="D101">
        <v>179</v>
      </c>
      <c r="E101">
        <v>1</v>
      </c>
      <c r="F101">
        <v>99</v>
      </c>
      <c r="G101">
        <v>179</v>
      </c>
      <c r="H101">
        <v>7</v>
      </c>
      <c r="I101">
        <v>9.9788300000000003</v>
      </c>
    </row>
    <row r="102" spans="4:17" x14ac:dyDescent="0.3">
      <c r="D102">
        <v>180</v>
      </c>
      <c r="E102">
        <v>1</v>
      </c>
      <c r="F102">
        <v>100</v>
      </c>
      <c r="G102">
        <v>180</v>
      </c>
      <c r="H102">
        <v>8</v>
      </c>
      <c r="I102">
        <v>8.7644800000000007</v>
      </c>
    </row>
    <row r="103" spans="4:17" x14ac:dyDescent="0.3">
      <c r="D103">
        <v>181</v>
      </c>
      <c r="E103">
        <v>1</v>
      </c>
      <c r="F103">
        <v>101</v>
      </c>
      <c r="G103">
        <v>181</v>
      </c>
      <c r="H103">
        <v>2</v>
      </c>
      <c r="I103">
        <v>15.42197</v>
      </c>
    </row>
    <row r="104" spans="4:17" x14ac:dyDescent="0.3">
      <c r="D104">
        <v>182</v>
      </c>
      <c r="E104">
        <v>1</v>
      </c>
      <c r="F104">
        <v>102</v>
      </c>
      <c r="G104">
        <v>182</v>
      </c>
      <c r="H104">
        <v>61</v>
      </c>
      <c r="I104">
        <v>71.473730000000003</v>
      </c>
    </row>
    <row r="105" spans="4:17" x14ac:dyDescent="0.3">
      <c r="D105">
        <v>183</v>
      </c>
      <c r="E105">
        <v>1</v>
      </c>
      <c r="F105">
        <v>103</v>
      </c>
      <c r="G105">
        <v>183</v>
      </c>
      <c r="H105">
        <v>76</v>
      </c>
      <c r="I105">
        <v>88.766390000000001</v>
      </c>
    </row>
    <row r="106" spans="4:17" x14ac:dyDescent="0.3">
      <c r="D106">
        <v>186</v>
      </c>
      <c r="E106">
        <v>1</v>
      </c>
      <c r="F106">
        <v>104</v>
      </c>
      <c r="G106">
        <v>186</v>
      </c>
      <c r="H106">
        <v>1</v>
      </c>
      <c r="I106">
        <v>6.1165500000000002</v>
      </c>
    </row>
    <row r="107" spans="4:17" x14ac:dyDescent="0.3">
      <c r="D107">
        <v>187</v>
      </c>
      <c r="E107">
        <v>1</v>
      </c>
      <c r="F107">
        <v>105</v>
      </c>
      <c r="G107">
        <v>187</v>
      </c>
      <c r="H107">
        <v>2</v>
      </c>
      <c r="I107">
        <v>11.494440000000001</v>
      </c>
    </row>
    <row r="108" spans="4:17" x14ac:dyDescent="0.3">
      <c r="D108">
        <v>188</v>
      </c>
      <c r="E108">
        <v>1</v>
      </c>
      <c r="F108">
        <v>106</v>
      </c>
      <c r="G108">
        <v>188</v>
      </c>
      <c r="H108">
        <v>7</v>
      </c>
      <c r="I108">
        <v>8.7479200000000006</v>
      </c>
    </row>
    <row r="109" spans="4:17" x14ac:dyDescent="0.3">
      <c r="D109">
        <v>190</v>
      </c>
      <c r="E109">
        <v>1</v>
      </c>
      <c r="F109">
        <v>107</v>
      </c>
      <c r="G109">
        <v>190</v>
      </c>
      <c r="H109">
        <v>190</v>
      </c>
      <c r="I109">
        <v>202.98213999999999</v>
      </c>
    </row>
    <row r="110" spans="4:17" x14ac:dyDescent="0.3">
      <c r="D110">
        <v>191</v>
      </c>
      <c r="E110">
        <v>1</v>
      </c>
      <c r="F110">
        <v>108</v>
      </c>
      <c r="G110">
        <v>191</v>
      </c>
      <c r="H110">
        <v>98</v>
      </c>
      <c r="I110">
        <v>114.62289</v>
      </c>
    </row>
    <row r="111" spans="4:17" x14ac:dyDescent="0.3">
      <c r="D111">
        <v>194</v>
      </c>
      <c r="E111">
        <v>1</v>
      </c>
      <c r="F111">
        <v>109</v>
      </c>
      <c r="G111">
        <v>194</v>
      </c>
      <c r="H111">
        <v>2</v>
      </c>
      <c r="I111">
        <v>1.5518400000000001</v>
      </c>
    </row>
    <row r="112" spans="4:17" x14ac:dyDescent="0.3">
      <c r="D112">
        <v>195</v>
      </c>
      <c r="E112">
        <v>1</v>
      </c>
      <c r="F112">
        <v>110</v>
      </c>
      <c r="G112">
        <v>195</v>
      </c>
      <c r="H112">
        <v>3</v>
      </c>
      <c r="I112">
        <v>5.9525699999999997</v>
      </c>
    </row>
    <row r="113" spans="4:9" x14ac:dyDescent="0.3">
      <c r="D113">
        <v>196</v>
      </c>
      <c r="E113">
        <v>1</v>
      </c>
      <c r="F113">
        <v>111</v>
      </c>
      <c r="G113">
        <v>196</v>
      </c>
      <c r="H113">
        <v>49</v>
      </c>
      <c r="I113">
        <v>58.555399999999999</v>
      </c>
    </row>
    <row r="114" spans="4:9" x14ac:dyDescent="0.3">
      <c r="D114">
        <v>197</v>
      </c>
      <c r="E114">
        <v>1</v>
      </c>
      <c r="F114">
        <v>112</v>
      </c>
      <c r="G114">
        <v>197</v>
      </c>
      <c r="H114">
        <v>143</v>
      </c>
      <c r="I114">
        <v>178.18928</v>
      </c>
    </row>
    <row r="115" spans="4:9" x14ac:dyDescent="0.3">
      <c r="D115">
        <v>200</v>
      </c>
      <c r="E115">
        <v>1</v>
      </c>
      <c r="F115">
        <v>113</v>
      </c>
      <c r="G115">
        <v>200</v>
      </c>
      <c r="H115">
        <v>24</v>
      </c>
      <c r="I115">
        <v>18.408740000000002</v>
      </c>
    </row>
    <row r="116" spans="4:9" x14ac:dyDescent="0.3">
      <c r="D116">
        <v>201</v>
      </c>
      <c r="E116">
        <v>1</v>
      </c>
      <c r="F116">
        <v>114</v>
      </c>
      <c r="G116">
        <v>201</v>
      </c>
      <c r="H116">
        <v>23</v>
      </c>
      <c r="I116">
        <v>13.401719999999999</v>
      </c>
    </row>
    <row r="117" spans="4:9" x14ac:dyDescent="0.3">
      <c r="D117">
        <v>202</v>
      </c>
      <c r="E117">
        <v>1</v>
      </c>
      <c r="F117">
        <v>115</v>
      </c>
      <c r="G117">
        <v>202</v>
      </c>
      <c r="H117">
        <v>7</v>
      </c>
      <c r="I117">
        <v>11.00525</v>
      </c>
    </row>
    <row r="118" spans="4:9" x14ac:dyDescent="0.3">
      <c r="D118">
        <v>205</v>
      </c>
      <c r="E118">
        <v>1</v>
      </c>
      <c r="F118">
        <v>116</v>
      </c>
      <c r="G118">
        <v>205</v>
      </c>
      <c r="H118">
        <v>67</v>
      </c>
      <c r="I118">
        <v>93.980509999999995</v>
      </c>
    </row>
    <row r="119" spans="4:9" x14ac:dyDescent="0.3">
      <c r="D119">
        <v>206</v>
      </c>
      <c r="E119">
        <v>1</v>
      </c>
      <c r="F119">
        <v>117</v>
      </c>
      <c r="G119">
        <v>206</v>
      </c>
      <c r="H119">
        <v>212</v>
      </c>
      <c r="I119">
        <v>216.06863999999999</v>
      </c>
    </row>
    <row r="120" spans="4:9" x14ac:dyDescent="0.3">
      <c r="D120">
        <v>207</v>
      </c>
      <c r="E120">
        <v>1</v>
      </c>
      <c r="F120">
        <v>118</v>
      </c>
      <c r="G120">
        <v>207</v>
      </c>
      <c r="H120">
        <v>207</v>
      </c>
      <c r="I120">
        <v>230.30546000000001</v>
      </c>
    </row>
    <row r="121" spans="4:9" x14ac:dyDescent="0.3">
      <c r="D121">
        <v>208</v>
      </c>
      <c r="E121">
        <v>1</v>
      </c>
      <c r="F121">
        <v>119</v>
      </c>
      <c r="G121">
        <v>208</v>
      </c>
      <c r="H121">
        <v>116</v>
      </c>
      <c r="I121">
        <v>125.78385</v>
      </c>
    </row>
    <row r="122" spans="4:9" x14ac:dyDescent="0.3">
      <c r="D122">
        <v>209</v>
      </c>
      <c r="E122">
        <v>1</v>
      </c>
      <c r="F122">
        <v>120</v>
      </c>
      <c r="G122">
        <v>209</v>
      </c>
      <c r="H122">
        <v>28</v>
      </c>
      <c r="I122">
        <v>15.39836</v>
      </c>
    </row>
    <row r="123" spans="4:9" x14ac:dyDescent="0.3">
      <c r="D123">
        <v>214</v>
      </c>
      <c r="E123">
        <v>1</v>
      </c>
      <c r="F123">
        <v>121</v>
      </c>
      <c r="G123">
        <v>214</v>
      </c>
      <c r="H123">
        <v>10</v>
      </c>
      <c r="I123">
        <v>11.755459999999999</v>
      </c>
    </row>
    <row r="124" spans="4:9" x14ac:dyDescent="0.3">
      <c r="D124">
        <v>215</v>
      </c>
      <c r="E124">
        <v>1</v>
      </c>
      <c r="F124">
        <v>122</v>
      </c>
      <c r="G124">
        <v>215</v>
      </c>
      <c r="H124">
        <v>58</v>
      </c>
      <c r="I124">
        <v>69.570080000000004</v>
      </c>
    </row>
    <row r="125" spans="4:9" x14ac:dyDescent="0.3">
      <c r="D125">
        <v>216</v>
      </c>
      <c r="E125">
        <v>1</v>
      </c>
      <c r="F125">
        <v>123</v>
      </c>
      <c r="G125">
        <v>216</v>
      </c>
      <c r="H125">
        <v>14</v>
      </c>
      <c r="I125">
        <v>16.113140000000001</v>
      </c>
    </row>
    <row r="126" spans="4:9" x14ac:dyDescent="0.3">
      <c r="D126">
        <v>218</v>
      </c>
      <c r="E126">
        <v>1</v>
      </c>
      <c r="F126">
        <v>124</v>
      </c>
      <c r="G126">
        <v>218</v>
      </c>
      <c r="H126">
        <v>28</v>
      </c>
      <c r="I126">
        <v>25.017479999999999</v>
      </c>
    </row>
    <row r="127" spans="4:9" x14ac:dyDescent="0.3">
      <c r="D127">
        <v>219</v>
      </c>
      <c r="E127">
        <v>1</v>
      </c>
      <c r="F127">
        <v>125</v>
      </c>
      <c r="G127">
        <v>219</v>
      </c>
      <c r="H127">
        <v>84</v>
      </c>
      <c r="I127">
        <v>86.828639999999993</v>
      </c>
    </row>
    <row r="128" spans="4:9" x14ac:dyDescent="0.3">
      <c r="D128">
        <v>220</v>
      </c>
      <c r="E128">
        <v>1</v>
      </c>
      <c r="F128">
        <v>126</v>
      </c>
      <c r="G128">
        <v>220</v>
      </c>
      <c r="H128">
        <v>85</v>
      </c>
      <c r="I128">
        <v>81.9375</v>
      </c>
    </row>
    <row r="129" spans="4:9" x14ac:dyDescent="0.3">
      <c r="D129">
        <v>221</v>
      </c>
      <c r="E129">
        <v>1</v>
      </c>
      <c r="F129">
        <v>127</v>
      </c>
      <c r="G129">
        <v>221</v>
      </c>
      <c r="H129">
        <v>29</v>
      </c>
      <c r="I129">
        <v>30.973749999999999</v>
      </c>
    </row>
    <row r="130" spans="4:9" x14ac:dyDescent="0.3">
      <c r="D130">
        <v>222</v>
      </c>
      <c r="E130">
        <v>1</v>
      </c>
      <c r="F130">
        <v>128</v>
      </c>
      <c r="G130">
        <v>222</v>
      </c>
      <c r="H130">
        <v>20</v>
      </c>
      <c r="I130">
        <v>28.008679999999998</v>
      </c>
    </row>
    <row r="131" spans="4:9" x14ac:dyDescent="0.3">
      <c r="D131">
        <v>223</v>
      </c>
      <c r="E131">
        <v>1</v>
      </c>
      <c r="F131">
        <v>129</v>
      </c>
      <c r="G131">
        <v>223</v>
      </c>
      <c r="H131">
        <v>22</v>
      </c>
      <c r="I131">
        <v>11.48288</v>
      </c>
    </row>
    <row r="132" spans="4:9" x14ac:dyDescent="0.3">
      <c r="D132">
        <v>226</v>
      </c>
      <c r="E132">
        <v>1</v>
      </c>
      <c r="F132">
        <v>130</v>
      </c>
      <c r="G132">
        <v>226</v>
      </c>
      <c r="H132">
        <v>1</v>
      </c>
      <c r="I132">
        <v>3.1497899999999999</v>
      </c>
    </row>
    <row r="133" spans="4:9" x14ac:dyDescent="0.3">
      <c r="D133">
        <v>227</v>
      </c>
      <c r="E133">
        <v>1</v>
      </c>
      <c r="F133">
        <v>131</v>
      </c>
      <c r="G133">
        <v>227</v>
      </c>
      <c r="H133">
        <v>13</v>
      </c>
      <c r="I133">
        <v>14.456200000000001</v>
      </c>
    </row>
    <row r="134" spans="4:9" x14ac:dyDescent="0.3">
      <c r="D134">
        <v>228</v>
      </c>
      <c r="E134">
        <v>1</v>
      </c>
      <c r="F134">
        <v>132</v>
      </c>
      <c r="G134">
        <v>228</v>
      </c>
      <c r="H134">
        <v>50</v>
      </c>
      <c r="I134">
        <v>49.819360000000003</v>
      </c>
    </row>
    <row r="135" spans="4:9" x14ac:dyDescent="0.3">
      <c r="D135">
        <v>230</v>
      </c>
      <c r="E135">
        <v>1</v>
      </c>
      <c r="F135">
        <v>133</v>
      </c>
      <c r="G135">
        <v>230</v>
      </c>
      <c r="H135">
        <v>51</v>
      </c>
      <c r="I135">
        <v>92.110439999999997</v>
      </c>
    </row>
    <row r="136" spans="4:9" x14ac:dyDescent="0.3">
      <c r="D136">
        <v>231</v>
      </c>
      <c r="E136">
        <v>1</v>
      </c>
      <c r="F136">
        <v>134</v>
      </c>
      <c r="G136">
        <v>231</v>
      </c>
      <c r="H136">
        <v>30</v>
      </c>
      <c r="I136">
        <v>14.647880000000001</v>
      </c>
    </row>
    <row r="137" spans="4:9" x14ac:dyDescent="0.3">
      <c r="D137">
        <v>234</v>
      </c>
      <c r="E137">
        <v>1</v>
      </c>
      <c r="F137">
        <v>135</v>
      </c>
      <c r="G137">
        <v>234</v>
      </c>
      <c r="H137">
        <v>17</v>
      </c>
      <c r="I137">
        <v>21.950140000000001</v>
      </c>
    </row>
    <row r="138" spans="4:9" x14ac:dyDescent="0.3">
      <c r="D138">
        <v>235</v>
      </c>
      <c r="E138">
        <v>1</v>
      </c>
      <c r="F138">
        <v>136</v>
      </c>
      <c r="G138">
        <v>235</v>
      </c>
      <c r="H138">
        <v>17</v>
      </c>
      <c r="I138">
        <v>25.448319999999999</v>
      </c>
    </row>
    <row r="139" spans="4:9" x14ac:dyDescent="0.3">
      <c r="D139">
        <v>236</v>
      </c>
      <c r="E139">
        <v>1</v>
      </c>
      <c r="F139">
        <v>137</v>
      </c>
      <c r="G139">
        <v>236</v>
      </c>
      <c r="H139">
        <v>9</v>
      </c>
      <c r="I139">
        <v>7.1474399999999996</v>
      </c>
    </row>
    <row r="140" spans="4:9" x14ac:dyDescent="0.3">
      <c r="D140">
        <v>238</v>
      </c>
      <c r="E140">
        <v>1</v>
      </c>
      <c r="F140">
        <v>138</v>
      </c>
      <c r="G140">
        <v>238</v>
      </c>
      <c r="H140">
        <v>4</v>
      </c>
      <c r="I140">
        <v>6.0016299999999996</v>
      </c>
    </row>
    <row r="141" spans="4:9" x14ac:dyDescent="0.3">
      <c r="D141">
        <v>239</v>
      </c>
      <c r="E141">
        <v>1</v>
      </c>
      <c r="F141">
        <v>139</v>
      </c>
      <c r="G141">
        <v>239</v>
      </c>
      <c r="H141">
        <v>44</v>
      </c>
      <c r="I141">
        <v>51.417360000000002</v>
      </c>
    </row>
    <row r="142" spans="4:9" x14ac:dyDescent="0.3">
      <c r="D142">
        <v>242</v>
      </c>
      <c r="E142">
        <v>1</v>
      </c>
      <c r="F142">
        <v>140</v>
      </c>
      <c r="G142">
        <v>242</v>
      </c>
      <c r="H142">
        <v>206</v>
      </c>
      <c r="I142">
        <v>207.45822000000001</v>
      </c>
    </row>
    <row r="143" spans="4:9" x14ac:dyDescent="0.3">
      <c r="D143">
        <v>243</v>
      </c>
      <c r="E143">
        <v>1</v>
      </c>
      <c r="F143">
        <v>141</v>
      </c>
      <c r="G143">
        <v>243</v>
      </c>
      <c r="H143">
        <v>94</v>
      </c>
      <c r="I143">
        <v>106.11895</v>
      </c>
    </row>
    <row r="144" spans="4:9" x14ac:dyDescent="0.3">
      <c r="D144">
        <v>246</v>
      </c>
      <c r="E144">
        <v>1</v>
      </c>
      <c r="F144">
        <v>142</v>
      </c>
      <c r="G144">
        <v>246</v>
      </c>
      <c r="H144">
        <v>18</v>
      </c>
      <c r="I144">
        <v>16.77974</v>
      </c>
    </row>
    <row r="145" spans="4:9" x14ac:dyDescent="0.3">
      <c r="D145">
        <v>247</v>
      </c>
      <c r="E145">
        <v>1</v>
      </c>
      <c r="F145">
        <v>143</v>
      </c>
      <c r="G145">
        <v>247</v>
      </c>
      <c r="H145">
        <v>15</v>
      </c>
      <c r="I145">
        <v>17.446400000000001</v>
      </c>
    </row>
    <row r="146" spans="4:9" x14ac:dyDescent="0.3">
      <c r="D146">
        <v>250</v>
      </c>
      <c r="E146">
        <v>1</v>
      </c>
      <c r="F146">
        <v>144</v>
      </c>
      <c r="G146">
        <v>250</v>
      </c>
      <c r="H146">
        <v>2</v>
      </c>
      <c r="I146">
        <v>10.46256</v>
      </c>
    </row>
    <row r="147" spans="4:9" x14ac:dyDescent="0.3">
      <c r="D147">
        <v>254</v>
      </c>
      <c r="E147">
        <v>1</v>
      </c>
      <c r="F147">
        <v>145</v>
      </c>
      <c r="G147">
        <v>254</v>
      </c>
      <c r="H147">
        <v>55</v>
      </c>
      <c r="I147">
        <v>64.143079999999998</v>
      </c>
    </row>
    <row r="148" spans="4:9" x14ac:dyDescent="0.3">
      <c r="D148">
        <v>255</v>
      </c>
      <c r="E148">
        <v>1</v>
      </c>
      <c r="F148">
        <v>146</v>
      </c>
      <c r="G148">
        <v>255</v>
      </c>
      <c r="H148">
        <v>50</v>
      </c>
      <c r="I148">
        <v>72.952849999999998</v>
      </c>
    </row>
    <row r="149" spans="4:9" x14ac:dyDescent="0.3">
      <c r="D149">
        <v>256</v>
      </c>
      <c r="E149">
        <v>1</v>
      </c>
      <c r="F149">
        <v>147</v>
      </c>
      <c r="G149">
        <v>256</v>
      </c>
      <c r="H149">
        <v>19</v>
      </c>
      <c r="I149">
        <v>17.862159999999999</v>
      </c>
    </row>
    <row r="150" spans="4:9" x14ac:dyDescent="0.3">
      <c r="D150">
        <v>258</v>
      </c>
      <c r="E150">
        <v>1</v>
      </c>
      <c r="F150">
        <v>148</v>
      </c>
      <c r="G150">
        <v>258</v>
      </c>
      <c r="H150">
        <v>113</v>
      </c>
      <c r="I150">
        <v>131.46163999999999</v>
      </c>
    </row>
    <row r="151" spans="4:9" x14ac:dyDescent="0.3">
      <c r="D151">
        <v>259</v>
      </c>
      <c r="E151">
        <v>1</v>
      </c>
      <c r="F151">
        <v>149</v>
      </c>
      <c r="G151">
        <v>259</v>
      </c>
      <c r="H151">
        <v>115</v>
      </c>
      <c r="I151">
        <v>130.84168</v>
      </c>
    </row>
    <row r="152" spans="4:9" x14ac:dyDescent="0.3">
      <c r="D152">
        <v>265</v>
      </c>
      <c r="E152">
        <v>1</v>
      </c>
      <c r="F152">
        <v>150</v>
      </c>
      <c r="G152">
        <v>265</v>
      </c>
      <c r="H152">
        <v>43</v>
      </c>
      <c r="I152">
        <v>29.37734</v>
      </c>
    </row>
    <row r="153" spans="4:9" x14ac:dyDescent="0.3">
      <c r="D153">
        <v>273</v>
      </c>
      <c r="E153">
        <v>1</v>
      </c>
      <c r="F153">
        <v>151</v>
      </c>
      <c r="G153">
        <v>273</v>
      </c>
      <c r="H153">
        <v>4</v>
      </c>
      <c r="I153">
        <v>8.3539300000000001</v>
      </c>
    </row>
    <row r="154" spans="4:9" x14ac:dyDescent="0.3">
      <c r="D154">
        <v>274</v>
      </c>
      <c r="E154">
        <v>1</v>
      </c>
      <c r="F154">
        <v>152</v>
      </c>
      <c r="G154">
        <v>274</v>
      </c>
      <c r="H154">
        <v>3</v>
      </c>
      <c r="I154">
        <v>4.3371399999999998</v>
      </c>
    </row>
    <row r="155" spans="4:9" x14ac:dyDescent="0.3">
      <c r="D155">
        <v>275</v>
      </c>
      <c r="E155">
        <v>1</v>
      </c>
      <c r="F155">
        <v>153</v>
      </c>
      <c r="G155">
        <v>275</v>
      </c>
      <c r="H155">
        <v>5</v>
      </c>
      <c r="I155">
        <v>7.2882100000000003</v>
      </c>
    </row>
    <row r="156" spans="4:9" x14ac:dyDescent="0.3">
      <c r="D156">
        <v>277</v>
      </c>
      <c r="E156">
        <v>1</v>
      </c>
      <c r="F156">
        <v>154</v>
      </c>
      <c r="G156">
        <v>277</v>
      </c>
      <c r="H156">
        <v>139</v>
      </c>
      <c r="I156">
        <v>154.25271000000001</v>
      </c>
    </row>
    <row r="157" spans="4:9" x14ac:dyDescent="0.3">
      <c r="D157">
        <v>280</v>
      </c>
      <c r="E157">
        <v>1</v>
      </c>
      <c r="F157">
        <v>155</v>
      </c>
      <c r="G157">
        <v>280</v>
      </c>
      <c r="H157">
        <v>23</v>
      </c>
      <c r="I157">
        <v>6.6012199999999996</v>
      </c>
    </row>
    <row r="158" spans="4:9" x14ac:dyDescent="0.3">
      <c r="D158">
        <v>284</v>
      </c>
      <c r="E158">
        <v>1</v>
      </c>
      <c r="F158">
        <v>156</v>
      </c>
      <c r="G158">
        <v>284</v>
      </c>
      <c r="H158">
        <v>14</v>
      </c>
      <c r="I158">
        <v>18.819040000000001</v>
      </c>
    </row>
    <row r="159" spans="4:9" x14ac:dyDescent="0.3">
      <c r="D159">
        <v>285</v>
      </c>
      <c r="E159">
        <v>1</v>
      </c>
      <c r="F159">
        <v>157</v>
      </c>
      <c r="G159">
        <v>285</v>
      </c>
      <c r="H159">
        <v>12</v>
      </c>
      <c r="I159">
        <v>10.116429999999999</v>
      </c>
    </row>
    <row r="160" spans="4:9" x14ac:dyDescent="0.3">
      <c r="D160">
        <v>289</v>
      </c>
      <c r="E160">
        <v>1</v>
      </c>
      <c r="F160">
        <v>158</v>
      </c>
      <c r="G160">
        <v>289</v>
      </c>
      <c r="H160">
        <v>12</v>
      </c>
      <c r="I160">
        <v>14.968489999999999</v>
      </c>
    </row>
    <row r="161" spans="4:9" x14ac:dyDescent="0.3">
      <c r="D161">
        <v>292</v>
      </c>
      <c r="E161">
        <v>1</v>
      </c>
      <c r="F161">
        <v>159</v>
      </c>
      <c r="G161">
        <v>292</v>
      </c>
      <c r="H161">
        <v>1</v>
      </c>
      <c r="I161">
        <v>1.4940100000000001</v>
      </c>
    </row>
    <row r="162" spans="4:9" x14ac:dyDescent="0.3">
      <c r="D162">
        <v>293</v>
      </c>
      <c r="E162">
        <v>1</v>
      </c>
      <c r="F162">
        <v>160</v>
      </c>
      <c r="G162">
        <v>293</v>
      </c>
      <c r="H162">
        <v>38</v>
      </c>
      <c r="I162">
        <v>41.903199999999998</v>
      </c>
    </row>
    <row r="163" spans="4:9" x14ac:dyDescent="0.3">
      <c r="D163">
        <v>296</v>
      </c>
      <c r="E163">
        <v>1</v>
      </c>
      <c r="F163">
        <v>161</v>
      </c>
      <c r="G163">
        <v>296</v>
      </c>
      <c r="H163">
        <v>36</v>
      </c>
      <c r="I163">
        <v>26.482399999999998</v>
      </c>
    </row>
    <row r="164" spans="4:9" x14ac:dyDescent="0.3">
      <c r="D164">
        <v>297</v>
      </c>
      <c r="E164">
        <v>1</v>
      </c>
      <c r="F164">
        <v>162</v>
      </c>
      <c r="G164">
        <v>297</v>
      </c>
      <c r="H164">
        <v>40</v>
      </c>
      <c r="I164">
        <v>32.005110000000002</v>
      </c>
    </row>
    <row r="165" spans="4:9" x14ac:dyDescent="0.3">
      <c r="D165">
        <v>300</v>
      </c>
      <c r="E165">
        <v>1</v>
      </c>
      <c r="F165">
        <v>163</v>
      </c>
      <c r="G165">
        <v>300</v>
      </c>
      <c r="H165">
        <v>3</v>
      </c>
      <c r="I165">
        <v>11.81514</v>
      </c>
    </row>
    <row r="166" spans="4:9" x14ac:dyDescent="0.3">
      <c r="D166">
        <v>301</v>
      </c>
      <c r="E166">
        <v>1</v>
      </c>
      <c r="F166">
        <v>164</v>
      </c>
      <c r="G166">
        <v>301</v>
      </c>
      <c r="H166">
        <v>6</v>
      </c>
      <c r="I166">
        <v>20.89537</v>
      </c>
    </row>
    <row r="167" spans="4:9" x14ac:dyDescent="0.3">
      <c r="D167">
        <v>303</v>
      </c>
      <c r="E167">
        <v>1</v>
      </c>
      <c r="F167">
        <v>165</v>
      </c>
      <c r="G167">
        <v>303</v>
      </c>
      <c r="H167">
        <v>19</v>
      </c>
      <c r="I167">
        <v>17.066770000000002</v>
      </c>
    </row>
    <row r="168" spans="4:9" x14ac:dyDescent="0.3">
      <c r="D168">
        <v>304</v>
      </c>
      <c r="E168">
        <v>1</v>
      </c>
      <c r="F168">
        <v>166</v>
      </c>
      <c r="G168">
        <v>304</v>
      </c>
      <c r="H168">
        <v>39</v>
      </c>
      <c r="I168">
        <v>52.625010000000003</v>
      </c>
    </row>
    <row r="169" spans="4:9" x14ac:dyDescent="0.3">
      <c r="D169">
        <v>307</v>
      </c>
      <c r="E169">
        <v>1</v>
      </c>
      <c r="F169">
        <v>167</v>
      </c>
      <c r="G169">
        <v>307</v>
      </c>
      <c r="H169">
        <v>36</v>
      </c>
      <c r="I169">
        <v>41.201149999999998</v>
      </c>
    </row>
    <row r="170" spans="4:9" x14ac:dyDescent="0.3">
      <c r="D170">
        <v>308</v>
      </c>
      <c r="E170">
        <v>1</v>
      </c>
      <c r="F170">
        <v>168</v>
      </c>
      <c r="G170">
        <v>308</v>
      </c>
      <c r="H170">
        <v>36</v>
      </c>
      <c r="I170">
        <v>43.282269999999997</v>
      </c>
    </row>
    <row r="171" spans="4:9" x14ac:dyDescent="0.3">
      <c r="D171">
        <v>309</v>
      </c>
      <c r="E171">
        <v>1</v>
      </c>
      <c r="F171">
        <v>169</v>
      </c>
      <c r="G171">
        <v>309</v>
      </c>
      <c r="H171">
        <v>4</v>
      </c>
      <c r="I171">
        <v>2.4527700000000001</v>
      </c>
    </row>
    <row r="172" spans="4:9" x14ac:dyDescent="0.3">
      <c r="D172">
        <v>315</v>
      </c>
      <c r="E172">
        <v>1</v>
      </c>
      <c r="F172">
        <v>170</v>
      </c>
      <c r="G172">
        <v>315</v>
      </c>
      <c r="H172">
        <v>15</v>
      </c>
      <c r="I172">
        <v>15.236940000000001</v>
      </c>
    </row>
    <row r="173" spans="4:9" x14ac:dyDescent="0.3">
      <c r="D173">
        <v>317</v>
      </c>
      <c r="E173">
        <v>1</v>
      </c>
      <c r="F173">
        <v>171</v>
      </c>
      <c r="G173">
        <v>317</v>
      </c>
      <c r="H173">
        <v>91</v>
      </c>
      <c r="I173">
        <v>85.670249999999996</v>
      </c>
    </row>
    <row r="174" spans="4:9" x14ac:dyDescent="0.3">
      <c r="D174">
        <v>318</v>
      </c>
      <c r="E174">
        <v>1</v>
      </c>
      <c r="F174">
        <v>172</v>
      </c>
      <c r="G174">
        <v>318</v>
      </c>
      <c r="H174">
        <v>173</v>
      </c>
      <c r="I174">
        <v>186.42096000000001</v>
      </c>
    </row>
    <row r="175" spans="4:9" x14ac:dyDescent="0.3">
      <c r="D175">
        <v>319</v>
      </c>
      <c r="E175">
        <v>1</v>
      </c>
      <c r="F175">
        <v>173</v>
      </c>
      <c r="G175">
        <v>319</v>
      </c>
      <c r="H175">
        <v>77</v>
      </c>
      <c r="I175">
        <v>75.620649999999998</v>
      </c>
    </row>
    <row r="176" spans="4:9" x14ac:dyDescent="0.3">
      <c r="D176">
        <v>321</v>
      </c>
      <c r="E176">
        <v>1</v>
      </c>
      <c r="F176">
        <v>174</v>
      </c>
      <c r="G176">
        <v>321</v>
      </c>
      <c r="H176">
        <v>1</v>
      </c>
      <c r="I176">
        <v>4.42476</v>
      </c>
    </row>
    <row r="177" spans="4:9" x14ac:dyDescent="0.3">
      <c r="D177">
        <v>322</v>
      </c>
      <c r="E177">
        <v>1</v>
      </c>
      <c r="F177">
        <v>175</v>
      </c>
      <c r="G177">
        <v>322</v>
      </c>
      <c r="H177">
        <v>2</v>
      </c>
      <c r="I177">
        <v>8.7901000000000007</v>
      </c>
    </row>
    <row r="178" spans="4:9" x14ac:dyDescent="0.3">
      <c r="D178">
        <v>323</v>
      </c>
      <c r="E178">
        <v>1</v>
      </c>
      <c r="F178">
        <v>176</v>
      </c>
      <c r="G178">
        <v>323</v>
      </c>
      <c r="H178">
        <v>214</v>
      </c>
      <c r="I178">
        <v>169.92256</v>
      </c>
    </row>
    <row r="179" spans="4:9" x14ac:dyDescent="0.3">
      <c r="D179">
        <v>324</v>
      </c>
      <c r="E179">
        <v>1</v>
      </c>
      <c r="F179">
        <v>177</v>
      </c>
      <c r="G179">
        <v>324</v>
      </c>
      <c r="H179">
        <v>66</v>
      </c>
      <c r="I179">
        <v>41.662260000000003</v>
      </c>
    </row>
    <row r="180" spans="4:9" x14ac:dyDescent="0.3">
      <c r="D180">
        <v>327</v>
      </c>
      <c r="E180">
        <v>1</v>
      </c>
      <c r="F180">
        <v>178</v>
      </c>
      <c r="G180">
        <v>327</v>
      </c>
      <c r="H180">
        <v>19</v>
      </c>
      <c r="I180">
        <v>7.7034799999999999</v>
      </c>
    </row>
    <row r="181" spans="4:9" x14ac:dyDescent="0.3">
      <c r="D181">
        <v>328</v>
      </c>
      <c r="E181">
        <v>1</v>
      </c>
      <c r="F181">
        <v>179</v>
      </c>
      <c r="G181">
        <v>328</v>
      </c>
      <c r="H181">
        <v>32</v>
      </c>
      <c r="I181">
        <v>19.047070000000001</v>
      </c>
    </row>
    <row r="182" spans="4:9" x14ac:dyDescent="0.3">
      <c r="D182">
        <v>330</v>
      </c>
      <c r="E182">
        <v>1</v>
      </c>
      <c r="F182">
        <v>180</v>
      </c>
      <c r="G182">
        <v>330</v>
      </c>
      <c r="H182">
        <v>32</v>
      </c>
      <c r="I182">
        <v>34.318510000000003</v>
      </c>
    </row>
    <row r="183" spans="4:9" x14ac:dyDescent="0.3">
      <c r="D183">
        <v>331</v>
      </c>
      <c r="E183">
        <v>1</v>
      </c>
      <c r="F183">
        <v>181</v>
      </c>
      <c r="G183">
        <v>331</v>
      </c>
      <c r="H183">
        <v>51</v>
      </c>
      <c r="I183">
        <v>47.318669999999997</v>
      </c>
    </row>
    <row r="184" spans="4:9" x14ac:dyDescent="0.3">
      <c r="D184">
        <v>332</v>
      </c>
      <c r="E184">
        <v>1</v>
      </c>
      <c r="F184">
        <v>182</v>
      </c>
      <c r="G184">
        <v>332</v>
      </c>
      <c r="H184">
        <v>26</v>
      </c>
      <c r="I184">
        <v>24.97813</v>
      </c>
    </row>
    <row r="185" spans="4:9" x14ac:dyDescent="0.3">
      <c r="D185">
        <v>334</v>
      </c>
      <c r="E185">
        <v>1</v>
      </c>
      <c r="F185">
        <v>183</v>
      </c>
      <c r="G185">
        <v>334</v>
      </c>
      <c r="H185">
        <v>24</v>
      </c>
      <c r="I185">
        <v>28.688780000000001</v>
      </c>
    </row>
    <row r="186" spans="4:9" x14ac:dyDescent="0.3">
      <c r="D186">
        <v>335</v>
      </c>
      <c r="E186">
        <v>1</v>
      </c>
      <c r="F186">
        <v>184</v>
      </c>
      <c r="G186">
        <v>335</v>
      </c>
      <c r="H186">
        <v>25</v>
      </c>
      <c r="I186">
        <v>16.14809</v>
      </c>
    </row>
    <row r="187" spans="4:9" x14ac:dyDescent="0.3">
      <c r="D187">
        <v>336</v>
      </c>
      <c r="E187">
        <v>1</v>
      </c>
      <c r="F187">
        <v>185</v>
      </c>
      <c r="G187">
        <v>336</v>
      </c>
      <c r="H187">
        <v>72</v>
      </c>
      <c r="I187">
        <v>71.345709999999997</v>
      </c>
    </row>
    <row r="188" spans="4:9" x14ac:dyDescent="0.3">
      <c r="D188">
        <v>337</v>
      </c>
      <c r="E188">
        <v>1</v>
      </c>
      <c r="F188">
        <v>186</v>
      </c>
      <c r="G188">
        <v>337</v>
      </c>
      <c r="H188">
        <v>42</v>
      </c>
      <c r="I188">
        <v>40.143329999999999</v>
      </c>
    </row>
    <row r="189" spans="4:9" x14ac:dyDescent="0.3">
      <c r="D189">
        <v>340</v>
      </c>
      <c r="E189">
        <v>1</v>
      </c>
      <c r="F189">
        <v>187</v>
      </c>
      <c r="G189">
        <v>340</v>
      </c>
      <c r="H189">
        <v>23</v>
      </c>
      <c r="I189">
        <v>12.45354</v>
      </c>
    </row>
    <row r="190" spans="4:9" x14ac:dyDescent="0.3">
      <c r="D190">
        <v>341</v>
      </c>
      <c r="E190">
        <v>1</v>
      </c>
      <c r="F190">
        <v>188</v>
      </c>
      <c r="G190">
        <v>341</v>
      </c>
      <c r="H190">
        <v>21</v>
      </c>
      <c r="I190">
        <v>8.9751499999999993</v>
      </c>
    </row>
    <row r="191" spans="4:9" x14ac:dyDescent="0.3">
      <c r="D191">
        <v>342</v>
      </c>
      <c r="E191">
        <v>1</v>
      </c>
      <c r="F191">
        <v>189</v>
      </c>
      <c r="G191">
        <v>342</v>
      </c>
      <c r="H191">
        <v>43</v>
      </c>
      <c r="I191">
        <v>39.434229999999999</v>
      </c>
    </row>
    <row r="192" spans="4:9" x14ac:dyDescent="0.3">
      <c r="D192">
        <v>343</v>
      </c>
      <c r="E192">
        <v>1</v>
      </c>
      <c r="F192">
        <v>190</v>
      </c>
      <c r="G192">
        <v>343</v>
      </c>
      <c r="H192">
        <v>48</v>
      </c>
      <c r="I192">
        <v>45.094880000000003</v>
      </c>
    </row>
    <row r="193" spans="4:9" x14ac:dyDescent="0.3">
      <c r="D193">
        <v>344</v>
      </c>
      <c r="E193">
        <v>1</v>
      </c>
      <c r="F193">
        <v>191</v>
      </c>
      <c r="G193">
        <v>344</v>
      </c>
      <c r="H193">
        <v>6</v>
      </c>
      <c r="I193">
        <v>5.1886799999999997</v>
      </c>
    </row>
    <row r="194" spans="4:9" x14ac:dyDescent="0.3">
      <c r="D194">
        <v>345</v>
      </c>
      <c r="E194">
        <v>1</v>
      </c>
      <c r="F194">
        <v>192</v>
      </c>
      <c r="G194">
        <v>345</v>
      </c>
      <c r="H194">
        <v>13</v>
      </c>
      <c r="I194">
        <v>13.052569999999999</v>
      </c>
    </row>
    <row r="195" spans="4:9" x14ac:dyDescent="0.3">
      <c r="D195">
        <v>346</v>
      </c>
      <c r="E195">
        <v>1</v>
      </c>
      <c r="F195">
        <v>193</v>
      </c>
      <c r="G195">
        <v>346</v>
      </c>
      <c r="H195">
        <v>5</v>
      </c>
      <c r="I195">
        <v>4.1581200000000003</v>
      </c>
    </row>
    <row r="196" spans="4:9" x14ac:dyDescent="0.3">
      <c r="D196">
        <v>348</v>
      </c>
      <c r="E196">
        <v>1</v>
      </c>
      <c r="F196">
        <v>194</v>
      </c>
      <c r="G196">
        <v>348</v>
      </c>
      <c r="H196">
        <v>5</v>
      </c>
      <c r="I196">
        <v>6.4102399999999999</v>
      </c>
    </row>
    <row r="197" spans="4:9" x14ac:dyDescent="0.3">
      <c r="D197">
        <v>352</v>
      </c>
      <c r="E197">
        <v>1</v>
      </c>
      <c r="F197">
        <v>195</v>
      </c>
      <c r="G197">
        <v>352</v>
      </c>
      <c r="H197">
        <v>3</v>
      </c>
      <c r="I197">
        <v>5.3247999999999998</v>
      </c>
    </row>
    <row r="198" spans="4:9" x14ac:dyDescent="0.3">
      <c r="D198">
        <v>356</v>
      </c>
      <c r="E198">
        <v>1</v>
      </c>
      <c r="F198">
        <v>196</v>
      </c>
      <c r="G198">
        <v>356</v>
      </c>
      <c r="H198">
        <v>36</v>
      </c>
      <c r="I198">
        <v>31.60819</v>
      </c>
    </row>
    <row r="199" spans="4:9" x14ac:dyDescent="0.3">
      <c r="D199">
        <v>357</v>
      </c>
      <c r="E199">
        <v>1</v>
      </c>
      <c r="F199">
        <v>197</v>
      </c>
      <c r="G199">
        <v>357</v>
      </c>
      <c r="H199">
        <v>87</v>
      </c>
      <c r="I199">
        <v>83.998180000000005</v>
      </c>
    </row>
    <row r="200" spans="4:9" x14ac:dyDescent="0.3">
      <c r="D200">
        <v>358</v>
      </c>
      <c r="E200">
        <v>1</v>
      </c>
      <c r="F200">
        <v>198</v>
      </c>
      <c r="G200">
        <v>358</v>
      </c>
      <c r="H200">
        <v>32</v>
      </c>
      <c r="I200">
        <v>32.282890000000002</v>
      </c>
    </row>
    <row r="201" spans="4:9" x14ac:dyDescent="0.3">
      <c r="D201">
        <v>360</v>
      </c>
      <c r="E201">
        <v>1</v>
      </c>
      <c r="F201">
        <v>199</v>
      </c>
      <c r="G201">
        <v>360</v>
      </c>
      <c r="H201">
        <v>3</v>
      </c>
      <c r="I201">
        <v>8.7500199999999992</v>
      </c>
    </row>
    <row r="202" spans="4:9" x14ac:dyDescent="0.3">
      <c r="D202">
        <v>361</v>
      </c>
      <c r="E202">
        <v>1</v>
      </c>
      <c r="F202">
        <v>200</v>
      </c>
      <c r="G202">
        <v>361</v>
      </c>
      <c r="H202">
        <v>9</v>
      </c>
      <c r="I202">
        <v>9.3318899999999996</v>
      </c>
    </row>
    <row r="203" spans="4:9" x14ac:dyDescent="0.3">
      <c r="D203">
        <v>362</v>
      </c>
      <c r="E203">
        <v>1</v>
      </c>
      <c r="F203">
        <v>201</v>
      </c>
      <c r="G203">
        <v>362</v>
      </c>
      <c r="H203">
        <v>15</v>
      </c>
      <c r="I203">
        <v>22.098659999999999</v>
      </c>
    </row>
    <row r="204" spans="4:9" x14ac:dyDescent="0.3">
      <c r="D204">
        <v>364</v>
      </c>
      <c r="E204">
        <v>1</v>
      </c>
      <c r="F204">
        <v>202</v>
      </c>
      <c r="G204">
        <v>364</v>
      </c>
      <c r="H204">
        <v>16</v>
      </c>
      <c r="I204">
        <v>12.39855</v>
      </c>
    </row>
    <row r="205" spans="4:9" x14ac:dyDescent="0.3">
      <c r="D205">
        <v>365</v>
      </c>
      <c r="E205">
        <v>1</v>
      </c>
      <c r="F205">
        <v>203</v>
      </c>
      <c r="G205">
        <v>365</v>
      </c>
      <c r="H205">
        <v>62</v>
      </c>
      <c r="I205">
        <v>78.101529999999997</v>
      </c>
    </row>
    <row r="206" spans="4:9" x14ac:dyDescent="0.3">
      <c r="D206">
        <v>368</v>
      </c>
      <c r="E206">
        <v>1</v>
      </c>
      <c r="F206">
        <v>204</v>
      </c>
      <c r="G206">
        <v>368</v>
      </c>
      <c r="H206">
        <v>30</v>
      </c>
      <c r="I206">
        <v>35.752929999999999</v>
      </c>
    </row>
    <row r="207" spans="4:9" x14ac:dyDescent="0.3">
      <c r="D207">
        <v>372</v>
      </c>
      <c r="E207">
        <v>1</v>
      </c>
      <c r="F207">
        <v>205</v>
      </c>
      <c r="G207">
        <v>372</v>
      </c>
      <c r="H207">
        <v>14</v>
      </c>
      <c r="I207">
        <v>11.46499</v>
      </c>
    </row>
    <row r="208" spans="4:9" x14ac:dyDescent="0.3">
      <c r="D208">
        <v>375</v>
      </c>
      <c r="E208">
        <v>1</v>
      </c>
      <c r="F208">
        <v>206</v>
      </c>
      <c r="G208">
        <v>375</v>
      </c>
      <c r="H208">
        <v>4</v>
      </c>
      <c r="I208">
        <v>18.057110000000002</v>
      </c>
    </row>
    <row r="209" spans="4:9" x14ac:dyDescent="0.3">
      <c r="D209">
        <v>376</v>
      </c>
      <c r="E209">
        <v>1</v>
      </c>
      <c r="F209">
        <v>207</v>
      </c>
      <c r="G209">
        <v>376</v>
      </c>
      <c r="H209">
        <v>3</v>
      </c>
      <c r="I209">
        <v>15.630409999999999</v>
      </c>
    </row>
    <row r="210" spans="4:9" x14ac:dyDescent="0.3">
      <c r="D210">
        <v>377</v>
      </c>
      <c r="E210">
        <v>1</v>
      </c>
      <c r="F210">
        <v>208</v>
      </c>
      <c r="G210">
        <v>377</v>
      </c>
      <c r="H210">
        <v>10</v>
      </c>
      <c r="I210">
        <v>42.140309999999999</v>
      </c>
    </row>
    <row r="211" spans="4:9" x14ac:dyDescent="0.3">
      <c r="D211">
        <v>379</v>
      </c>
      <c r="E211">
        <v>1</v>
      </c>
      <c r="F211">
        <v>209</v>
      </c>
      <c r="G211">
        <v>379</v>
      </c>
      <c r="H211">
        <v>72</v>
      </c>
      <c r="I211">
        <v>65.417969999999997</v>
      </c>
    </row>
    <row r="212" spans="4:9" x14ac:dyDescent="0.3">
      <c r="D212">
        <v>380</v>
      </c>
      <c r="E212">
        <v>1</v>
      </c>
      <c r="F212">
        <v>210</v>
      </c>
      <c r="G212">
        <v>380</v>
      </c>
      <c r="H212">
        <v>143</v>
      </c>
      <c r="I212">
        <v>148.58032</v>
      </c>
    </row>
    <row r="213" spans="4:9" x14ac:dyDescent="0.3">
      <c r="D213">
        <v>382</v>
      </c>
      <c r="E213">
        <v>1</v>
      </c>
      <c r="F213">
        <v>211</v>
      </c>
      <c r="G213">
        <v>382</v>
      </c>
      <c r="H213">
        <v>84</v>
      </c>
      <c r="I213">
        <v>59.068550000000002</v>
      </c>
    </row>
    <row r="214" spans="4:9" x14ac:dyDescent="0.3">
      <c r="D214">
        <v>383</v>
      </c>
      <c r="E214">
        <v>1</v>
      </c>
      <c r="F214">
        <v>212</v>
      </c>
      <c r="G214">
        <v>383</v>
      </c>
      <c r="H214">
        <v>32</v>
      </c>
      <c r="I214">
        <v>17.299320000000002</v>
      </c>
    </row>
    <row r="215" spans="4:9" x14ac:dyDescent="0.3">
      <c r="D215">
        <v>389</v>
      </c>
      <c r="E215">
        <v>1</v>
      </c>
      <c r="F215">
        <v>213</v>
      </c>
      <c r="G215">
        <v>389</v>
      </c>
      <c r="H215">
        <v>24</v>
      </c>
      <c r="I215">
        <v>30.16873</v>
      </c>
    </row>
    <row r="216" spans="4:9" x14ac:dyDescent="0.3">
      <c r="D216">
        <v>390</v>
      </c>
      <c r="E216">
        <v>1</v>
      </c>
      <c r="F216">
        <v>214</v>
      </c>
      <c r="G216">
        <v>390</v>
      </c>
      <c r="H216">
        <v>69</v>
      </c>
      <c r="I216">
        <v>61.96228</v>
      </c>
    </row>
    <row r="217" spans="4:9" x14ac:dyDescent="0.3">
      <c r="D217">
        <v>391</v>
      </c>
      <c r="E217">
        <v>1</v>
      </c>
      <c r="F217">
        <v>215</v>
      </c>
      <c r="G217">
        <v>391</v>
      </c>
      <c r="H217">
        <v>72</v>
      </c>
      <c r="I217">
        <v>59.361449999999998</v>
      </c>
    </row>
    <row r="218" spans="4:9" x14ac:dyDescent="0.3">
      <c r="D218">
        <v>392</v>
      </c>
      <c r="E218">
        <v>1</v>
      </c>
      <c r="F218">
        <v>216</v>
      </c>
      <c r="G218">
        <v>392</v>
      </c>
      <c r="H218">
        <v>24</v>
      </c>
      <c r="I218">
        <v>31.473109999999998</v>
      </c>
    </row>
    <row r="219" spans="4:9" x14ac:dyDescent="0.3">
      <c r="D219">
        <v>396</v>
      </c>
      <c r="E219">
        <v>1</v>
      </c>
      <c r="F219">
        <v>217</v>
      </c>
      <c r="G219">
        <v>396</v>
      </c>
      <c r="H219">
        <v>3</v>
      </c>
      <c r="I219">
        <v>6.8753799999999998</v>
      </c>
    </row>
    <row r="220" spans="4:9" x14ac:dyDescent="0.3">
      <c r="D220">
        <v>399</v>
      </c>
      <c r="E220">
        <v>1</v>
      </c>
      <c r="F220">
        <v>218</v>
      </c>
      <c r="G220">
        <v>399</v>
      </c>
      <c r="H220">
        <v>14</v>
      </c>
      <c r="I220">
        <v>16.898219999999998</v>
      </c>
    </row>
    <row r="221" spans="4:9" x14ac:dyDescent="0.3">
      <c r="D221">
        <v>400</v>
      </c>
      <c r="E221">
        <v>1</v>
      </c>
      <c r="F221">
        <v>219</v>
      </c>
      <c r="G221">
        <v>400</v>
      </c>
      <c r="H221">
        <v>9</v>
      </c>
      <c r="I221">
        <v>4.8405100000000001</v>
      </c>
    </row>
    <row r="222" spans="4:9" x14ac:dyDescent="0.3">
      <c r="D222">
        <v>403</v>
      </c>
      <c r="E222">
        <v>1</v>
      </c>
      <c r="F222">
        <v>220</v>
      </c>
      <c r="G222">
        <v>403</v>
      </c>
      <c r="H222">
        <v>41</v>
      </c>
      <c r="I222">
        <v>37.102339999999998</v>
      </c>
    </row>
    <row r="223" spans="4:9" x14ac:dyDescent="0.3">
      <c r="D223">
        <v>407</v>
      </c>
      <c r="E223">
        <v>1</v>
      </c>
      <c r="F223">
        <v>221</v>
      </c>
      <c r="G223">
        <v>407</v>
      </c>
      <c r="H223">
        <v>42</v>
      </c>
      <c r="I223">
        <v>44.987850000000002</v>
      </c>
    </row>
    <row r="224" spans="4:9" x14ac:dyDescent="0.3">
      <c r="D224">
        <v>408</v>
      </c>
      <c r="E224">
        <v>1</v>
      </c>
      <c r="F224">
        <v>222</v>
      </c>
      <c r="G224">
        <v>408</v>
      </c>
      <c r="H224">
        <v>15</v>
      </c>
      <c r="I224">
        <v>11.057869999999999</v>
      </c>
    </row>
    <row r="225" spans="4:9" x14ac:dyDescent="0.3">
      <c r="D225">
        <v>410</v>
      </c>
      <c r="E225">
        <v>1</v>
      </c>
      <c r="F225">
        <v>223</v>
      </c>
      <c r="G225">
        <v>410</v>
      </c>
      <c r="H225">
        <v>36</v>
      </c>
      <c r="I225">
        <v>33.021389999999997</v>
      </c>
    </row>
    <row r="226" spans="4:9" x14ac:dyDescent="0.3">
      <c r="D226">
        <v>413</v>
      </c>
      <c r="E226">
        <v>1</v>
      </c>
      <c r="F226">
        <v>224</v>
      </c>
      <c r="G226">
        <v>413</v>
      </c>
      <c r="H226">
        <v>7</v>
      </c>
      <c r="I226">
        <v>2.3676200000000001</v>
      </c>
    </row>
    <row r="227" spans="4:9" x14ac:dyDescent="0.3">
      <c r="D227">
        <v>414</v>
      </c>
      <c r="E227">
        <v>1</v>
      </c>
      <c r="F227">
        <v>225</v>
      </c>
      <c r="G227">
        <v>414</v>
      </c>
      <c r="H227">
        <v>17</v>
      </c>
      <c r="I227">
        <v>16.70966</v>
      </c>
    </row>
  </sheetData>
  <mergeCells count="2">
    <mergeCell ref="D1:I1"/>
    <mergeCell ref="L1:Q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DATA_ORIGIN</vt:lpstr>
      <vt:lpstr>DATA_TRAIN</vt:lpstr>
      <vt:lpstr>DATA_VAL</vt:lpstr>
      <vt:lpstr>5_15</vt:lpstr>
      <vt:lpstr>6_15</vt:lpstr>
      <vt:lpstr>7_15</vt:lpstr>
      <vt:lpstr>8_15</vt:lpstr>
      <vt:lpstr>9_15</vt:lpstr>
      <vt:lpstr>10_15</vt:lpstr>
      <vt:lpstr>11_15</vt:lpstr>
      <vt:lpstr>12_15</vt:lpstr>
      <vt:lpstr>13_15</vt:lpstr>
      <vt:lpstr>14_15</vt:lpstr>
      <vt:lpstr>15_15</vt:lpstr>
      <vt:lpstr>BEST</vt:lpstr>
      <vt:lpstr>BESTofBEST</vt:lpstr>
      <vt:lpstr>10_VAL</vt:lpstr>
      <vt:lpstr>8_VAL</vt:lpstr>
      <vt:lpstr>7_VAL</vt:lpstr>
      <vt:lpstr>10_ALL</vt:lpstr>
      <vt:lpstr>8_ALL</vt:lpstr>
      <vt:lpstr>7_ALL</vt:lpstr>
      <vt:lpstr>RESULT</vt:lpstr>
      <vt:lpstr>Sheet1</vt:lpstr>
      <vt:lpstr>Sheet2</vt:lpstr>
      <vt:lpstr>Validation Results</vt:lpstr>
    </vt:vector>
  </TitlesOfParts>
  <Company>NCCHE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wrossell</dc:creator>
  <cp:lastModifiedBy>wrossell</cp:lastModifiedBy>
  <dcterms:created xsi:type="dcterms:W3CDTF">2019-11-14T18:45:54Z</dcterms:created>
  <dcterms:modified xsi:type="dcterms:W3CDTF">2020-08-10T21:19:14Z</dcterms:modified>
</cp:coreProperties>
</file>